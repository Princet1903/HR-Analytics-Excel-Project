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252" firstSheet="1" activeTab="7"/>
  </bookViews>
  <sheets>
    <sheet name="Employees" sheetId="1" r:id="rId1"/>
    <sheet name="MINI SEARCH SECTION" sheetId="9" r:id="rId2"/>
    <sheet name="Departments" sheetId="2" r:id="rId3"/>
    <sheet name="Date_Table" sheetId="3" r:id="rId4"/>
    <sheet name="Salary_Bands" sheetId="4" r:id="rId5"/>
    <sheet name="PIVOT_ANALYSIS" sheetId="7" r:id="rId6"/>
    <sheet name="KPI" sheetId="11" r:id="rId7"/>
    <sheet name="DASHBOARD" sheetId="8" r:id="rId8"/>
  </sheets>
  <definedNames>
    <definedName name="Slicer_Attrition">#N/A</definedName>
    <definedName name="Slicer_Department">#N/A</definedName>
    <definedName name="Slicer_Gender">#N/A</definedName>
    <definedName name="Slicer_Job_Role">#N/A</definedName>
    <definedName name="Slicer_Work_Mode">#N/A</definedName>
  </definedNames>
  <calcPr calcId="152511"/>
  <pivotCaches>
    <pivotCache cacheId="12"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2" i="11" l="1"/>
  <c r="B10" i="11"/>
  <c r="B6" i="11"/>
  <c r="B8" i="11" s="1"/>
  <c r="B4" i="11"/>
  <c r="C15" i="9"/>
  <c r="C13" i="9"/>
  <c r="C8" i="9" l="1"/>
  <c r="C7" i="9"/>
  <c r="C6" i="9"/>
  <c r="C5" i="9"/>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2" i="1"/>
  <c r="AC33" i="1"/>
  <c r="AC30" i="1"/>
  <c r="AC27"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AD19" i="1"/>
  <c r="AD20" i="1"/>
  <c r="AD21" i="1"/>
  <c r="AD22" i="1"/>
  <c r="AD23" i="1"/>
  <c r="AD24" i="1"/>
  <c r="AD18" i="1"/>
  <c r="AC15" i="1"/>
  <c r="AD12" i="1"/>
  <c r="AD10" i="1"/>
  <c r="AD4" i="1"/>
  <c r="AD5" i="1"/>
  <c r="AD6" i="1"/>
  <c r="AD7" i="1"/>
  <c r="AD8" i="1"/>
  <c r="AD3" i="1"/>
  <c r="C14" i="9" l="1"/>
</calcChain>
</file>

<file path=xl/sharedStrings.xml><?xml version="1.0" encoding="utf-8"?>
<sst xmlns="http://schemas.openxmlformats.org/spreadsheetml/2006/main" count="12213" uniqueCount="1130">
  <si>
    <t>Employee_ID</t>
  </si>
  <si>
    <t>Employee_Name</t>
  </si>
  <si>
    <t>Gender</t>
  </si>
  <si>
    <t>Age</t>
  </si>
  <si>
    <t>Department</t>
  </si>
  <si>
    <t>Job_Role</t>
  </si>
  <si>
    <t>Education</t>
  </si>
  <si>
    <t>Experience_Years</t>
  </si>
  <si>
    <t>Joining_Date</t>
  </si>
  <si>
    <t>Salary</t>
  </si>
  <si>
    <t>Bonus</t>
  </si>
  <si>
    <t>Performance_Rating</t>
  </si>
  <si>
    <t>Work_Mode</t>
  </si>
  <si>
    <t>City</t>
  </si>
  <si>
    <t>Attrition</t>
  </si>
  <si>
    <t>Overtime</t>
  </si>
  <si>
    <t>Training_Hours</t>
  </si>
  <si>
    <t>Leaves_Taken</t>
  </si>
  <si>
    <t>Satisfaction_Score</t>
  </si>
  <si>
    <t>Promotion_Status</t>
  </si>
  <si>
    <t>EMP001</t>
  </si>
  <si>
    <t>Renee Roy</t>
  </si>
  <si>
    <t>Male</t>
  </si>
  <si>
    <t>Operations</t>
  </si>
  <si>
    <t>Operations Executive</t>
  </si>
  <si>
    <t>M.Tech</t>
  </si>
  <si>
    <t>Remote</t>
  </si>
  <si>
    <t>Delhi</t>
  </si>
  <si>
    <t>No</t>
  </si>
  <si>
    <t>Yes</t>
  </si>
  <si>
    <t>Not Promoted</t>
  </si>
  <si>
    <t>EMP002</t>
  </si>
  <si>
    <t>Anika Ramaswamy</t>
  </si>
  <si>
    <t>Marketing</t>
  </si>
  <si>
    <t>Marketing Manager</t>
  </si>
  <si>
    <t>Post Graduate</t>
  </si>
  <si>
    <t>Hybrid</t>
  </si>
  <si>
    <t>Bangalore</t>
  </si>
  <si>
    <t>EMP003</t>
  </si>
  <si>
    <t>Neysa Jain</t>
  </si>
  <si>
    <t>Female</t>
  </si>
  <si>
    <t>IT</t>
  </si>
  <si>
    <t>Data Analyst</t>
  </si>
  <si>
    <t>Promoted</t>
  </si>
  <si>
    <t>EMP004</t>
  </si>
  <si>
    <t>Taimur Sehgal</t>
  </si>
  <si>
    <t>Content Strategist</t>
  </si>
  <si>
    <t>B.Tech</t>
  </si>
  <si>
    <t>Chennai</t>
  </si>
  <si>
    <t>EMP005</t>
  </si>
  <si>
    <t>Kimaya Kade</t>
  </si>
  <si>
    <t>MBA</t>
  </si>
  <si>
    <t>Office</t>
  </si>
  <si>
    <t>Pune</t>
  </si>
  <si>
    <t>EMP006</t>
  </si>
  <si>
    <t>Lakshit Bir</t>
  </si>
  <si>
    <t>HR</t>
  </si>
  <si>
    <t>HR Executive</t>
  </si>
  <si>
    <t>Hyderabad</t>
  </si>
  <si>
    <t>EMP007</t>
  </si>
  <si>
    <t>Sara Khosla</t>
  </si>
  <si>
    <t>Sales</t>
  </si>
  <si>
    <t>Sales Executive</t>
  </si>
  <si>
    <t>Noida</t>
  </si>
  <si>
    <t>EMP008</t>
  </si>
  <si>
    <t>Romil Baria</t>
  </si>
  <si>
    <t>Business Development Associate</t>
  </si>
  <si>
    <t>EMP009</t>
  </si>
  <si>
    <t>Aarna Gopal</t>
  </si>
  <si>
    <t>System Administrator</t>
  </si>
  <si>
    <t>EMP010</t>
  </si>
  <si>
    <t>Biju Tella</t>
  </si>
  <si>
    <t>EMP011</t>
  </si>
  <si>
    <t>Ranbir Sant</t>
  </si>
  <si>
    <t>EMP012</t>
  </si>
  <si>
    <t>Tejas Agate</t>
  </si>
  <si>
    <t>Mumbai</t>
  </si>
  <si>
    <t>EMP013</t>
  </si>
  <si>
    <t>Hazel Kibe</t>
  </si>
  <si>
    <t>HR Manager</t>
  </si>
  <si>
    <t>Graduate</t>
  </si>
  <si>
    <t>EMP014</t>
  </si>
  <si>
    <t>Prerak Chanda</t>
  </si>
  <si>
    <t>EMP015</t>
  </si>
  <si>
    <t>Urvi Keer</t>
  </si>
  <si>
    <t>EMP016</t>
  </si>
  <si>
    <t>Saksham Verma</t>
  </si>
  <si>
    <t>Finance</t>
  </si>
  <si>
    <t>Finance Manager</t>
  </si>
  <si>
    <t>EMP017</t>
  </si>
  <si>
    <t>Sumer Date</t>
  </si>
  <si>
    <t>Accountant</t>
  </si>
  <si>
    <t>EMP018</t>
  </si>
  <si>
    <t>Elakshi Banerjee</t>
  </si>
  <si>
    <t>EMP019</t>
  </si>
  <si>
    <t>Samaira Raman</t>
  </si>
  <si>
    <t>EMP020</t>
  </si>
  <si>
    <t>Kartik Gara</t>
  </si>
  <si>
    <t>EMP021</t>
  </si>
  <si>
    <t>Anay Dugal</t>
  </si>
  <si>
    <t>Supply Chain Analyst</t>
  </si>
  <si>
    <t>EMP022</t>
  </si>
  <si>
    <t>Zain Gandhi</t>
  </si>
  <si>
    <t>EMP023</t>
  </si>
  <si>
    <t>Tushar Joshi</t>
  </si>
  <si>
    <t>EMP024</t>
  </si>
  <si>
    <t>Anaya Chaudhary</t>
  </si>
  <si>
    <t>EMP025</t>
  </si>
  <si>
    <t>Neelofar Chatterjee</t>
  </si>
  <si>
    <t>Operations Manager</t>
  </si>
  <si>
    <t>EMP026</t>
  </si>
  <si>
    <t>Romil Sachdeva</t>
  </si>
  <si>
    <t>EMP027</t>
  </si>
  <si>
    <t>Indrajit Kohli</t>
  </si>
  <si>
    <t>EMP028</t>
  </si>
  <si>
    <t>Rania Karpe</t>
  </si>
  <si>
    <t>EMP029</t>
  </si>
  <si>
    <t>Samiha Seth</t>
  </si>
  <si>
    <t>SEO Specialist</t>
  </si>
  <si>
    <t>EMP030</t>
  </si>
  <si>
    <t>Shaan Ahluwalia</t>
  </si>
  <si>
    <t>EMP031</t>
  </si>
  <si>
    <t>Vritika Brahmbhatt</t>
  </si>
  <si>
    <t>EMP032</t>
  </si>
  <si>
    <t>Seher Bhatti</t>
  </si>
  <si>
    <t>Recruiter</t>
  </si>
  <si>
    <t>EMP033</t>
  </si>
  <si>
    <t>Manikya Chaudhuri</t>
  </si>
  <si>
    <t>EMP034</t>
  </si>
  <si>
    <t>Ishita Roy</t>
  </si>
  <si>
    <t>EMP035</t>
  </si>
  <si>
    <t>Dhruv Rattan</t>
  </si>
  <si>
    <t>EMP036</t>
  </si>
  <si>
    <t>Faiyaz Lalla</t>
  </si>
  <si>
    <t>EMP037</t>
  </si>
  <si>
    <t>Badal Kari</t>
  </si>
  <si>
    <t>EMP038</t>
  </si>
  <si>
    <t>Vanya Taneja</t>
  </si>
  <si>
    <t>EMP039</t>
  </si>
  <si>
    <t>Zain Solanki</t>
  </si>
  <si>
    <t>EMP040</t>
  </si>
  <si>
    <t>Jayant Seth</t>
  </si>
  <si>
    <t>EMP041</t>
  </si>
  <si>
    <t>Stuvan Chopra</t>
  </si>
  <si>
    <t>EMP042</t>
  </si>
  <si>
    <t>Parinaaz Balan</t>
  </si>
  <si>
    <t>EMP043</t>
  </si>
  <si>
    <t>Divyansh Kar</t>
  </si>
  <si>
    <t>EMP044</t>
  </si>
  <si>
    <t>Zeeshan Kala</t>
  </si>
  <si>
    <t>EMP045</t>
  </si>
  <si>
    <t>Kashvi Master</t>
  </si>
  <si>
    <t>EMP046</t>
  </si>
  <si>
    <t>Oorja Sami</t>
  </si>
  <si>
    <t>EMP047</t>
  </si>
  <si>
    <t>Sahil Borra</t>
  </si>
  <si>
    <t>EMP048</t>
  </si>
  <si>
    <t>Shayak Sachdeva</t>
  </si>
  <si>
    <t>EMP049</t>
  </si>
  <si>
    <t>Tanya Iyer</t>
  </si>
  <si>
    <t>EMP050</t>
  </si>
  <si>
    <t>Alia Chakrabarti</t>
  </si>
  <si>
    <t>EMP051</t>
  </si>
  <si>
    <t>Armaan Mann</t>
  </si>
  <si>
    <t>EMP052</t>
  </si>
  <si>
    <t>Zeeshan Kakar</t>
  </si>
  <si>
    <t>EMP053</t>
  </si>
  <si>
    <t>Shanaya Lala</t>
  </si>
  <si>
    <t>EMP054</t>
  </si>
  <si>
    <t>Taran Dayal</t>
  </si>
  <si>
    <t>EMP055</t>
  </si>
  <si>
    <t>Abram Sawhney</t>
  </si>
  <si>
    <t>EMP056</t>
  </si>
  <si>
    <t>Piya Balasubramanian</t>
  </si>
  <si>
    <t>EMP057</t>
  </si>
  <si>
    <t>Siya Sant</t>
  </si>
  <si>
    <t>EMP058</t>
  </si>
  <si>
    <t>Krish Jha</t>
  </si>
  <si>
    <t>EMP059</t>
  </si>
  <si>
    <t>Anahita Kumer</t>
  </si>
  <si>
    <t>EMP060</t>
  </si>
  <si>
    <t>Pranay Char</t>
  </si>
  <si>
    <t>EMP061</t>
  </si>
  <si>
    <t>Purab Sen</t>
  </si>
  <si>
    <t>EMP062</t>
  </si>
  <si>
    <t>Ritvik Chatterjee</t>
  </si>
  <si>
    <t>EMP063</t>
  </si>
  <si>
    <t>Kiaan Varughese</t>
  </si>
  <si>
    <t>EMP064</t>
  </si>
  <si>
    <t>Suhana Som</t>
  </si>
  <si>
    <t>EMP065</t>
  </si>
  <si>
    <t>Mannat Kade</t>
  </si>
  <si>
    <t>EMP066</t>
  </si>
  <si>
    <t>Riaan Raju</t>
  </si>
  <si>
    <t>EMP067</t>
  </si>
  <si>
    <t>Neelofar Sekhon</t>
  </si>
  <si>
    <t>EMP068</t>
  </si>
  <si>
    <t>Neelofar Salvi</t>
  </si>
  <si>
    <t>EMP069</t>
  </si>
  <si>
    <t>Anaya Rastogi</t>
  </si>
  <si>
    <t>EMP070</t>
  </si>
  <si>
    <t>Anika Wali</t>
  </si>
  <si>
    <t>EMP071</t>
  </si>
  <si>
    <t>Jhanvi Ahluwalia</t>
  </si>
  <si>
    <t>EMP072</t>
  </si>
  <si>
    <t>Stuvan Sarkar</t>
  </si>
  <si>
    <t>EMP073</t>
  </si>
  <si>
    <t>Hridaan Ratta</t>
  </si>
  <si>
    <t>EMP074</t>
  </si>
  <si>
    <t>Yakshit Lad</t>
  </si>
  <si>
    <t>EMP075</t>
  </si>
  <si>
    <t>Parinaaz Raman</t>
  </si>
  <si>
    <t>EMP076</t>
  </si>
  <si>
    <t>Aaryahi Goyal</t>
  </si>
  <si>
    <t>EMP077</t>
  </si>
  <si>
    <t>Neysa Srinivasan</t>
  </si>
  <si>
    <t>EMP078</t>
  </si>
  <si>
    <t>Alisha Kuruvilla</t>
  </si>
  <si>
    <t>EMP079</t>
  </si>
  <si>
    <t>Stuvan Hegde</t>
  </si>
  <si>
    <t>Financial Analyst</t>
  </si>
  <si>
    <t>EMP080</t>
  </si>
  <si>
    <t>Darshit Bhatnagar</t>
  </si>
  <si>
    <t>EMP081</t>
  </si>
  <si>
    <t>Yasmin Karpe</t>
  </si>
  <si>
    <t>EMP082</t>
  </si>
  <si>
    <t>Pihu Sundaram</t>
  </si>
  <si>
    <t>EMP083</t>
  </si>
  <si>
    <t>Hansh Behl</t>
  </si>
  <si>
    <t>Sales Manager</t>
  </si>
  <si>
    <t>EMP084</t>
  </si>
  <si>
    <t>Nakul Barad</t>
  </si>
  <si>
    <t>Software Engineer</t>
  </si>
  <si>
    <t>EMP085</t>
  </si>
  <si>
    <t>Yuvraj  Kamdar</t>
  </si>
  <si>
    <t>EMP086</t>
  </si>
  <si>
    <t>Aarav Andra</t>
  </si>
  <si>
    <t>EMP087</t>
  </si>
  <si>
    <t>Dharmajan Shanker</t>
  </si>
  <si>
    <t>EMP088</t>
  </si>
  <si>
    <t>Sana Dugar</t>
  </si>
  <si>
    <t>EMP089</t>
  </si>
  <si>
    <t>Pari Sathe</t>
  </si>
  <si>
    <t>EMP090</t>
  </si>
  <si>
    <t>Inaaya  Ganguly</t>
  </si>
  <si>
    <t>EMP091</t>
  </si>
  <si>
    <t>Faiyaz Bora</t>
  </si>
  <si>
    <t>EMP092</t>
  </si>
  <si>
    <t>Mahika Luthra</t>
  </si>
  <si>
    <t>EMP093</t>
  </si>
  <si>
    <t>Kiara Halder</t>
  </si>
  <si>
    <t>EMP094</t>
  </si>
  <si>
    <t>Heer Dhillon</t>
  </si>
  <si>
    <t>EMP095</t>
  </si>
  <si>
    <t>Damini Badami</t>
  </si>
  <si>
    <t>EMP096</t>
  </si>
  <si>
    <t>Dharmajan Srivastava</t>
  </si>
  <si>
    <t>EMP097</t>
  </si>
  <si>
    <t>Sumer Soni</t>
  </si>
  <si>
    <t>EMP098</t>
  </si>
  <si>
    <t>Lavanya Grover</t>
  </si>
  <si>
    <t>EMP099</t>
  </si>
  <si>
    <t>Gatik Sama</t>
  </si>
  <si>
    <t>EMP100</t>
  </si>
  <si>
    <t>Advik Sarin</t>
  </si>
  <si>
    <t>EMP101</t>
  </si>
  <si>
    <t>Rania Jain</t>
  </si>
  <si>
    <t>EMP102</t>
  </si>
  <si>
    <t>Saira Dhillon</t>
  </si>
  <si>
    <t>EMP103</t>
  </si>
  <si>
    <t>Kaira Vohra</t>
  </si>
  <si>
    <t>EMP104</t>
  </si>
  <si>
    <t>Neysa Dua</t>
  </si>
  <si>
    <t>EMP105</t>
  </si>
  <si>
    <t>Biju Grewal</t>
  </si>
  <si>
    <t>EMP106</t>
  </si>
  <si>
    <t>Fateh Baral</t>
  </si>
  <si>
    <t>EMP107</t>
  </si>
  <si>
    <t>Anahita Sridhar</t>
  </si>
  <si>
    <t>EMP108</t>
  </si>
  <si>
    <t>Chirag Choudhury</t>
  </si>
  <si>
    <t>EMP109</t>
  </si>
  <si>
    <t>Prerak Lad</t>
  </si>
  <si>
    <t>EMP110</t>
  </si>
  <si>
    <t>Jivika Khanna</t>
  </si>
  <si>
    <t>EMP111</t>
  </si>
  <si>
    <t>Romil Jain</t>
  </si>
  <si>
    <t>EMP112</t>
  </si>
  <si>
    <t>Shanaya Master</t>
  </si>
  <si>
    <t>EMP113</t>
  </si>
  <si>
    <t>Aayush Ramaswamy</t>
  </si>
  <si>
    <t>EMP114</t>
  </si>
  <si>
    <t>Gatik Sani</t>
  </si>
  <si>
    <t>EMP115</t>
  </si>
  <si>
    <t>Ahana  Kara</t>
  </si>
  <si>
    <t>EMP116</t>
  </si>
  <si>
    <t>Priyansh Dayal</t>
  </si>
  <si>
    <t>EMP117</t>
  </si>
  <si>
    <t>Neysa Mallick</t>
  </si>
  <si>
    <t>EMP118</t>
  </si>
  <si>
    <t>Elakshi Viswanathan</t>
  </si>
  <si>
    <t>EMP119</t>
  </si>
  <si>
    <t>Anya Banik</t>
  </si>
  <si>
    <t>EMP120</t>
  </si>
  <si>
    <t>Aaryahi Bala</t>
  </si>
  <si>
    <t>EMP121</t>
  </si>
  <si>
    <t>Eva Bajwa</t>
  </si>
  <si>
    <t>EMP122</t>
  </si>
  <si>
    <t>Nitya Kalita</t>
  </si>
  <si>
    <t>EMP123</t>
  </si>
  <si>
    <t>Mahika Khalsa</t>
  </si>
  <si>
    <t>EMP124</t>
  </si>
  <si>
    <t>Pihu Dash</t>
  </si>
  <si>
    <t>EMP125</t>
  </si>
  <si>
    <t>Miraan Chokshi</t>
  </si>
  <si>
    <t>EMP126</t>
  </si>
  <si>
    <t>Myra Seshadri</t>
  </si>
  <si>
    <t>EMP127</t>
  </si>
  <si>
    <t>Taimur Hayer</t>
  </si>
  <si>
    <t>EMP128</t>
  </si>
  <si>
    <t>Darshit Sengupta</t>
  </si>
  <si>
    <t>EMP129</t>
  </si>
  <si>
    <t>Neelofar Lanka</t>
  </si>
  <si>
    <t>EMP130</t>
  </si>
  <si>
    <t>Rasha Karnik</t>
  </si>
  <si>
    <t>EMP131</t>
  </si>
  <si>
    <t>Ryan Wason</t>
  </si>
  <si>
    <t>EMP132</t>
  </si>
  <si>
    <t>Akarsh Ganesh</t>
  </si>
  <si>
    <t>EMP133</t>
  </si>
  <si>
    <t>Aaryahi Handa</t>
  </si>
  <si>
    <t>EMP134</t>
  </si>
  <si>
    <t>Hunar Konda</t>
  </si>
  <si>
    <t>EMP135</t>
  </si>
  <si>
    <t>Alia Vora</t>
  </si>
  <si>
    <t>EMP136</t>
  </si>
  <si>
    <t>Dhanush Seth</t>
  </si>
  <si>
    <t>EMP137</t>
  </si>
  <si>
    <t>Charvi Subramanian</t>
  </si>
  <si>
    <t>EMP138</t>
  </si>
  <si>
    <t>Jivin Chahal</t>
  </si>
  <si>
    <t>EMP139</t>
  </si>
  <si>
    <t>Ayesha Bandi</t>
  </si>
  <si>
    <t>EMP140</t>
  </si>
  <si>
    <t>Anay Iyengar</t>
  </si>
  <si>
    <t>EMP141</t>
  </si>
  <si>
    <t>Riya Arya</t>
  </si>
  <si>
    <t>EMP142</t>
  </si>
  <si>
    <t>Nayantara Gade</t>
  </si>
  <si>
    <t>EMP143</t>
  </si>
  <si>
    <t>Pari Sharma</t>
  </si>
  <si>
    <t>EMP144</t>
  </si>
  <si>
    <t>Lakshay Issac</t>
  </si>
  <si>
    <t>EMP145</t>
  </si>
  <si>
    <t>Priyansh Sampath</t>
  </si>
  <si>
    <t>EMP146</t>
  </si>
  <si>
    <t>Diya Manne</t>
  </si>
  <si>
    <t>EMP147</t>
  </si>
  <si>
    <t>Kavya Gera</t>
  </si>
  <si>
    <t>EMP148</t>
  </si>
  <si>
    <t>Shanaya Rout</t>
  </si>
  <si>
    <t>EMP149</t>
  </si>
  <si>
    <t>Vidur Kuruvilla</t>
  </si>
  <si>
    <t>EMP150</t>
  </si>
  <si>
    <t>Kabir Lala</t>
  </si>
  <si>
    <t>EMP151</t>
  </si>
  <si>
    <t>Ayesha Mand</t>
  </si>
  <si>
    <t>EMP152</t>
  </si>
  <si>
    <t>Pari Seth</t>
  </si>
  <si>
    <t>EMP153</t>
  </si>
  <si>
    <t>Elakshi Sachar</t>
  </si>
  <si>
    <t>EMP154</t>
  </si>
  <si>
    <t>Badal Jain</t>
  </si>
  <si>
    <t>EMP155</t>
  </si>
  <si>
    <t>Tarini Sankaran</t>
  </si>
  <si>
    <t>EMP156</t>
  </si>
  <si>
    <t>Tanya Batta</t>
  </si>
  <si>
    <t>EMP157</t>
  </si>
  <si>
    <t>Ehsaan Wali</t>
  </si>
  <si>
    <t>EMP158</t>
  </si>
  <si>
    <t>Vardaniya Gala</t>
  </si>
  <si>
    <t>EMP159</t>
  </si>
  <si>
    <t>Raghav Brar</t>
  </si>
  <si>
    <t>EMP160</t>
  </si>
  <si>
    <t>Jiya Mangal</t>
  </si>
  <si>
    <t>EMP161</t>
  </si>
  <si>
    <t>Miraya Goswami</t>
  </si>
  <si>
    <t>EMP162</t>
  </si>
  <si>
    <t>Miraan Venkataraman</t>
  </si>
  <si>
    <t>EMP163</t>
  </si>
  <si>
    <t>Aradhya Tak</t>
  </si>
  <si>
    <t>EMP164</t>
  </si>
  <si>
    <t>Kabir Bansal</t>
  </si>
  <si>
    <t>EMP165</t>
  </si>
  <si>
    <t>Anika Issac</t>
  </si>
  <si>
    <t>EMP166</t>
  </si>
  <si>
    <t>Ira Upadhyay</t>
  </si>
  <si>
    <t>EMP167</t>
  </si>
  <si>
    <t>Dhanuk Anand</t>
  </si>
  <si>
    <t>EMP168</t>
  </si>
  <si>
    <t>Farhan Gulati</t>
  </si>
  <si>
    <t>EMP169</t>
  </si>
  <si>
    <t>Kimaya Venkatesh</t>
  </si>
  <si>
    <t>EMP170</t>
  </si>
  <si>
    <t>Bhamini Varma</t>
  </si>
  <si>
    <t>EMP171</t>
  </si>
  <si>
    <t>Akarsh Dash</t>
  </si>
  <si>
    <t>EMP172</t>
  </si>
  <si>
    <t>Kartik Subramaniam</t>
  </si>
  <si>
    <t>EMP173</t>
  </si>
  <si>
    <t>Ojas Sibal</t>
  </si>
  <si>
    <t>EMP174</t>
  </si>
  <si>
    <t>Jayesh Chawla</t>
  </si>
  <si>
    <t>EMP175</t>
  </si>
  <si>
    <t>Suhana Chowdhury</t>
  </si>
  <si>
    <t>EMP176</t>
  </si>
  <si>
    <t>Zoya Chowdhury</t>
  </si>
  <si>
    <t>EMP177</t>
  </si>
  <si>
    <t>Divij Mall</t>
  </si>
  <si>
    <t>EMP178</t>
  </si>
  <si>
    <t>Misha Sunder</t>
  </si>
  <si>
    <t>EMP179</t>
  </si>
  <si>
    <t>Indrajit Bhavsar</t>
  </si>
  <si>
    <t>EMP180</t>
  </si>
  <si>
    <t>Gokul Vyas</t>
  </si>
  <si>
    <t>EMP181</t>
  </si>
  <si>
    <t>Yashvi Brahmbhatt</t>
  </si>
  <si>
    <t>EMP182</t>
  </si>
  <si>
    <t>Ira Chaudhuri</t>
  </si>
  <si>
    <t>EMP183</t>
  </si>
  <si>
    <t>Indranil Agrawal</t>
  </si>
  <si>
    <t>EMP184</t>
  </si>
  <si>
    <t>Manjari Bhavsar</t>
  </si>
  <si>
    <t>EMP185</t>
  </si>
  <si>
    <t>Urvi Magar</t>
  </si>
  <si>
    <t>EMP186</t>
  </si>
  <si>
    <t>Anahita Devan</t>
  </si>
  <si>
    <t>EMP187</t>
  </si>
  <si>
    <t>Hansh Banik</t>
  </si>
  <si>
    <t>EMP188</t>
  </si>
  <si>
    <t>Farhan Lal</t>
  </si>
  <si>
    <t>EMP189</t>
  </si>
  <si>
    <t>Ahana  Kalla</t>
  </si>
  <si>
    <t>EMP190</t>
  </si>
  <si>
    <t>Ahana  Bumb</t>
  </si>
  <si>
    <t>EMP191</t>
  </si>
  <si>
    <t>Shanaya Sahni</t>
  </si>
  <si>
    <t>EMP192</t>
  </si>
  <si>
    <t>Kiaan Suri</t>
  </si>
  <si>
    <t>EMP193</t>
  </si>
  <si>
    <t>Azad Rajagopalan</t>
  </si>
  <si>
    <t>EMP194</t>
  </si>
  <si>
    <t>Divyansh Buch</t>
  </si>
  <si>
    <t>EMP195</t>
  </si>
  <si>
    <t>Anahita Seshadri</t>
  </si>
  <si>
    <t>EMP196</t>
  </si>
  <si>
    <t>Samarth Gill</t>
  </si>
  <si>
    <t>EMP197</t>
  </si>
  <si>
    <t>Anahita Basu</t>
  </si>
  <si>
    <t>EMP198</t>
  </si>
  <si>
    <t>Saanvi Wason</t>
  </si>
  <si>
    <t>EMP199</t>
  </si>
  <si>
    <t>Pari Kapoor</t>
  </si>
  <si>
    <t>EMP200</t>
  </si>
  <si>
    <t>Akarsh Kalita</t>
  </si>
  <si>
    <t>EMP201</t>
  </si>
  <si>
    <t>Vanya Hayre</t>
  </si>
  <si>
    <t>EMP202</t>
  </si>
  <si>
    <t>Ivan Sridhar</t>
  </si>
  <si>
    <t>EMP203</t>
  </si>
  <si>
    <t>Umang Garg</t>
  </si>
  <si>
    <t>EMP204</t>
  </si>
  <si>
    <t>Rasha Malhotra</t>
  </si>
  <si>
    <t>EMP205</t>
  </si>
  <si>
    <t>Vidur Chopra</t>
  </si>
  <si>
    <t>EMP206</t>
  </si>
  <si>
    <t>Renee Tak</t>
  </si>
  <si>
    <t>EMP207</t>
  </si>
  <si>
    <t>Amani Borde</t>
  </si>
  <si>
    <t>EMP208</t>
  </si>
  <si>
    <t>Vanya Dugar</t>
  </si>
  <si>
    <t>EMP209</t>
  </si>
  <si>
    <t>Samiha Thaker</t>
  </si>
  <si>
    <t>EMP210</t>
  </si>
  <si>
    <t>Aaryahi Varty</t>
  </si>
  <si>
    <t>EMP211</t>
  </si>
  <si>
    <t>Shray Shenoy</t>
  </si>
  <si>
    <t>EMP212</t>
  </si>
  <si>
    <t>Baiju Balakrishnan</t>
  </si>
  <si>
    <t>EMP213</t>
  </si>
  <si>
    <t>Jhanvi Mani</t>
  </si>
  <si>
    <t>EMP214</t>
  </si>
  <si>
    <t>Aarav Mannan</t>
  </si>
  <si>
    <t>EMP215</t>
  </si>
  <si>
    <t>Azad Badami</t>
  </si>
  <si>
    <t>EMP216</t>
  </si>
  <si>
    <t>Rania Sama</t>
  </si>
  <si>
    <t>EMP217</t>
  </si>
  <si>
    <t>Sahil Lalla</t>
  </si>
  <si>
    <t>EMP218</t>
  </si>
  <si>
    <t>Tejas Kumar</t>
  </si>
  <si>
    <t>EMP219</t>
  </si>
  <si>
    <t>Nitara Khalsa</t>
  </si>
  <si>
    <t>EMP220</t>
  </si>
  <si>
    <t>Vritika Deshpande</t>
  </si>
  <si>
    <t>EMP221</t>
  </si>
  <si>
    <t>Nirvi Shah</t>
  </si>
  <si>
    <t>EMP222</t>
  </si>
  <si>
    <t>Vritika Mandal</t>
  </si>
  <si>
    <t>EMP223</t>
  </si>
  <si>
    <t>Jivin Ganesan</t>
  </si>
  <si>
    <t>EMP224</t>
  </si>
  <si>
    <t>Mehul Cherian</t>
  </si>
  <si>
    <t>EMP225</t>
  </si>
  <si>
    <t>Aarna Ben</t>
  </si>
  <si>
    <t>EMP226</t>
  </si>
  <si>
    <t>Zara Sanghvi</t>
  </si>
  <si>
    <t>EMP227</t>
  </si>
  <si>
    <t>Dhruv Bajaj</t>
  </si>
  <si>
    <t>EMP228</t>
  </si>
  <si>
    <t>Hridaan Kulkarni</t>
  </si>
  <si>
    <t>EMP229</t>
  </si>
  <si>
    <t>Zara Chander</t>
  </si>
  <si>
    <t>EMP230</t>
  </si>
  <si>
    <t>Adah Lata</t>
  </si>
  <si>
    <t>EMP231</t>
  </si>
  <si>
    <t>Sana Gour</t>
  </si>
  <si>
    <t>EMP232</t>
  </si>
  <si>
    <t>Devansh Guha</t>
  </si>
  <si>
    <t>EMP233</t>
  </si>
  <si>
    <t>Dhruv Sinha</t>
  </si>
  <si>
    <t>EMP234</t>
  </si>
  <si>
    <t>Heer Shenoy</t>
  </si>
  <si>
    <t>EMP235</t>
  </si>
  <si>
    <t>Manjari Borde</t>
  </si>
  <si>
    <t>EMP236</t>
  </si>
  <si>
    <t>Oorja Kala</t>
  </si>
  <si>
    <t>EMP237</t>
  </si>
  <si>
    <t>Bhavin Bahri</t>
  </si>
  <si>
    <t>EMP238</t>
  </si>
  <si>
    <t>Aarna Butala</t>
  </si>
  <si>
    <t>EMP239</t>
  </si>
  <si>
    <t>Vanya Buch</t>
  </si>
  <si>
    <t>EMP240</t>
  </si>
  <si>
    <t>Emir Vyas</t>
  </si>
  <si>
    <t>EMP241</t>
  </si>
  <si>
    <t>Nirvaan Sampath</t>
  </si>
  <si>
    <t>EMP242</t>
  </si>
  <si>
    <t>Akarsh Sharma</t>
  </si>
  <si>
    <t>EMP243</t>
  </si>
  <si>
    <t>Kiaan Bali</t>
  </si>
  <si>
    <t>EMP244</t>
  </si>
  <si>
    <t>Rania Apte</t>
  </si>
  <si>
    <t>EMP245</t>
  </si>
  <si>
    <t>Biju Khurana</t>
  </si>
  <si>
    <t>EMP246</t>
  </si>
  <si>
    <t>Dhanuk Devan</t>
  </si>
  <si>
    <t>EMP247</t>
  </si>
  <si>
    <t>Arnav Grewal</t>
  </si>
  <si>
    <t>EMP248</t>
  </si>
  <si>
    <t>Shayak Srinivas</t>
  </si>
  <si>
    <t>EMP249</t>
  </si>
  <si>
    <t>Kimaya Hora</t>
  </si>
  <si>
    <t>EMP250</t>
  </si>
  <si>
    <t>Jhanvi Apte</t>
  </si>
  <si>
    <t>EMP251</t>
  </si>
  <si>
    <t>Nayantara Chad</t>
  </si>
  <si>
    <t>EMP252</t>
  </si>
  <si>
    <t>Khushi Chana</t>
  </si>
  <si>
    <t>EMP253</t>
  </si>
  <si>
    <t>Ira Swaminathan</t>
  </si>
  <si>
    <t>EMP254</t>
  </si>
  <si>
    <t>Madhup Golla</t>
  </si>
  <si>
    <t>EMP255</t>
  </si>
  <si>
    <t>Miraya Kalla</t>
  </si>
  <si>
    <t>EMP256</t>
  </si>
  <si>
    <t>Prisha Kalla</t>
  </si>
  <si>
    <t>EMP257</t>
  </si>
  <si>
    <t>Sara Chandran</t>
  </si>
  <si>
    <t>EMP258</t>
  </si>
  <si>
    <t>Dhanush Thaman</t>
  </si>
  <si>
    <t>EMP259</t>
  </si>
  <si>
    <t>Samaira Dar</t>
  </si>
  <si>
    <t>EMP260</t>
  </si>
  <si>
    <t>Zoya Wagle</t>
  </si>
  <si>
    <t>EMP261</t>
  </si>
  <si>
    <t>Veer Ghosh</t>
  </si>
  <si>
    <t>EMP262</t>
  </si>
  <si>
    <t>Anay Mann</t>
  </si>
  <si>
    <t>EMP263</t>
  </si>
  <si>
    <t>Jiya Manda</t>
  </si>
  <si>
    <t>EMP264</t>
  </si>
  <si>
    <t>Sara Das</t>
  </si>
  <si>
    <t>EMP265</t>
  </si>
  <si>
    <t>Dhanush Choudhury</t>
  </si>
  <si>
    <t>EMP266</t>
  </si>
  <si>
    <t>Kismat Bhatt</t>
  </si>
  <si>
    <t>EMP267</t>
  </si>
  <si>
    <t>Neysa Dada</t>
  </si>
  <si>
    <t>EMP268</t>
  </si>
  <si>
    <t>Anvi Kant</t>
  </si>
  <si>
    <t>EMP269</t>
  </si>
  <si>
    <t>Anahi Sehgal</t>
  </si>
  <si>
    <t>EMP270</t>
  </si>
  <si>
    <t>Sara Buch</t>
  </si>
  <si>
    <t>EMP271</t>
  </si>
  <si>
    <t>Dhanuk Konda</t>
  </si>
  <si>
    <t>EMP272</t>
  </si>
  <si>
    <t>Vivaan Viswanathan</t>
  </si>
  <si>
    <t>EMP273</t>
  </si>
  <si>
    <t>Taran Butala</t>
  </si>
  <si>
    <t>EMP274</t>
  </si>
  <si>
    <t>Priyansh Sen</t>
  </si>
  <si>
    <t>EMP275</t>
  </si>
  <si>
    <t>Divit Gandhi</t>
  </si>
  <si>
    <t>EMP276</t>
  </si>
  <si>
    <t>Tejas Dhar</t>
  </si>
  <si>
    <t>EMP277</t>
  </si>
  <si>
    <t>Zara Lata</t>
  </si>
  <si>
    <t>EMP278</t>
  </si>
  <si>
    <t>Saira Rastogi</t>
  </si>
  <si>
    <t>EMP279</t>
  </si>
  <si>
    <t>Kismat D’Alia</t>
  </si>
  <si>
    <t>EMP280</t>
  </si>
  <si>
    <t>Vritika Bora</t>
  </si>
  <si>
    <t>EMP281</t>
  </si>
  <si>
    <t>Pari Andra</t>
  </si>
  <si>
    <t>EMP282</t>
  </si>
  <si>
    <t>Yuvaan Kothari</t>
  </si>
  <si>
    <t>EMP283</t>
  </si>
  <si>
    <t>Rania Chawla</t>
  </si>
  <si>
    <t>EMP284</t>
  </si>
  <si>
    <t>Misha Hayre</t>
  </si>
  <si>
    <t>EMP285</t>
  </si>
  <si>
    <t>Rania Kade</t>
  </si>
  <si>
    <t>EMP286</t>
  </si>
  <si>
    <t>Abram Sabharwal</t>
  </si>
  <si>
    <t>EMP287</t>
  </si>
  <si>
    <t>Vritika Kade</t>
  </si>
  <si>
    <t>EMP288</t>
  </si>
  <si>
    <t>Rati Rao</t>
  </si>
  <si>
    <t>EMP289</t>
  </si>
  <si>
    <t>Shamik Hayre</t>
  </si>
  <si>
    <t>EMP290</t>
  </si>
  <si>
    <t>Fateh Karnik</t>
  </si>
  <si>
    <t>EMP291</t>
  </si>
  <si>
    <t>Mahika Sahni</t>
  </si>
  <si>
    <t>EMP292</t>
  </si>
  <si>
    <t>Nayantara Rastogi</t>
  </si>
  <si>
    <t>EMP293</t>
  </si>
  <si>
    <t>Tarini Hora</t>
  </si>
  <si>
    <t>EMP294</t>
  </si>
  <si>
    <t>Arhaan Kibe</t>
  </si>
  <si>
    <t>EMP295</t>
  </si>
  <si>
    <t>Devansh Mann</t>
  </si>
  <si>
    <t>EMP296</t>
  </si>
  <si>
    <t>Divit Thakkar</t>
  </si>
  <si>
    <t>EMP297</t>
  </si>
  <si>
    <t>Aarav Kulkarni</t>
  </si>
  <si>
    <t>EMP298</t>
  </si>
  <si>
    <t>Drishya Chhabra</t>
  </si>
  <si>
    <t>EMP299</t>
  </si>
  <si>
    <t>Miraya Ramakrishnan</t>
  </si>
  <si>
    <t>EMP300</t>
  </si>
  <si>
    <t>Renee Raja</t>
  </si>
  <si>
    <t>EMP301</t>
  </si>
  <si>
    <t>Zara Brahmbhatt</t>
  </si>
  <si>
    <t>EMP302</t>
  </si>
  <si>
    <t>Divit Chaudry</t>
  </si>
  <si>
    <t>EMP303</t>
  </si>
  <si>
    <t>Azad Bir</t>
  </si>
  <si>
    <t>EMP304</t>
  </si>
  <si>
    <t>Jhanvi Chaudhari</t>
  </si>
  <si>
    <t>EMP305</t>
  </si>
  <si>
    <t>Jivika Arora</t>
  </si>
  <si>
    <t>EMP306</t>
  </si>
  <si>
    <t>Uthkarsh Lad</t>
  </si>
  <si>
    <t>EMP307</t>
  </si>
  <si>
    <t>Mamooty Saran</t>
  </si>
  <si>
    <t>EMP308</t>
  </si>
  <si>
    <t>Umang Dada</t>
  </si>
  <si>
    <t>EMP309</t>
  </si>
  <si>
    <t>Aradhya Jani</t>
  </si>
  <si>
    <t>EMP310</t>
  </si>
  <si>
    <t>Tejas Mani</t>
  </si>
  <si>
    <t>EMP311</t>
  </si>
  <si>
    <t>Indrans Bava</t>
  </si>
  <si>
    <t>EMP312</t>
  </si>
  <si>
    <t>Shamik Kashyap</t>
  </si>
  <si>
    <t>EMP313</t>
  </si>
  <si>
    <t>Madhav Chopra</t>
  </si>
  <si>
    <t>EMP314</t>
  </si>
  <si>
    <t>Kavya Tank</t>
  </si>
  <si>
    <t>EMP315</t>
  </si>
  <si>
    <t>Yakshit Walia</t>
  </si>
  <si>
    <t>EMP316</t>
  </si>
  <si>
    <t>Shamik Mani</t>
  </si>
  <si>
    <t>EMP317</t>
  </si>
  <si>
    <t>Heer Sekhon</t>
  </si>
  <si>
    <t>EMP318</t>
  </si>
  <si>
    <t>Aarush Gara</t>
  </si>
  <si>
    <t>EMP319</t>
  </si>
  <si>
    <t>Vihaan Wable</t>
  </si>
  <si>
    <t>EMP320</t>
  </si>
  <si>
    <t>Ira Gole</t>
  </si>
  <si>
    <t>EMP321</t>
  </si>
  <si>
    <t>Kiara Balasubramanian</t>
  </si>
  <si>
    <t>EMP322</t>
  </si>
  <si>
    <t>Prerak Goda</t>
  </si>
  <si>
    <t>EMP323</t>
  </si>
  <si>
    <t>Mahika Kale</t>
  </si>
  <si>
    <t>EMP324</t>
  </si>
  <si>
    <t>Indrajit Shukla</t>
  </si>
  <si>
    <t>EMP325</t>
  </si>
  <si>
    <t>Zain Dugal</t>
  </si>
  <si>
    <t>EMP326</t>
  </si>
  <si>
    <t>Aradhya Dada</t>
  </si>
  <si>
    <t>EMP327</t>
  </si>
  <si>
    <t>Yashvi D’Alia</t>
  </si>
  <si>
    <t>EMP328</t>
  </si>
  <si>
    <t>Vaibhav Gara</t>
  </si>
  <si>
    <t>EMP329</t>
  </si>
  <si>
    <t>Riaan Bassi</t>
  </si>
  <si>
    <t>EMP330</t>
  </si>
  <si>
    <t>Lakshit De</t>
  </si>
  <si>
    <t>EMP331</t>
  </si>
  <si>
    <t>Indrajit Bhatnagar</t>
  </si>
  <si>
    <t>EMP332</t>
  </si>
  <si>
    <t>Armaan Kunda</t>
  </si>
  <si>
    <t>EMP333</t>
  </si>
  <si>
    <t>Baiju Bali</t>
  </si>
  <si>
    <t>EMP334</t>
  </si>
  <si>
    <t>Alia Ranganathan</t>
  </si>
  <si>
    <t>EMP335</t>
  </si>
  <si>
    <t>Sahil Banerjee</t>
  </si>
  <si>
    <t>EMP336</t>
  </si>
  <si>
    <t>Tarini Kapur</t>
  </si>
  <si>
    <t>EMP337</t>
  </si>
  <si>
    <t>Tara Gera</t>
  </si>
  <si>
    <t>EMP338</t>
  </si>
  <si>
    <t>Arnav Manda</t>
  </si>
  <si>
    <t>EMP339</t>
  </si>
  <si>
    <t>Aarush Sami</t>
  </si>
  <si>
    <t>EMP340</t>
  </si>
  <si>
    <t>Romil Tripathi</t>
  </si>
  <si>
    <t>EMP341</t>
  </si>
  <si>
    <t>Samar Sethi</t>
  </si>
  <si>
    <t>EMP342</t>
  </si>
  <si>
    <t>Shayak Garde</t>
  </si>
  <si>
    <t>EMP343</t>
  </si>
  <si>
    <t>Yashvi Krishnan</t>
  </si>
  <si>
    <t>EMP344</t>
  </si>
  <si>
    <t>Yuvraj  Sinha</t>
  </si>
  <si>
    <t>EMP345</t>
  </si>
  <si>
    <t>Nishith Kota</t>
  </si>
  <si>
    <t>EMP346</t>
  </si>
  <si>
    <t>Anika Manda</t>
  </si>
  <si>
    <t>EMP347</t>
  </si>
  <si>
    <t>Aradhya Chauhan</t>
  </si>
  <si>
    <t>EMP348</t>
  </si>
  <si>
    <t>Gokul Dube</t>
  </si>
  <si>
    <t>EMP349</t>
  </si>
  <si>
    <t>Mohanlal Devan</t>
  </si>
  <si>
    <t>EMP350</t>
  </si>
  <si>
    <t>Advik Das</t>
  </si>
  <si>
    <t>EMP351</t>
  </si>
  <si>
    <t>Yuvraj  Divan</t>
  </si>
  <si>
    <t>EMP352</t>
  </si>
  <si>
    <t>Hunar Tak</t>
  </si>
  <si>
    <t>EMP353</t>
  </si>
  <si>
    <t>Stuvan Sheth</t>
  </si>
  <si>
    <t>EMP354</t>
  </si>
  <si>
    <t>Lavanya Dasgupta</t>
  </si>
  <si>
    <t>EMP355</t>
  </si>
  <si>
    <t>Anaya Lal</t>
  </si>
  <si>
    <t>EMP356</t>
  </si>
  <si>
    <t>Anay Kari</t>
  </si>
  <si>
    <t>EMP357</t>
  </si>
  <si>
    <t>Dhanuk Rattan</t>
  </si>
  <si>
    <t>EMP358</t>
  </si>
  <si>
    <t>Anvi Raval</t>
  </si>
  <si>
    <t>EMP359</t>
  </si>
  <si>
    <t>Indranil Anne</t>
  </si>
  <si>
    <t>EMP360</t>
  </si>
  <si>
    <t>Keya Krish</t>
  </si>
  <si>
    <t>EMP361</t>
  </si>
  <si>
    <t>Bhavin Mane</t>
  </si>
  <si>
    <t>EMP362</t>
  </si>
  <si>
    <t>Dhanush Sani</t>
  </si>
  <si>
    <t>EMP363</t>
  </si>
  <si>
    <t>Shray Doctor</t>
  </si>
  <si>
    <t>EMP364</t>
  </si>
  <si>
    <t>Lavanya Krishnan</t>
  </si>
  <si>
    <t>EMP365</t>
  </si>
  <si>
    <t>Onkar Brahmbhatt</t>
  </si>
  <si>
    <t>EMP366</t>
  </si>
  <si>
    <t>Tarini Gara</t>
  </si>
  <si>
    <t>EMP367</t>
  </si>
  <si>
    <t>Dhruv Gara</t>
  </si>
  <si>
    <t>EMP368</t>
  </si>
  <si>
    <t>Alia Bakshi</t>
  </si>
  <si>
    <t>EMP369</t>
  </si>
  <si>
    <t>Divit Chakraborty</t>
  </si>
  <si>
    <t>EMP370</t>
  </si>
  <si>
    <t>Jiya Ganguly</t>
  </si>
  <si>
    <t>EMP371</t>
  </si>
  <si>
    <t>Kimaya Shenoy</t>
  </si>
  <si>
    <t>EMP372</t>
  </si>
  <si>
    <t>Manikya Kata</t>
  </si>
  <si>
    <t>EMP373</t>
  </si>
  <si>
    <t>Vanya Saran</t>
  </si>
  <si>
    <t>EMP374</t>
  </si>
  <si>
    <t>Rhea Iyengar</t>
  </si>
  <si>
    <t>EMP375</t>
  </si>
  <si>
    <t>Tanya Ahuja</t>
  </si>
  <si>
    <t>EMP376</t>
  </si>
  <si>
    <t>Sara Kapadia</t>
  </si>
  <si>
    <t>EMP377</t>
  </si>
  <si>
    <t>Shray Rau</t>
  </si>
  <si>
    <t>EMP378</t>
  </si>
  <si>
    <t>Sahil Karpe</t>
  </si>
  <si>
    <t>EMP379</t>
  </si>
  <si>
    <t>Ehsaan Kota</t>
  </si>
  <si>
    <t>EMP380</t>
  </si>
  <si>
    <t>Veer Sem</t>
  </si>
  <si>
    <t>EMP381</t>
  </si>
  <si>
    <t>Ishaan Bandi</t>
  </si>
  <si>
    <t>EMP382</t>
  </si>
  <si>
    <t>Sana Sami</t>
  </si>
  <si>
    <t>EMP383</t>
  </si>
  <si>
    <t>Pari Jayaraman</t>
  </si>
  <si>
    <t>EMP384</t>
  </si>
  <si>
    <t>Anika Mandal</t>
  </si>
  <si>
    <t>EMP385</t>
  </si>
  <si>
    <t>Chirag Sibal</t>
  </si>
  <si>
    <t>EMP386</t>
  </si>
  <si>
    <t>Darshit Maharaj</t>
  </si>
  <si>
    <t>EMP387</t>
  </si>
  <si>
    <t>Neysa Balasubramanian</t>
  </si>
  <si>
    <t>EMP388</t>
  </si>
  <si>
    <t>Shray Chaudhary</t>
  </si>
  <si>
    <t>EMP389</t>
  </si>
  <si>
    <t>Onkar Chaudry</t>
  </si>
  <si>
    <t>EMP390</t>
  </si>
  <si>
    <t>Samarth Baral</t>
  </si>
  <si>
    <t>EMP391</t>
  </si>
  <si>
    <t>Armaan Mangal</t>
  </si>
  <si>
    <t>EMP392</t>
  </si>
  <si>
    <t>Jhanvi Handa</t>
  </si>
  <si>
    <t>EMP393</t>
  </si>
  <si>
    <t>Badal Contractor</t>
  </si>
  <si>
    <t>EMP394</t>
  </si>
  <si>
    <t>Purab Gade</t>
  </si>
  <si>
    <t>EMP395</t>
  </si>
  <si>
    <t>Advika D’Alia</t>
  </si>
  <si>
    <t>EMP396</t>
  </si>
  <si>
    <t>Rohan Kar</t>
  </si>
  <si>
    <t>EMP397</t>
  </si>
  <si>
    <t>Zoya Yogi</t>
  </si>
  <si>
    <t>EMP398</t>
  </si>
  <si>
    <t>Anahita Kant</t>
  </si>
  <si>
    <t>EMP399</t>
  </si>
  <si>
    <t>Jhanvi Sarraf</t>
  </si>
  <si>
    <t>EMP400</t>
  </si>
  <si>
    <t>Oorja Wadhwa</t>
  </si>
  <si>
    <t>EMP401</t>
  </si>
  <si>
    <t>Madhup Shetty</t>
  </si>
  <si>
    <t>EMP402</t>
  </si>
  <si>
    <t>Shray Sura</t>
  </si>
  <si>
    <t>EMP403</t>
  </si>
  <si>
    <t>Jivika Tandon</t>
  </si>
  <si>
    <t>EMP404</t>
  </si>
  <si>
    <t>Aaina Hayer</t>
  </si>
  <si>
    <t>EMP405</t>
  </si>
  <si>
    <t>Mannat Chander</t>
  </si>
  <si>
    <t>EMP406</t>
  </si>
  <si>
    <t>Sahil Magar</t>
  </si>
  <si>
    <t>EMP407</t>
  </si>
  <si>
    <t>Shaan Bora</t>
  </si>
  <si>
    <t>EMP408</t>
  </si>
  <si>
    <t>Armaan Wadhwa</t>
  </si>
  <si>
    <t>EMP409</t>
  </si>
  <si>
    <t>Akarsh Cherian</t>
  </si>
  <si>
    <t>EMP410</t>
  </si>
  <si>
    <t>Nirvaan Bose</t>
  </si>
  <si>
    <t>EMP411</t>
  </si>
  <si>
    <t>Aniruddh Srinivas</t>
  </si>
  <si>
    <t>EMP412</t>
  </si>
  <si>
    <t>Hridaan Dayal</t>
  </si>
  <si>
    <t>EMP413</t>
  </si>
  <si>
    <t>Biju Khatri</t>
  </si>
  <si>
    <t>EMP414</t>
  </si>
  <si>
    <t>Samar Hegde</t>
  </si>
  <si>
    <t>EMP415</t>
  </si>
  <si>
    <t>Aarush Chakraborty</t>
  </si>
  <si>
    <t>EMP416</t>
  </si>
  <si>
    <t>Eva Hari</t>
  </si>
  <si>
    <t>EMP417</t>
  </si>
  <si>
    <t>Raunak Banerjee</t>
  </si>
  <si>
    <t>EMP418</t>
  </si>
  <si>
    <t>Zaina Subramaniam</t>
  </si>
  <si>
    <t>EMP419</t>
  </si>
  <si>
    <t>Faiyaz Kota</t>
  </si>
  <si>
    <t>EMP420</t>
  </si>
  <si>
    <t>Darshit Dani</t>
  </si>
  <si>
    <t>EMP421</t>
  </si>
  <si>
    <t>Parinaaz Sanghvi</t>
  </si>
  <si>
    <t>EMP422</t>
  </si>
  <si>
    <t>Arhaan Kamdar</t>
  </si>
  <si>
    <t>EMP423</t>
  </si>
  <si>
    <t>Vedika Agate</t>
  </si>
  <si>
    <t>EMP424</t>
  </si>
  <si>
    <t>Madhup Yohannan</t>
  </si>
  <si>
    <t>EMP425</t>
  </si>
  <si>
    <t>Shlok Dass</t>
  </si>
  <si>
    <t>EMP426</t>
  </si>
  <si>
    <t>Rasha Mandal</t>
  </si>
  <si>
    <t>EMP427</t>
  </si>
  <si>
    <t>Nitara Raman</t>
  </si>
  <si>
    <t>EMP428</t>
  </si>
  <si>
    <t>Zeeshan Chatterjee</t>
  </si>
  <si>
    <t>EMP429</t>
  </si>
  <si>
    <t>Sumer Tank</t>
  </si>
  <si>
    <t>EMP430</t>
  </si>
  <si>
    <t>Ryan Tiwari</t>
  </si>
  <si>
    <t>EMP431</t>
  </si>
  <si>
    <t>Dhanush Garg</t>
  </si>
  <si>
    <t>EMP432</t>
  </si>
  <si>
    <t>Myra Dutt</t>
  </si>
  <si>
    <t>EMP433</t>
  </si>
  <si>
    <t>Manjari Srivastava</t>
  </si>
  <si>
    <t>EMP434</t>
  </si>
  <si>
    <t>Miraya Chandra</t>
  </si>
  <si>
    <t>EMP435</t>
  </si>
  <si>
    <t>Piya Raval</t>
  </si>
  <si>
    <t>EMP436</t>
  </si>
  <si>
    <t>Oorja Buch</t>
  </si>
  <si>
    <t>EMP437</t>
  </si>
  <si>
    <t>Myra Bobal</t>
  </si>
  <si>
    <t>EMP438</t>
  </si>
  <si>
    <t>Hazel Kara</t>
  </si>
  <si>
    <t>EMP439</t>
  </si>
  <si>
    <t>Dhanush Sundaram</t>
  </si>
  <si>
    <t>EMP440</t>
  </si>
  <si>
    <t>Kiaan Mandal</t>
  </si>
  <si>
    <t>EMP441</t>
  </si>
  <si>
    <t>Abram Dua</t>
  </si>
  <si>
    <t>EMP442</t>
  </si>
  <si>
    <t>Advika Jaggi</t>
  </si>
  <si>
    <t>EMP443</t>
  </si>
  <si>
    <t>Azad Saini</t>
  </si>
  <si>
    <t>EMP444</t>
  </si>
  <si>
    <t>Jivika Sani</t>
  </si>
  <si>
    <t>EMP445</t>
  </si>
  <si>
    <t>Madhav Lad</t>
  </si>
  <si>
    <t>EMP446</t>
  </si>
  <si>
    <t>Dhruv Majumdar</t>
  </si>
  <si>
    <t>EMP447</t>
  </si>
  <si>
    <t>Vanya Toor</t>
  </si>
  <si>
    <t>EMP448</t>
  </si>
  <si>
    <t>Jivika Mangat</t>
  </si>
  <si>
    <t>EMP449</t>
  </si>
  <si>
    <t>Divij Guha</t>
  </si>
  <si>
    <t>EMP450</t>
  </si>
  <si>
    <t>Priyansh Kala</t>
  </si>
  <si>
    <t>EMP451</t>
  </si>
  <si>
    <t>Dhruv Gaba</t>
  </si>
  <si>
    <t>EMP452</t>
  </si>
  <si>
    <t>Mamooty Buch</t>
  </si>
  <si>
    <t>EMP453</t>
  </si>
  <si>
    <t>Shanaya Kadakia</t>
  </si>
  <si>
    <t>EMP454</t>
  </si>
  <si>
    <t>Drishya Sarraf</t>
  </si>
  <si>
    <t>EMP455</t>
  </si>
  <si>
    <t>Rohan Balay</t>
  </si>
  <si>
    <t>EMP456</t>
  </si>
  <si>
    <t>Vardaniya Bajwa</t>
  </si>
  <si>
    <t>EMP457</t>
  </si>
  <si>
    <t>Keya Sarin</t>
  </si>
  <si>
    <t>EMP458</t>
  </si>
  <si>
    <t>Indrajit Kant</t>
  </si>
  <si>
    <t>EMP459</t>
  </si>
  <si>
    <t>Suhana Halder</t>
  </si>
  <si>
    <t>EMP460</t>
  </si>
  <si>
    <t>Ayesha Bhattacharyya</t>
  </si>
  <si>
    <t>EMP461</t>
  </si>
  <si>
    <t>Anahita Lata</t>
  </si>
  <si>
    <t>EMP462</t>
  </si>
  <si>
    <t>Sumer Dhar</t>
  </si>
  <si>
    <t>EMP463</t>
  </si>
  <si>
    <t>Ojas Tella</t>
  </si>
  <si>
    <t>EMP464</t>
  </si>
  <si>
    <t>Nakul Kalla</t>
  </si>
  <si>
    <t>EMP465</t>
  </si>
  <si>
    <t>Gokul Gour</t>
  </si>
  <si>
    <t>EMP466</t>
  </si>
  <si>
    <t>Hunar Varty</t>
  </si>
  <si>
    <t>EMP467</t>
  </si>
  <si>
    <t>Darshit Reddy</t>
  </si>
  <si>
    <t>EMP468</t>
  </si>
  <si>
    <t>Shalv Kapoor</t>
  </si>
  <si>
    <t>EMP469</t>
  </si>
  <si>
    <t>Reyansh Bobal</t>
  </si>
  <si>
    <t>EMP470</t>
  </si>
  <si>
    <t>Uthkarsh Walla</t>
  </si>
  <si>
    <t>EMP471</t>
  </si>
  <si>
    <t>Vardaniya Cheema</t>
  </si>
  <si>
    <t>EMP472</t>
  </si>
  <si>
    <t>Onkar Singh</t>
  </si>
  <si>
    <t>EMP473</t>
  </si>
  <si>
    <t>Navya Ganesh</t>
  </si>
  <si>
    <t>EMP474</t>
  </si>
  <si>
    <t>Gatik Ramakrishnan</t>
  </si>
  <si>
    <t>EMP475</t>
  </si>
  <si>
    <t>Purab Mahajan</t>
  </si>
  <si>
    <t>EMP476</t>
  </si>
  <si>
    <t>Dharmajan Kanda</t>
  </si>
  <si>
    <t>EMP477</t>
  </si>
  <si>
    <t>Eshani Kashyap</t>
  </si>
  <si>
    <t>EMP478</t>
  </si>
  <si>
    <t>Dishani Biswas</t>
  </si>
  <si>
    <t>EMP479</t>
  </si>
  <si>
    <t>Zoya Sha</t>
  </si>
  <si>
    <t>EMP480</t>
  </si>
  <si>
    <t>Elakshi Butala</t>
  </si>
  <si>
    <t>EMP481</t>
  </si>
  <si>
    <t>Lagan Saxena</t>
  </si>
  <si>
    <t>EMP482</t>
  </si>
  <si>
    <t>Mannat Sibal</t>
  </si>
  <si>
    <t>EMP483</t>
  </si>
  <si>
    <t>Lagan Badami</t>
  </si>
  <si>
    <t>EMP484</t>
  </si>
  <si>
    <t>Vivaan Dara</t>
  </si>
  <si>
    <t>EMP485</t>
  </si>
  <si>
    <t>Prisha Sharma</t>
  </si>
  <si>
    <t>EMP486</t>
  </si>
  <si>
    <t>Amani Gupta</t>
  </si>
  <si>
    <t>EMP487</t>
  </si>
  <si>
    <t>Dhanush Bali</t>
  </si>
  <si>
    <t>EMP488</t>
  </si>
  <si>
    <t>Hansh Contractor</t>
  </si>
  <si>
    <t>EMP489</t>
  </si>
  <si>
    <t>Vanya Sastry</t>
  </si>
  <si>
    <t>EMP490</t>
  </si>
  <si>
    <t>Lakshay Rama</t>
  </si>
  <si>
    <t>EMP491</t>
  </si>
  <si>
    <t>Myra Mani</t>
  </si>
  <si>
    <t>EMP492</t>
  </si>
  <si>
    <t>EMP493</t>
  </si>
  <si>
    <t>Jivin Ramesh</t>
  </si>
  <si>
    <t>EMP494</t>
  </si>
  <si>
    <t>Zeeshan Varghese</t>
  </si>
  <si>
    <t>EMP495</t>
  </si>
  <si>
    <t>Miraan Swamy</t>
  </si>
  <si>
    <t>EMP496</t>
  </si>
  <si>
    <t>Prerak Mallick</t>
  </si>
  <si>
    <t>EMP497</t>
  </si>
  <si>
    <t>Akarsh Bora</t>
  </si>
  <si>
    <t>EMP498</t>
  </si>
  <si>
    <t>Rasha Sood</t>
  </si>
  <si>
    <t>EMP499</t>
  </si>
  <si>
    <t>Ritvik Das</t>
  </si>
  <si>
    <t>EMP500</t>
  </si>
  <si>
    <t>Adah Rana</t>
  </si>
  <si>
    <t>Department_ID</t>
  </si>
  <si>
    <t>D01</t>
  </si>
  <si>
    <t>D02</t>
  </si>
  <si>
    <t>D03</t>
  </si>
  <si>
    <t>D04</t>
  </si>
  <si>
    <t>D05</t>
  </si>
  <si>
    <t>D06</t>
  </si>
  <si>
    <t>Date</t>
  </si>
  <si>
    <t>Year</t>
  </si>
  <si>
    <t>Quarter</t>
  </si>
  <si>
    <t>Month</t>
  </si>
  <si>
    <t>Q1</t>
  </si>
  <si>
    <t>January</t>
  </si>
  <si>
    <t>February</t>
  </si>
  <si>
    <t>March</t>
  </si>
  <si>
    <t>Q2</t>
  </si>
  <si>
    <t>April</t>
  </si>
  <si>
    <t>May</t>
  </si>
  <si>
    <t>June</t>
  </si>
  <si>
    <t>Q3</t>
  </si>
  <si>
    <t>July</t>
  </si>
  <si>
    <t>August</t>
  </si>
  <si>
    <t>September</t>
  </si>
  <si>
    <t>Q4</t>
  </si>
  <si>
    <t>October</t>
  </si>
  <si>
    <t>November</t>
  </si>
  <si>
    <t>December</t>
  </si>
  <si>
    <t>Min_Salary</t>
  </si>
  <si>
    <t>Max_Salary</t>
  </si>
  <si>
    <t>Salary_Band</t>
  </si>
  <si>
    <t>Low</t>
  </si>
  <si>
    <t>Medium</t>
  </si>
  <si>
    <t>High</t>
  </si>
  <si>
    <t>Executive</t>
  </si>
  <si>
    <t>Employees in department</t>
  </si>
  <si>
    <t>Maximum Salary</t>
  </si>
  <si>
    <t>Minimum salary</t>
  </si>
  <si>
    <t xml:space="preserve">Total Number Of Employees Left </t>
  </si>
  <si>
    <t>Total Employees in Cities</t>
  </si>
  <si>
    <t>Age_Group_Colummn</t>
  </si>
  <si>
    <t>Experience_Level</t>
  </si>
  <si>
    <t>Average Salary of Department</t>
  </si>
  <si>
    <t>Count of Remote Employees</t>
  </si>
  <si>
    <t>Highest Bonus</t>
  </si>
  <si>
    <t>Department_ID (VLOOKUP)</t>
  </si>
  <si>
    <t>Department_ID(Index+Match)</t>
  </si>
  <si>
    <t>Salary_band(Index+Match)</t>
  </si>
  <si>
    <t xml:space="preserve">Employee Name </t>
  </si>
  <si>
    <t>Performance Rating</t>
  </si>
  <si>
    <t>Employee ID</t>
  </si>
  <si>
    <t>Enter Employee ID to Know your Information</t>
  </si>
  <si>
    <t xml:space="preserve">Department </t>
  </si>
  <si>
    <t>Average Salary</t>
  </si>
  <si>
    <t>Total Employees</t>
  </si>
  <si>
    <t>Average Performance</t>
  </si>
  <si>
    <t xml:space="preserve">Enter Employee department </t>
  </si>
  <si>
    <t>Row Labels</t>
  </si>
  <si>
    <t>Grand Total</t>
  </si>
  <si>
    <t>Count of Employee_ID</t>
  </si>
  <si>
    <t>Count of Attrition</t>
  </si>
  <si>
    <t>Average of Salary</t>
  </si>
  <si>
    <t>Average of Performance_Rating</t>
  </si>
  <si>
    <t xml:space="preserve">Total Employes </t>
  </si>
  <si>
    <t>Average Satisfaction Score</t>
  </si>
  <si>
    <t>Attrition Count</t>
  </si>
  <si>
    <t xml:space="preserve">Attrition Rate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</si>
</sst>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164" formatCode="yyyy\-mm\-dd"/>
    <numFmt numFmtId="165" formatCode="yyyy\-mm\-dd\ h:mm:ss"/>
    <numFmt numFmtId="166" formatCode="[$₹-4009]\ #,##0"/>
    <numFmt numFmtId="167" formatCode="[$₹-4009]\ #,##0.00"/>
    <numFmt numFmtId="177" formatCode="0.0"/>
  </numFmts>
  <fonts count="8" x14ac:knownFonts="1">
    <font>
      <sz val="11"/>
      <color theme="1"/>
      <name val="Calibri"/>
      <family val="2"/>
      <scheme val="minor"/>
    </font>
    <font>
      <sz val="11"/>
      <color rgb="FF006100"/>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u/>
      <sz val="16"/>
      <color theme="1"/>
      <name val="Calibri"/>
      <family val="2"/>
      <scheme val="minor"/>
    </font>
    <font>
      <b/>
      <sz val="14"/>
      <color theme="3" tint="0.39997558519241921"/>
      <name val="Calibri"/>
      <family val="2"/>
      <scheme val="minor"/>
    </font>
    <font>
      <sz val="11"/>
      <color theme="1"/>
      <name val="Calibri"/>
      <family val="2"/>
      <scheme val="minor"/>
    </font>
  </fonts>
  <fills count="7">
    <fill>
      <patternFill patternType="none"/>
    </fill>
    <fill>
      <patternFill patternType="gray125"/>
    </fill>
    <fill>
      <patternFill patternType="solid">
        <fgColor rgb="FFC6EFCE"/>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1" fillId="2" borderId="0" applyNumberFormat="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35">
    <xf numFmtId="0" fontId="0" fillId="0" borderId="0" xfId="0"/>
    <xf numFmtId="164" fontId="0" fillId="0" borderId="0" xfId="0" applyNumberFormat="1"/>
    <xf numFmtId="165" fontId="0" fillId="0" borderId="0" xfId="0" applyNumberFormat="1"/>
    <xf numFmtId="0" fontId="2" fillId="0" borderId="0" xfId="0" applyFont="1"/>
    <xf numFmtId="0" fontId="0" fillId="0" borderId="1" xfId="0" applyFont="1" applyBorder="1"/>
    <xf numFmtId="0" fontId="0" fillId="0" borderId="1" xfId="0" applyBorder="1"/>
    <xf numFmtId="0" fontId="2" fillId="0" borderId="1" xfId="0" applyFont="1" applyBorder="1"/>
    <xf numFmtId="0" fontId="0" fillId="4" borderId="1" xfId="0" applyFill="1" applyBorder="1"/>
    <xf numFmtId="0" fontId="0" fillId="3" borderId="1" xfId="0" applyFill="1" applyBorder="1"/>
    <xf numFmtId="166" fontId="0" fillId="0" borderId="0" xfId="0" applyNumberFormat="1"/>
    <xf numFmtId="167" fontId="0" fillId="0" borderId="0" xfId="0" applyNumberFormat="1"/>
    <xf numFmtId="2" fontId="0" fillId="0" borderId="0" xfId="0" applyNumberFormat="1"/>
    <xf numFmtId="1" fontId="0" fillId="0" borderId="0" xfId="0" applyNumberFormat="1"/>
    <xf numFmtId="0" fontId="1" fillId="2" borderId="0" xfId="1"/>
    <xf numFmtId="0" fontId="0" fillId="0" borderId="0" xfId="0" applyNumberFormat="1"/>
    <xf numFmtId="0" fontId="0" fillId="0" borderId="0" xfId="0" applyAlignment="1"/>
    <xf numFmtId="0" fontId="3" fillId="0" borderId="1" xfId="0" applyFont="1" applyBorder="1" applyAlignment="1">
      <alignment horizontal="center"/>
    </xf>
    <xf numFmtId="166" fontId="3" fillId="0" borderId="1" xfId="0" applyNumberFormat="1" applyFont="1" applyBorder="1" applyAlignment="1">
      <alignment horizontal="center"/>
    </xf>
    <xf numFmtId="0" fontId="4" fillId="0" borderId="1" xfId="0" applyFont="1" applyBorder="1"/>
    <xf numFmtId="0" fontId="6" fillId="6" borderId="1" xfId="0" applyFont="1" applyFill="1" applyBorder="1" applyAlignment="1">
      <alignment horizontal="center"/>
    </xf>
    <xf numFmtId="0" fontId="0" fillId="0" borderId="1" xfId="0" applyNumberFormat="1" applyBorder="1" applyAlignment="1">
      <alignment horizontal="center"/>
    </xf>
    <xf numFmtId="0" fontId="2" fillId="5" borderId="1" xfId="0" applyFont="1" applyFill="1" applyBorder="1" applyAlignment="1">
      <alignment horizontal="center"/>
    </xf>
    <xf numFmtId="166" fontId="0" fillId="0" borderId="1" xfId="0" applyNumberFormat="1" applyBorder="1" applyAlignment="1">
      <alignment horizontal="center"/>
    </xf>
    <xf numFmtId="0" fontId="0" fillId="0" borderId="0" xfId="0" applyAlignment="1">
      <alignment horizontal="center"/>
    </xf>
    <xf numFmtId="0" fontId="2" fillId="5" borderId="3" xfId="0" applyFont="1" applyFill="1" applyBorder="1" applyAlignment="1">
      <alignment horizontal="center"/>
    </xf>
    <xf numFmtId="0" fontId="2" fillId="5" borderId="2" xfId="0" applyFont="1" applyFill="1" applyBorder="1" applyAlignment="1">
      <alignment horizontal="center"/>
    </xf>
    <xf numFmtId="0" fontId="0" fillId="0" borderId="1" xfId="0" applyBorder="1" applyAlignment="1">
      <alignment horizontal="center"/>
    </xf>
    <xf numFmtId="0" fontId="5" fillId="0" borderId="0" xfId="0" applyFont="1" applyAlignment="1">
      <alignment horizontal="center"/>
    </xf>
    <xf numFmtId="177" fontId="0" fillId="0" borderId="0" xfId="0" applyNumberFormat="1"/>
    <xf numFmtId="0" fontId="5" fillId="0" borderId="0" xfId="0" applyFont="1" applyFill="1" applyBorder="1" applyAlignment="1">
      <alignment horizontal="center"/>
    </xf>
    <xf numFmtId="0" fontId="5" fillId="0" borderId="0" xfId="0" applyFont="1" applyAlignment="1"/>
    <xf numFmtId="0" fontId="0" fillId="0" borderId="0" xfId="0" pivotButton="1"/>
    <xf numFmtId="0" fontId="0" fillId="0" borderId="0" xfId="0" applyAlignment="1">
      <alignment horizontal="left"/>
    </xf>
    <xf numFmtId="10" fontId="0" fillId="0" borderId="0" xfId="3" applyNumberFormat="1" applyFont="1"/>
    <xf numFmtId="166" fontId="0" fillId="0" borderId="0" xfId="2" applyNumberFormat="1" applyFont="1"/>
  </cellXfs>
  <cellStyles count="4">
    <cellStyle name="Currency" xfId="2" builtinId="4"/>
    <cellStyle name="Good" xfId="1" builtinId="26"/>
    <cellStyle name="Normal" xfId="0" builtinId="0"/>
    <cellStyle name="Percent" xfId="3" builtinId="5"/>
  </cellStyles>
  <dxfs count="18">
    <dxf>
      <numFmt numFmtId="177" formatCode="0.0"/>
    </dxf>
    <dxf>
      <numFmt numFmtId="166" formatCode="[$₹-4009]\ #,##0"/>
    </dxf>
    <dxf>
      <numFmt numFmtId="170"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4009]\ #,##0.00"/>
    </dxf>
    <dxf>
      <numFmt numFmtId="167" formatCode="[$₹-4009]\ #,##0.00"/>
    </dxf>
    <dxf>
      <numFmt numFmtId="164" formatCode="yyyy\-mm\-dd"/>
    </dxf>
    <dxf>
      <numFmt numFmtId="1" formatCode="0"/>
    </dxf>
    <dxf>
      <font>
        <color rgb="FF9C0006"/>
      </font>
      <fill>
        <patternFill>
          <bgColor rgb="FFFFC7CE"/>
        </patternFill>
      </fill>
    </dxf>
    <dxf>
      <font>
        <b/>
        <i val="0"/>
        <color theme="6" tint="-0.24994659260841701"/>
      </font>
      <fill>
        <patternFill>
          <bgColor theme="6" tint="0.79998168889431442"/>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[HR_Analytics_Project.xlsx]PIVOT_ANALYSIS!PivotTable4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Gender Distribution</a:t>
            </a:r>
          </a:p>
        </c:rich>
      </c:tx>
      <c:layout>
        <c:manualLayout>
          <c:xMode val="edge"/>
          <c:yMode val="edge"/>
          <c:x val="0.10312225153913811"/>
          <c:y val="4.704301075268817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layout/>
          <c:spPr>
            <a:solidFill>
              <a:schemeClr val="tx1">
                <a:lumMod val="50000"/>
                <a:lumOff val="50000"/>
                <a:alpha val="8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PIVOT_ANALYSIS!$B$12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solidFill>
                <a:schemeClr val="tx1">
                  <a:lumMod val="50000"/>
                  <a:lumOff val="50000"/>
                  <a:alpha val="8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bestFit"/>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PIVOT_ANALYSIS!$A$13:$A$15</c:f>
              <c:strCache>
                <c:ptCount val="2"/>
                <c:pt idx="0">
                  <c:v>Female</c:v>
                </c:pt>
                <c:pt idx="1">
                  <c:v>Male</c:v>
                </c:pt>
              </c:strCache>
            </c:strRef>
          </c:cat>
          <c:val>
            <c:numRef>
              <c:f>PIVOT_ANALYSIS!$B$13:$B$15</c:f>
              <c:numCache>
                <c:formatCode>General</c:formatCode>
                <c:ptCount val="2"/>
                <c:pt idx="0">
                  <c:v>258</c:v>
                </c:pt>
                <c:pt idx="1">
                  <c:v>242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[HR_Analytics_Project.xlsx]PIVOT_ANALYSIS!PivotTable1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Employee Count By Department</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PIVOT_ANALYSIS!$B$2</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PIVOT_ANALYSIS!$A$3:$A$9</c:f>
              <c:strCache>
                <c:ptCount val="6"/>
                <c:pt idx="0">
                  <c:v>Finance</c:v>
                </c:pt>
                <c:pt idx="1">
                  <c:v>HR</c:v>
                </c:pt>
                <c:pt idx="2">
                  <c:v>IT</c:v>
                </c:pt>
                <c:pt idx="3">
                  <c:v>Marketing</c:v>
                </c:pt>
                <c:pt idx="4">
                  <c:v>Operations</c:v>
                </c:pt>
                <c:pt idx="5">
                  <c:v>Sales</c:v>
                </c:pt>
              </c:strCache>
            </c:strRef>
          </c:cat>
          <c:val>
            <c:numRef>
              <c:f>PIVOT_ANALYSIS!$B$3:$B$9</c:f>
              <c:numCache>
                <c:formatCode>General</c:formatCode>
                <c:ptCount val="6"/>
                <c:pt idx="0">
                  <c:v>81</c:v>
                </c:pt>
                <c:pt idx="1">
                  <c:v>83</c:v>
                </c:pt>
                <c:pt idx="2">
                  <c:v>86</c:v>
                </c:pt>
                <c:pt idx="3">
                  <c:v>86</c:v>
                </c:pt>
                <c:pt idx="4">
                  <c:v>85</c:v>
                </c:pt>
                <c:pt idx="5">
                  <c:v>79</c:v>
                </c:pt>
              </c:numCache>
            </c:numRef>
          </c:val>
        </c:ser>
        <c:dLbls>
          <c:showLegendKey val="0"/>
          <c:showVal val="0"/>
          <c:showCatName val="0"/>
          <c:showSerName val="0"/>
          <c:showPercent val="0"/>
          <c:showBubbleSize val="0"/>
        </c:dLbls>
        <c:gapWidth val="150"/>
        <c:gapDepth val="0"/>
        <c:shape val="box"/>
        <c:axId val="583284848"/>
        <c:axId val="583286416"/>
        <c:axId val="0"/>
      </c:bar3DChart>
      <c:catAx>
        <c:axId val="58328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286416"/>
        <c:crosses val="autoZero"/>
        <c:auto val="1"/>
        <c:lblAlgn val="ctr"/>
        <c:lblOffset val="100"/>
        <c:noMultiLvlLbl val="0"/>
      </c:catAx>
      <c:valAx>
        <c:axId val="583286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284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[HR_Analytics_Project.xlsx]PIVOT_ANALYSIS!PivotTable3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Avg Salary By Department </a:t>
            </a:r>
          </a:p>
        </c:rich>
      </c:tx>
      <c:layout>
        <c:manualLayout>
          <c:xMode val="edge"/>
          <c:yMode val="edge"/>
          <c:x val="0.11343731072077529"/>
          <c:y val="3.048780487804878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PIVOT_ANALYSIS!$H$3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PIVOT_ANALYSIS!$G$4:$G$10</c:f>
              <c:strCache>
                <c:ptCount val="6"/>
                <c:pt idx="0">
                  <c:v>Finance</c:v>
                </c:pt>
                <c:pt idx="1">
                  <c:v>HR</c:v>
                </c:pt>
                <c:pt idx="2">
                  <c:v>IT</c:v>
                </c:pt>
                <c:pt idx="3">
                  <c:v>Marketing</c:v>
                </c:pt>
                <c:pt idx="4">
                  <c:v>Operations</c:v>
                </c:pt>
                <c:pt idx="5">
                  <c:v>Sales</c:v>
                </c:pt>
              </c:strCache>
            </c:strRef>
          </c:cat>
          <c:val>
            <c:numRef>
              <c:f>PIVOT_ANALYSIS!$H$4:$H$10</c:f>
              <c:numCache>
                <c:formatCode>[$₹-4009]\ #,##0</c:formatCode>
                <c:ptCount val="6"/>
                <c:pt idx="0">
                  <c:v>86416.592592592599</c:v>
                </c:pt>
                <c:pt idx="1">
                  <c:v>86779.289156626503</c:v>
                </c:pt>
                <c:pt idx="2">
                  <c:v>84195.790697674413</c:v>
                </c:pt>
                <c:pt idx="3">
                  <c:v>91354.534883720931</c:v>
                </c:pt>
                <c:pt idx="4">
                  <c:v>86309.105882352946</c:v>
                </c:pt>
                <c:pt idx="5">
                  <c:v>85145.063291139246</c:v>
                </c:pt>
              </c:numCache>
            </c:numRef>
          </c:val>
        </c:ser>
        <c:dLbls>
          <c:showLegendKey val="0"/>
          <c:showVal val="1"/>
          <c:showCatName val="0"/>
          <c:showSerName val="0"/>
          <c:showPercent val="0"/>
          <c:showBubbleSize val="0"/>
        </c:dLbls>
        <c:gapWidth val="150"/>
        <c:gapDepth val="0"/>
        <c:shape val="box"/>
        <c:axId val="581764224"/>
        <c:axId val="581765400"/>
        <c:axId val="0"/>
      </c:bar3DChart>
      <c:catAx>
        <c:axId val="5817642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65400"/>
        <c:crosses val="autoZero"/>
        <c:auto val="1"/>
        <c:lblAlgn val="ctr"/>
        <c:lblOffset val="100"/>
        <c:noMultiLvlLbl val="0"/>
      </c:catAx>
      <c:valAx>
        <c:axId val="581765400"/>
        <c:scaling>
          <c:orientation val="minMax"/>
        </c:scaling>
        <c:delete val="1"/>
        <c:axPos val="l"/>
        <c:numFmt formatCode="[$₹-4009]\ #,##0" sourceLinked="1"/>
        <c:majorTickMark val="out"/>
        <c:minorTickMark val="none"/>
        <c:tickLblPos val="nextTo"/>
        <c:crossAx val="581764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[HR_Analytics_Project.xlsx]PIVOT_ANALYSIS!PivotTable2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Attribution By Department</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PIVOT_ANALYSIS!$E$3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PIVOT_ANALYSIS!$D$4:$D$10</c:f>
              <c:strCache>
                <c:ptCount val="6"/>
                <c:pt idx="0">
                  <c:v>Finance</c:v>
                </c:pt>
                <c:pt idx="1">
                  <c:v>HR</c:v>
                </c:pt>
                <c:pt idx="2">
                  <c:v>IT</c:v>
                </c:pt>
                <c:pt idx="3">
                  <c:v>Marketing</c:v>
                </c:pt>
                <c:pt idx="4">
                  <c:v>Operations</c:v>
                </c:pt>
                <c:pt idx="5">
                  <c:v>Sales</c:v>
                </c:pt>
              </c:strCache>
            </c:strRef>
          </c:cat>
          <c:val>
            <c:numRef>
              <c:f>PIVOT_ANALYSIS!$E$4:$E$10</c:f>
              <c:numCache>
                <c:formatCode>General</c:formatCode>
                <c:ptCount val="6"/>
                <c:pt idx="0">
                  <c:v>15</c:v>
                </c:pt>
                <c:pt idx="1">
                  <c:v>9</c:v>
                </c:pt>
                <c:pt idx="2">
                  <c:v>18</c:v>
                </c:pt>
                <c:pt idx="3">
                  <c:v>12</c:v>
                </c:pt>
                <c:pt idx="4">
                  <c:v>14</c:v>
                </c:pt>
                <c:pt idx="5">
                  <c:v>6</c:v>
                </c:pt>
              </c:numCache>
            </c:numRef>
          </c:val>
        </c:ser>
        <c:dLbls>
          <c:showLegendKey val="0"/>
          <c:showVal val="1"/>
          <c:showCatName val="0"/>
          <c:showSerName val="0"/>
          <c:showPercent val="0"/>
          <c:showBubbleSize val="0"/>
        </c:dLbls>
        <c:gapWidth val="150"/>
        <c:gapDepth val="0"/>
        <c:shape val="box"/>
        <c:axId val="506762840"/>
        <c:axId val="506751080"/>
        <c:axId val="0"/>
      </c:bar3DChart>
      <c:catAx>
        <c:axId val="506762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751080"/>
        <c:crosses val="autoZero"/>
        <c:auto val="1"/>
        <c:lblAlgn val="ctr"/>
        <c:lblOffset val="100"/>
        <c:noMultiLvlLbl val="0"/>
      </c:catAx>
      <c:valAx>
        <c:axId val="506751080"/>
        <c:scaling>
          <c:orientation val="minMax"/>
        </c:scaling>
        <c:delete val="1"/>
        <c:axPos val="l"/>
        <c:numFmt formatCode="General" sourceLinked="1"/>
        <c:majorTickMark val="none"/>
        <c:minorTickMark val="none"/>
        <c:tickLblPos val="nextTo"/>
        <c:crossAx val="506762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[HR_Analytics_Project.xlsx]PIVOT_ANALYSIS!PivotTable4</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Gender Distribution</a:t>
            </a:r>
          </a:p>
        </c:rich>
      </c:tx>
      <c:layout>
        <c:manualLayout>
          <c:xMode val="edge"/>
          <c:yMode val="edge"/>
          <c:x val="0.10312225153913811"/>
          <c:y val="4.704301075268817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chemeClr val="tx1">
                <a:lumMod val="50000"/>
                <a:lumOff val="50000"/>
                <a:alpha val="8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tx1">
                <a:lumMod val="50000"/>
                <a:lumOff val="50000"/>
                <a:alpha val="8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solidFill>
              <a:schemeClr val="tx1">
                <a:lumMod val="50000"/>
                <a:lumOff val="50000"/>
                <a:alpha val="8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layout/>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PIVOT_ANALYSIS!$B$12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solidFill>
                <a:schemeClr val="tx1">
                  <a:lumMod val="50000"/>
                  <a:lumOff val="50000"/>
                  <a:alpha val="85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bestFit"/>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PIVOT_ANALYSIS!$A$13:$A$15</c:f>
              <c:strCache>
                <c:ptCount val="2"/>
                <c:pt idx="0">
                  <c:v>Female</c:v>
                </c:pt>
                <c:pt idx="1">
                  <c:v>Male</c:v>
                </c:pt>
              </c:strCache>
            </c:strRef>
          </c:cat>
          <c:val>
            <c:numRef>
              <c:f>PIVOT_ANALYSIS!$B$13:$B$15</c:f>
              <c:numCache>
                <c:formatCode>General</c:formatCode>
                <c:ptCount val="2"/>
                <c:pt idx="0">
                  <c:v>258</c:v>
                </c:pt>
                <c:pt idx="1">
                  <c:v>242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[HR_Analytics_Project.xlsx]PIVOT_ANALYSIS!PivotTable2</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Attribution By Department</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PIVOT_ANALYSIS!$E$3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PIVOT_ANALYSIS!$D$4:$D$10</c:f>
              <c:strCache>
                <c:ptCount val="6"/>
                <c:pt idx="0">
                  <c:v>Finance</c:v>
                </c:pt>
                <c:pt idx="1">
                  <c:v>HR</c:v>
                </c:pt>
                <c:pt idx="2">
                  <c:v>IT</c:v>
                </c:pt>
                <c:pt idx="3">
                  <c:v>Marketing</c:v>
                </c:pt>
                <c:pt idx="4">
                  <c:v>Operations</c:v>
                </c:pt>
                <c:pt idx="5">
                  <c:v>Sales</c:v>
                </c:pt>
              </c:strCache>
            </c:strRef>
          </c:cat>
          <c:val>
            <c:numRef>
              <c:f>PIVOT_ANALYSIS!$E$4:$E$10</c:f>
              <c:numCache>
                <c:formatCode>General</c:formatCode>
                <c:ptCount val="6"/>
                <c:pt idx="0">
                  <c:v>15</c:v>
                </c:pt>
                <c:pt idx="1">
                  <c:v>9</c:v>
                </c:pt>
                <c:pt idx="2">
                  <c:v>18</c:v>
                </c:pt>
                <c:pt idx="3">
                  <c:v>12</c:v>
                </c:pt>
                <c:pt idx="4">
                  <c:v>14</c:v>
                </c:pt>
                <c:pt idx="5">
                  <c:v>6</c:v>
                </c:pt>
              </c:numCache>
            </c:numRef>
          </c:val>
        </c:ser>
        <c:dLbls>
          <c:showLegendKey val="0"/>
          <c:showVal val="1"/>
          <c:showCatName val="0"/>
          <c:showSerName val="0"/>
          <c:showPercent val="0"/>
          <c:showBubbleSize val="0"/>
        </c:dLbls>
        <c:gapWidth val="150"/>
        <c:gapDepth val="0"/>
        <c:shape val="box"/>
        <c:axId val="589614416"/>
        <c:axId val="589612848"/>
        <c:axId val="0"/>
      </c:bar3DChart>
      <c:catAx>
        <c:axId val="589614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612848"/>
        <c:crosses val="autoZero"/>
        <c:auto val="1"/>
        <c:lblAlgn val="ctr"/>
        <c:lblOffset val="100"/>
        <c:noMultiLvlLbl val="0"/>
      </c:catAx>
      <c:valAx>
        <c:axId val="589612848"/>
        <c:scaling>
          <c:orientation val="minMax"/>
        </c:scaling>
        <c:delete val="1"/>
        <c:axPos val="l"/>
        <c:numFmt formatCode="General" sourceLinked="1"/>
        <c:majorTickMark val="none"/>
        <c:minorTickMark val="none"/>
        <c:tickLblPos val="nextTo"/>
        <c:crossAx val="589614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[HR_Analytics_Project.xlsx]PIVOT_ANALYSIS!PivotTable1</c:name>
    <c:fmtId val="1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Employee Count By Department</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PIVOT_ANALYSIS!$B$2</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PIVOT_ANALYSIS!$A$3:$A$9</c:f>
              <c:strCache>
                <c:ptCount val="6"/>
                <c:pt idx="0">
                  <c:v>Finance</c:v>
                </c:pt>
                <c:pt idx="1">
                  <c:v>HR</c:v>
                </c:pt>
                <c:pt idx="2">
                  <c:v>IT</c:v>
                </c:pt>
                <c:pt idx="3">
                  <c:v>Marketing</c:v>
                </c:pt>
                <c:pt idx="4">
                  <c:v>Operations</c:v>
                </c:pt>
                <c:pt idx="5">
                  <c:v>Sales</c:v>
                </c:pt>
              </c:strCache>
            </c:strRef>
          </c:cat>
          <c:val>
            <c:numRef>
              <c:f>PIVOT_ANALYSIS!$B$3:$B$9</c:f>
              <c:numCache>
                <c:formatCode>General</c:formatCode>
                <c:ptCount val="6"/>
                <c:pt idx="0">
                  <c:v>81</c:v>
                </c:pt>
                <c:pt idx="1">
                  <c:v>83</c:v>
                </c:pt>
                <c:pt idx="2">
                  <c:v>86</c:v>
                </c:pt>
                <c:pt idx="3">
                  <c:v>86</c:v>
                </c:pt>
                <c:pt idx="4">
                  <c:v>85</c:v>
                </c:pt>
                <c:pt idx="5">
                  <c:v>79</c:v>
                </c:pt>
              </c:numCache>
            </c:numRef>
          </c:val>
        </c:ser>
        <c:dLbls>
          <c:showLegendKey val="0"/>
          <c:showVal val="0"/>
          <c:showCatName val="0"/>
          <c:showSerName val="0"/>
          <c:showPercent val="0"/>
          <c:showBubbleSize val="0"/>
        </c:dLbls>
        <c:gapWidth val="150"/>
        <c:gapDepth val="0"/>
        <c:shape val="box"/>
        <c:axId val="590945344"/>
        <c:axId val="590945736"/>
        <c:axId val="0"/>
      </c:bar3DChart>
      <c:catAx>
        <c:axId val="590945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45736"/>
        <c:crosses val="autoZero"/>
        <c:auto val="1"/>
        <c:lblAlgn val="ctr"/>
        <c:lblOffset val="100"/>
        <c:noMultiLvlLbl val="0"/>
      </c:catAx>
      <c:valAx>
        <c:axId val="590945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45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[HR_Analytics_Project.xlsx]PIVOT_ANALYSIS!PivotTable3</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Avg Salary By Department </a:t>
            </a:r>
          </a:p>
        </c:rich>
      </c:tx>
      <c:layout>
        <c:manualLayout>
          <c:xMode val="edge"/>
          <c:yMode val="edge"/>
          <c:x val="0.11343731072077529"/>
          <c:y val="3.048780487804878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PIVOT_ANALYSIS!$H$3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PIVOT_ANALYSIS!$G$4:$G$10</c:f>
              <c:strCache>
                <c:ptCount val="6"/>
                <c:pt idx="0">
                  <c:v>Finance</c:v>
                </c:pt>
                <c:pt idx="1">
                  <c:v>HR</c:v>
                </c:pt>
                <c:pt idx="2">
                  <c:v>IT</c:v>
                </c:pt>
                <c:pt idx="3">
                  <c:v>Marketing</c:v>
                </c:pt>
                <c:pt idx="4">
                  <c:v>Operations</c:v>
                </c:pt>
                <c:pt idx="5">
                  <c:v>Sales</c:v>
                </c:pt>
              </c:strCache>
            </c:strRef>
          </c:cat>
          <c:val>
            <c:numRef>
              <c:f>PIVOT_ANALYSIS!$H$4:$H$10</c:f>
              <c:numCache>
                <c:formatCode>[$₹-4009]\ #,##0</c:formatCode>
                <c:ptCount val="6"/>
                <c:pt idx="0">
                  <c:v>86416.592592592599</c:v>
                </c:pt>
                <c:pt idx="1">
                  <c:v>86779.289156626503</c:v>
                </c:pt>
                <c:pt idx="2">
                  <c:v>84195.790697674413</c:v>
                </c:pt>
                <c:pt idx="3">
                  <c:v>91354.534883720931</c:v>
                </c:pt>
                <c:pt idx="4">
                  <c:v>86309.105882352946</c:v>
                </c:pt>
                <c:pt idx="5">
                  <c:v>85145.063291139246</c:v>
                </c:pt>
              </c:numCache>
            </c:numRef>
          </c:val>
        </c:ser>
        <c:dLbls>
          <c:showLegendKey val="0"/>
          <c:showVal val="1"/>
          <c:showCatName val="0"/>
          <c:showSerName val="0"/>
          <c:showPercent val="0"/>
          <c:showBubbleSize val="0"/>
        </c:dLbls>
        <c:gapWidth val="150"/>
        <c:gapDepth val="0"/>
        <c:shape val="box"/>
        <c:axId val="643503960"/>
        <c:axId val="643505528"/>
        <c:axId val="0"/>
      </c:bar3DChart>
      <c:catAx>
        <c:axId val="643503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505528"/>
        <c:crosses val="autoZero"/>
        <c:auto val="1"/>
        <c:lblAlgn val="ctr"/>
        <c:lblOffset val="100"/>
        <c:noMultiLvlLbl val="0"/>
      </c:catAx>
      <c:valAx>
        <c:axId val="643505528"/>
        <c:scaling>
          <c:orientation val="minMax"/>
        </c:scaling>
        <c:delete val="1"/>
        <c:axPos val="l"/>
        <c:numFmt formatCode="[$₹-4009]\ #,##0" sourceLinked="1"/>
        <c:majorTickMark val="out"/>
        <c:minorTickMark val="none"/>
        <c:tickLblPos val="nextTo"/>
        <c:crossAx val="643503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193299</xdr:colOff>
      <xdr:row>15</xdr:row>
      <xdr:rowOff>121299</xdr:rowOff>
    </xdr:from>
    <xdr:to>
      <xdr:col>3</xdr:col>
      <xdr:colOff>231399</xdr:colOff>
      <xdr:row>25</xdr:row>
      <xdr:rowOff>185991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196099</xdr:colOff>
      <xdr:row>18</xdr:row>
      <xdr:rowOff>93307</xdr:rowOff>
    </xdr:from>
    <xdr:to>
      <xdr:col>7</xdr:col>
      <xdr:colOff>1073989</xdr:colOff>
      <xdr:row>26</xdr:row>
      <xdr:rowOff>4822</xdr:rowOff>
    </xdr:to>
    <mc:AlternateContent xmlns:mc="http://schemas.openxmlformats.org/markup-compatibility/2006">
      <mc:Choice xmlns:a14="http://schemas.microsoft.com/office/drawing/2010/main"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316947" y="3373220"/>
              <a:ext cx="1780694" cy="1369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194387</xdr:colOff>
      <xdr:row>0</xdr:row>
      <xdr:rowOff>122543</xdr:rowOff>
    </xdr:from>
    <xdr:to>
      <xdr:col>11</xdr:col>
      <xdr:colOff>163908</xdr:colOff>
      <xdr:row>11</xdr:row>
      <xdr:rowOff>99683</xdr:rowOff>
    </xdr:to>
    <mc:AlternateContent xmlns:mc="http://schemas.openxmlformats.org/markup-compatibility/2006">
      <mc:Choice xmlns:a14="http://schemas.microsoft.com/office/drawing/2010/main" Requires="a14">
        <xdr:graphicFrame macro="">
          <xdr:nvGraphicFramePr>
            <xdr:cNvPr id="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311344" y="122543"/>
              <a:ext cx="1808260" cy="1981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157221</xdr:colOff>
      <xdr:row>11</xdr:row>
      <xdr:rowOff>36700</xdr:rowOff>
    </xdr:from>
    <xdr:to>
      <xdr:col>7</xdr:col>
      <xdr:colOff>1042731</xdr:colOff>
      <xdr:row>17</xdr:row>
      <xdr:rowOff>131873</xdr:rowOff>
    </xdr:to>
    <mc:AlternateContent xmlns:mc="http://schemas.openxmlformats.org/markup-compatibility/2006">
      <mc:Choice xmlns:a14="http://schemas.microsoft.com/office/drawing/2010/main" Requires="a14">
        <xdr:graphicFrame macro="">
          <xdr:nvGraphicFramePr>
            <xdr:cNvPr id="5" name="Work_Mode"/>
            <xdr:cNvGraphicFramePr/>
          </xdr:nvGraphicFramePr>
          <xdr:xfrm>
            <a:off x="0" y="0"/>
            <a:ext cx="0" cy="0"/>
          </xdr:xfrm>
          <a:graphic>
            <a:graphicData uri="http://schemas.microsoft.com/office/drawing/2010/slicer">
              <sle:slicer xmlns:sle="http://schemas.microsoft.com/office/drawing/2010/slicer" name="Work_Mode"/>
            </a:graphicData>
          </a:graphic>
        </xdr:graphicFrame>
      </mc:Choice>
      <mc:Fallback>
        <xdr:sp macro="" textlink="">
          <xdr:nvSpPr>
            <xdr:cNvPr id="0" name=""/>
            <xdr:cNvSpPr>
              <a:spLocks noTextEdit="1"/>
            </xdr:cNvSpPr>
          </xdr:nvSpPr>
          <xdr:spPr>
            <a:xfrm>
              <a:off x="6278069" y="2041091"/>
              <a:ext cx="1788314" cy="1188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27</xdr:row>
      <xdr:rowOff>83820</xdr:rowOff>
    </xdr:from>
    <xdr:to>
      <xdr:col>4</xdr:col>
      <xdr:colOff>320040</xdr:colOff>
      <xdr:row>40</xdr:row>
      <xdr:rowOff>7620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541020</xdr:colOff>
      <xdr:row>27</xdr:row>
      <xdr:rowOff>68580</xdr:rowOff>
    </xdr:from>
    <xdr:to>
      <xdr:col>7</xdr:col>
      <xdr:colOff>839756</xdr:colOff>
      <xdr:row>41</xdr:row>
      <xdr:rowOff>7620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1026367</xdr:colOff>
      <xdr:row>27</xdr:row>
      <xdr:rowOff>50854</xdr:rowOff>
    </xdr:from>
    <xdr:to>
      <xdr:col>16</xdr:col>
      <xdr:colOff>155509</xdr:colOff>
      <xdr:row>40</xdr:row>
      <xdr:rowOff>139959</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410155</xdr:colOff>
      <xdr:row>12</xdr:row>
      <xdr:rowOff>26836</xdr:rowOff>
    </xdr:from>
    <xdr:to>
      <xdr:col>11</xdr:col>
      <xdr:colOff>400216</xdr:colOff>
      <xdr:row>25</xdr:row>
      <xdr:rowOff>124985</xdr:rowOff>
    </xdr:to>
    <mc:AlternateContent xmlns:mc="http://schemas.openxmlformats.org/markup-compatibility/2006">
      <mc:Choice xmlns:a14="http://schemas.microsoft.com/office/drawing/2010/main" Requires="a14">
        <xdr:graphicFrame macro="">
          <xdr:nvGraphicFramePr>
            <xdr:cNvPr id="9" name="Job_Role"/>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8527112" y="221344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372717</xdr:colOff>
      <xdr:row>3</xdr:row>
      <xdr:rowOff>157369</xdr:rowOff>
    </xdr:from>
    <xdr:to>
      <xdr:col>15</xdr:col>
      <xdr:colOff>362778</xdr:colOff>
      <xdr:row>17</xdr:row>
      <xdr:rowOff>73300</xdr:rowOff>
    </xdr:to>
    <mc:AlternateContent xmlns:mc="http://schemas.openxmlformats.org/markup-compatibility/2006">
      <mc:Choice xmlns:a14="http://schemas.microsoft.com/office/drawing/2010/main" Requires="a14">
        <xdr:graphicFrame macro="">
          <xdr:nvGraphicFramePr>
            <xdr:cNvPr id="11"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10941326" y="70402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155566</xdr:colOff>
      <xdr:row>10</xdr:row>
      <xdr:rowOff>101336</xdr:rowOff>
    </xdr:from>
    <xdr:to>
      <xdr:col>11</xdr:col>
      <xdr:colOff>155566</xdr:colOff>
      <xdr:row>16</xdr:row>
      <xdr:rowOff>70856</xdr:rowOff>
    </xdr:to>
    <xdr:sp macro="" textlink="">
      <xdr:nvSpPr>
        <xdr:cNvPr id="23" name="Rectangle 22"/>
        <xdr:cNvSpPr/>
      </xdr:nvSpPr>
      <xdr:spPr>
        <a:xfrm>
          <a:off x="5064034" y="1882635"/>
          <a:ext cx="1840675" cy="1038299"/>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j</a:t>
          </a:r>
        </a:p>
      </xdr:txBody>
    </xdr:sp>
    <xdr:clientData/>
  </xdr:twoCellAnchor>
  <xdr:twoCellAnchor>
    <xdr:from>
      <xdr:col>0</xdr:col>
      <xdr:colOff>0</xdr:colOff>
      <xdr:row>0</xdr:row>
      <xdr:rowOff>34054</xdr:rowOff>
    </xdr:from>
    <xdr:to>
      <xdr:col>26</xdr:col>
      <xdr:colOff>206963</xdr:colOff>
      <xdr:row>37</xdr:row>
      <xdr:rowOff>112889</xdr:rowOff>
    </xdr:to>
    <xdr:sp macro="" textlink="">
      <xdr:nvSpPr>
        <xdr:cNvPr id="27" name="Rectangle 26"/>
        <xdr:cNvSpPr/>
      </xdr:nvSpPr>
      <xdr:spPr>
        <a:xfrm>
          <a:off x="0" y="34054"/>
          <a:ext cx="16105482" cy="6692242"/>
        </a:xfrm>
        <a:prstGeom prst="rect">
          <a:avLst/>
        </a:prstGeom>
        <a:solidFill>
          <a:schemeClr val="accent1">
            <a:lumMod val="40000"/>
            <a:lumOff val="60000"/>
            <a:alpha val="74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340168</xdr:colOff>
      <xdr:row>6</xdr:row>
      <xdr:rowOff>60972</xdr:rowOff>
    </xdr:from>
    <xdr:to>
      <xdr:col>7</xdr:col>
      <xdr:colOff>21535</xdr:colOff>
      <xdr:row>11</xdr:row>
      <xdr:rowOff>150863</xdr:rowOff>
    </xdr:to>
    <xdr:grpSp>
      <xdr:nvGrpSpPr>
        <xdr:cNvPr id="58" name="Group 57"/>
        <xdr:cNvGrpSpPr/>
      </xdr:nvGrpSpPr>
      <xdr:grpSpPr>
        <a:xfrm>
          <a:off x="2168968" y="1158252"/>
          <a:ext cx="2119767" cy="1004291"/>
          <a:chOff x="2168968" y="105415"/>
          <a:chExt cx="2119767" cy="1008431"/>
        </a:xfrm>
        <a:effectLst>
          <a:outerShdw blurRad="50800" dist="38100" dir="2700000" algn="tl" rotWithShape="0">
            <a:prstClr val="black">
              <a:alpha val="40000"/>
            </a:prstClr>
          </a:outerShdw>
        </a:effectLst>
      </xdr:grpSpPr>
      <xdr:sp macro="" textlink="">
        <xdr:nvSpPr>
          <xdr:cNvPr id="33" name="Rectangle 32"/>
          <xdr:cNvSpPr/>
        </xdr:nvSpPr>
        <xdr:spPr>
          <a:xfrm>
            <a:off x="2168968" y="105415"/>
            <a:ext cx="2119767" cy="1008431"/>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j</a:t>
            </a:r>
          </a:p>
        </xdr:txBody>
      </xdr:sp>
      <xdr:sp macro="" textlink="">
        <xdr:nvSpPr>
          <xdr:cNvPr id="34" name="TextBox 33"/>
          <xdr:cNvSpPr txBox="1"/>
        </xdr:nvSpPr>
        <xdr:spPr>
          <a:xfrm>
            <a:off x="2230795" y="191852"/>
            <a:ext cx="2013779" cy="37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Total </a:t>
            </a:r>
            <a:r>
              <a:rPr lang="en-US" sz="1600" b="1">
                <a:solidFill>
                  <a:schemeClr val="dk1"/>
                </a:solidFill>
                <a:latin typeface="+mn-lt"/>
                <a:ea typeface="+mn-ea"/>
                <a:cs typeface="+mn-cs"/>
              </a:rPr>
              <a:t>Employees</a:t>
            </a:r>
          </a:p>
        </xdr:txBody>
      </xdr:sp>
      <xdr:sp macro="" textlink="KPI!B4">
        <xdr:nvSpPr>
          <xdr:cNvPr id="35" name="TextBox 34"/>
          <xdr:cNvSpPr txBox="1"/>
        </xdr:nvSpPr>
        <xdr:spPr>
          <a:xfrm>
            <a:off x="2746709" y="571114"/>
            <a:ext cx="953895" cy="37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697329-5D71-4D75-8EAA-47A9E534EC1B}" type="TxLink">
              <a:rPr lang="en-US" sz="2400" b="1" i="0" u="none" strike="noStrike">
                <a:solidFill>
                  <a:srgbClr val="000000"/>
                </a:solidFill>
                <a:latin typeface="Calibri"/>
                <a:ea typeface="Calibri"/>
                <a:cs typeface="Calibri"/>
              </a:rPr>
              <a:t>500</a:t>
            </a:fld>
            <a:endParaRPr lang="en-US" sz="3200" b="1"/>
          </a:p>
        </xdr:txBody>
      </xdr:sp>
    </xdr:grpSp>
    <xdr:clientData/>
  </xdr:twoCellAnchor>
  <xdr:twoCellAnchor editAs="oneCell">
    <xdr:from>
      <xdr:col>0</xdr:col>
      <xdr:colOff>66705</xdr:colOff>
      <xdr:row>6</xdr:row>
      <xdr:rowOff>42310</xdr:rowOff>
    </xdr:from>
    <xdr:to>
      <xdr:col>3</xdr:col>
      <xdr:colOff>260396</xdr:colOff>
      <xdr:row>17</xdr:row>
      <xdr:rowOff>172720</xdr:rowOff>
    </xdr:to>
    <mc:AlternateContent xmlns:mc="http://schemas.openxmlformats.org/markup-compatibility/2006">
      <mc:Choice xmlns:a14="http://schemas.microsoft.com/office/drawing/2010/main" Requires="a14">
        <xdr:graphicFrame macro="">
          <xdr:nvGraphicFramePr>
            <xdr:cNvPr id="36"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66705" y="1139590"/>
              <a:ext cx="2022491" cy="2142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77451</xdr:colOff>
      <xdr:row>18</xdr:row>
      <xdr:rowOff>70820</xdr:rowOff>
    </xdr:from>
    <xdr:to>
      <xdr:col>3</xdr:col>
      <xdr:colOff>274320</xdr:colOff>
      <xdr:row>23</xdr:row>
      <xdr:rowOff>132079</xdr:rowOff>
    </xdr:to>
    <mc:AlternateContent xmlns:mc="http://schemas.openxmlformats.org/markup-compatibility/2006">
      <mc:Choice xmlns:a14="http://schemas.microsoft.com/office/drawing/2010/main" Requires="a14">
        <xdr:graphicFrame macro="">
          <xdr:nvGraphicFramePr>
            <xdr:cNvPr id="37"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7451" y="3362660"/>
              <a:ext cx="2025669" cy="975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74629</xdr:colOff>
      <xdr:row>24</xdr:row>
      <xdr:rowOff>20320</xdr:rowOff>
    </xdr:from>
    <xdr:to>
      <xdr:col>3</xdr:col>
      <xdr:colOff>276389</xdr:colOff>
      <xdr:row>31</xdr:row>
      <xdr:rowOff>40640</xdr:rowOff>
    </xdr:to>
    <mc:AlternateContent xmlns:mc="http://schemas.openxmlformats.org/markup-compatibility/2006">
      <mc:Choice xmlns:a14="http://schemas.microsoft.com/office/drawing/2010/main" Requires="a14">
        <xdr:graphicFrame macro="">
          <xdr:nvGraphicFramePr>
            <xdr:cNvPr id="38" name="Work_Mode 1"/>
            <xdr:cNvGraphicFramePr/>
          </xdr:nvGraphicFramePr>
          <xdr:xfrm>
            <a:off x="0" y="0"/>
            <a:ext cx="0" cy="0"/>
          </xdr:xfrm>
          <a:graphic>
            <a:graphicData uri="http://schemas.microsoft.com/office/drawing/2010/slicer">
              <sle:slicer xmlns:sle="http://schemas.microsoft.com/office/drawing/2010/slicer" name="Work_Mode 1"/>
            </a:graphicData>
          </a:graphic>
        </xdr:graphicFrame>
      </mc:Choice>
      <mc:Fallback>
        <xdr:sp macro="" textlink="">
          <xdr:nvSpPr>
            <xdr:cNvPr id="0" name=""/>
            <xdr:cNvSpPr>
              <a:spLocks noTextEdit="1"/>
            </xdr:cNvSpPr>
          </xdr:nvSpPr>
          <xdr:spPr>
            <a:xfrm>
              <a:off x="74629" y="4409440"/>
              <a:ext cx="2030560" cy="1300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149572</xdr:colOff>
      <xdr:row>6</xdr:row>
      <xdr:rowOff>61766</xdr:rowOff>
    </xdr:from>
    <xdr:to>
      <xdr:col>10</xdr:col>
      <xdr:colOff>427378</xdr:colOff>
      <xdr:row>11</xdr:row>
      <xdr:rowOff>141761</xdr:rowOff>
    </xdr:to>
    <xdr:grpSp>
      <xdr:nvGrpSpPr>
        <xdr:cNvPr id="57" name="Group 56"/>
        <xdr:cNvGrpSpPr/>
      </xdr:nvGrpSpPr>
      <xdr:grpSpPr>
        <a:xfrm>
          <a:off x="4416772" y="1159046"/>
          <a:ext cx="2106606" cy="994395"/>
          <a:chOff x="4604624" y="99408"/>
          <a:chExt cx="2106606" cy="998535"/>
        </a:xfrm>
        <a:effectLst>
          <a:outerShdw blurRad="50800" dist="38100" dir="2700000" algn="tl" rotWithShape="0">
            <a:prstClr val="black">
              <a:alpha val="40000"/>
            </a:prstClr>
          </a:outerShdw>
        </a:effectLst>
      </xdr:grpSpPr>
      <xdr:sp macro="" textlink="">
        <xdr:nvSpPr>
          <xdr:cNvPr id="28" name="Rectangle 27"/>
          <xdr:cNvSpPr/>
        </xdr:nvSpPr>
        <xdr:spPr>
          <a:xfrm>
            <a:off x="4604624" y="99408"/>
            <a:ext cx="2106606" cy="99853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j</a:t>
            </a:r>
          </a:p>
        </xdr:txBody>
      </xdr:sp>
      <xdr:sp macro="" textlink="">
        <xdr:nvSpPr>
          <xdr:cNvPr id="39" name="TextBox 38"/>
          <xdr:cNvSpPr txBox="1"/>
        </xdr:nvSpPr>
        <xdr:spPr>
          <a:xfrm>
            <a:off x="4944048" y="197649"/>
            <a:ext cx="1521604" cy="36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latin typeface="+mn-lt"/>
                <a:ea typeface="+mn-ea"/>
                <a:cs typeface="+mn-cs"/>
              </a:rPr>
              <a:t>Attrition Count</a:t>
            </a:r>
          </a:p>
        </xdr:txBody>
      </xdr:sp>
      <xdr:sp macro="" textlink="KPI!B6">
        <xdr:nvSpPr>
          <xdr:cNvPr id="41" name="TextBox 40"/>
          <xdr:cNvSpPr txBox="1"/>
        </xdr:nvSpPr>
        <xdr:spPr>
          <a:xfrm>
            <a:off x="4787209" y="642260"/>
            <a:ext cx="1808699" cy="292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C02CE4-FF2C-47E7-A995-0674E0575BFF}" type="TxLink">
              <a:rPr lang="en-US" sz="2400" b="1" i="0" u="none" strike="noStrike">
                <a:solidFill>
                  <a:srgbClr val="000000"/>
                </a:solidFill>
                <a:latin typeface="Calibri"/>
                <a:ea typeface="Calibri"/>
                <a:cs typeface="Calibri"/>
              </a:rPr>
              <a:pPr marL="0" indent="0" algn="ctr"/>
              <a:t>74</a:t>
            </a:fld>
            <a:endParaRPr lang="en-US" sz="2400" b="1" i="0" u="none" strike="noStrike">
              <a:solidFill>
                <a:srgbClr val="000000"/>
              </a:solidFill>
              <a:latin typeface="Calibri"/>
              <a:ea typeface="Calibri"/>
              <a:cs typeface="Calibri"/>
            </a:endParaRPr>
          </a:p>
        </xdr:txBody>
      </xdr:sp>
    </xdr:grpSp>
    <xdr:clientData/>
  </xdr:twoCellAnchor>
  <xdr:twoCellAnchor>
    <xdr:from>
      <xdr:col>10</xdr:col>
      <xdr:colOff>533639</xdr:colOff>
      <xdr:row>6</xdr:row>
      <xdr:rowOff>61517</xdr:rowOff>
    </xdr:from>
    <xdr:to>
      <xdr:col>14</xdr:col>
      <xdr:colOff>210219</xdr:colOff>
      <xdr:row>11</xdr:row>
      <xdr:rowOff>140078</xdr:rowOff>
    </xdr:to>
    <xdr:grpSp>
      <xdr:nvGrpSpPr>
        <xdr:cNvPr id="56" name="Group 55"/>
        <xdr:cNvGrpSpPr/>
      </xdr:nvGrpSpPr>
      <xdr:grpSpPr>
        <a:xfrm>
          <a:off x="6629639" y="1158797"/>
          <a:ext cx="2114980" cy="992961"/>
          <a:chOff x="7027118" y="89741"/>
          <a:chExt cx="2114980" cy="992961"/>
        </a:xfrm>
        <a:effectLst>
          <a:outerShdw blurRad="50800" dist="38100" dir="2700000" algn="tl" rotWithShape="0">
            <a:prstClr val="black">
              <a:alpha val="40000"/>
            </a:prstClr>
          </a:outerShdw>
        </a:effectLst>
      </xdr:grpSpPr>
      <xdr:sp macro="" textlink="">
        <xdr:nvSpPr>
          <xdr:cNvPr id="29" name="Rectangle 28"/>
          <xdr:cNvSpPr/>
        </xdr:nvSpPr>
        <xdr:spPr>
          <a:xfrm>
            <a:off x="7027118" y="89741"/>
            <a:ext cx="2114980" cy="992961"/>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j</a:t>
            </a:r>
          </a:p>
        </xdr:txBody>
      </xdr:sp>
      <xdr:sp macro="" textlink="">
        <xdr:nvSpPr>
          <xdr:cNvPr id="42" name="TextBox 41"/>
          <xdr:cNvSpPr txBox="1"/>
        </xdr:nvSpPr>
        <xdr:spPr>
          <a:xfrm>
            <a:off x="7486277" y="187871"/>
            <a:ext cx="1637188" cy="301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latin typeface="+mn-lt"/>
                <a:ea typeface="+mn-ea"/>
                <a:cs typeface="+mn-cs"/>
              </a:rPr>
              <a:t>Attrition Rate </a:t>
            </a:r>
          </a:p>
        </xdr:txBody>
      </xdr:sp>
      <xdr:sp macro="" textlink="KPI!B8">
        <xdr:nvSpPr>
          <xdr:cNvPr id="43" name="TextBox 42"/>
          <xdr:cNvSpPr txBox="1"/>
        </xdr:nvSpPr>
        <xdr:spPr>
          <a:xfrm>
            <a:off x="7309256" y="613411"/>
            <a:ext cx="1724895" cy="318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518844-FDA7-4433-A388-306D65B85A8A}" type="TxLink">
              <a:rPr lang="en-US" sz="2400" b="1" i="0" u="none" strike="noStrike">
                <a:solidFill>
                  <a:srgbClr val="000000"/>
                </a:solidFill>
                <a:latin typeface="Calibri"/>
                <a:ea typeface="Calibri"/>
                <a:cs typeface="Calibri"/>
              </a:rPr>
              <a:pPr marL="0" indent="0" algn="ctr"/>
              <a:t>14.80%</a:t>
            </a:fld>
            <a:endParaRPr lang="en-US" sz="2400" b="1" i="0" u="none" strike="noStrike">
              <a:solidFill>
                <a:srgbClr val="000000"/>
              </a:solidFill>
              <a:latin typeface="Calibri"/>
              <a:ea typeface="Calibri"/>
              <a:cs typeface="Calibri"/>
            </a:endParaRPr>
          </a:p>
        </xdr:txBody>
      </xdr:sp>
    </xdr:grpSp>
    <xdr:clientData/>
  </xdr:twoCellAnchor>
  <xdr:twoCellAnchor>
    <xdr:from>
      <xdr:col>14</xdr:col>
      <xdr:colOff>332984</xdr:colOff>
      <xdr:row>6</xdr:row>
      <xdr:rowOff>56719</xdr:rowOff>
    </xdr:from>
    <xdr:to>
      <xdr:col>18</xdr:col>
      <xdr:colOff>15197</xdr:colOff>
      <xdr:row>11</xdr:row>
      <xdr:rowOff>115559</xdr:rowOff>
    </xdr:to>
    <xdr:grpSp>
      <xdr:nvGrpSpPr>
        <xdr:cNvPr id="55" name="Group 54"/>
        <xdr:cNvGrpSpPr/>
      </xdr:nvGrpSpPr>
      <xdr:grpSpPr>
        <a:xfrm>
          <a:off x="8867384" y="1153999"/>
          <a:ext cx="2120613" cy="973240"/>
          <a:chOff x="9457986" y="92369"/>
          <a:chExt cx="2120613" cy="973240"/>
        </a:xfrm>
        <a:effectLst>
          <a:outerShdw blurRad="50800" dist="38100" dir="2700000" algn="tl" rotWithShape="0">
            <a:prstClr val="black">
              <a:alpha val="40000"/>
            </a:prstClr>
          </a:outerShdw>
        </a:effectLst>
      </xdr:grpSpPr>
      <xdr:sp macro="" textlink="">
        <xdr:nvSpPr>
          <xdr:cNvPr id="30" name="Rectangle 29"/>
          <xdr:cNvSpPr/>
        </xdr:nvSpPr>
        <xdr:spPr>
          <a:xfrm>
            <a:off x="9457986" y="92369"/>
            <a:ext cx="2120613" cy="97324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j</a:t>
            </a:r>
          </a:p>
        </xdr:txBody>
      </xdr:sp>
      <xdr:sp macro="" textlink="">
        <xdr:nvSpPr>
          <xdr:cNvPr id="44" name="TextBox 43"/>
          <xdr:cNvSpPr txBox="1"/>
        </xdr:nvSpPr>
        <xdr:spPr>
          <a:xfrm>
            <a:off x="9770705" y="184542"/>
            <a:ext cx="1602197" cy="282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Average Salary</a:t>
            </a:r>
          </a:p>
        </xdr:txBody>
      </xdr:sp>
      <xdr:sp macro="" textlink="KPI!B10">
        <xdr:nvSpPr>
          <xdr:cNvPr id="45" name="TextBox 44"/>
          <xdr:cNvSpPr txBox="1"/>
        </xdr:nvSpPr>
        <xdr:spPr>
          <a:xfrm>
            <a:off x="9673157" y="601067"/>
            <a:ext cx="1665282" cy="291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8075A0-0DBC-4946-A9D1-0547959A2FC3}" type="TxLink">
              <a:rPr lang="en-US" sz="2400" b="1" i="0" u="none" strike="noStrike">
                <a:solidFill>
                  <a:srgbClr val="000000"/>
                </a:solidFill>
                <a:latin typeface="Calibri"/>
                <a:ea typeface="Calibri"/>
                <a:cs typeface="Calibri"/>
              </a:rPr>
              <a:pPr marL="0" indent="0" algn="ctr"/>
              <a:t>₹ 86,725</a:t>
            </a:fld>
            <a:endParaRPr lang="en-US" sz="2400" b="1" i="0" u="none" strike="noStrike">
              <a:solidFill>
                <a:srgbClr val="000000"/>
              </a:solidFill>
              <a:latin typeface="Calibri"/>
              <a:ea typeface="Calibri"/>
              <a:cs typeface="Calibri"/>
            </a:endParaRPr>
          </a:p>
        </xdr:txBody>
      </xdr:sp>
    </xdr:grpSp>
    <xdr:clientData/>
  </xdr:twoCellAnchor>
  <xdr:twoCellAnchor>
    <xdr:from>
      <xdr:col>18</xdr:col>
      <xdr:colOff>144448</xdr:colOff>
      <xdr:row>6</xdr:row>
      <xdr:rowOff>54188</xdr:rowOff>
    </xdr:from>
    <xdr:to>
      <xdr:col>21</xdr:col>
      <xdr:colOff>502920</xdr:colOff>
      <xdr:row>11</xdr:row>
      <xdr:rowOff>116549</xdr:rowOff>
    </xdr:to>
    <xdr:grpSp>
      <xdr:nvGrpSpPr>
        <xdr:cNvPr id="54" name="Group 53"/>
        <xdr:cNvGrpSpPr/>
      </xdr:nvGrpSpPr>
      <xdr:grpSpPr>
        <a:xfrm>
          <a:off x="11117248" y="1151468"/>
          <a:ext cx="2187272" cy="976761"/>
          <a:chOff x="11894488" y="97659"/>
          <a:chExt cx="2187272" cy="976761"/>
        </a:xfrm>
        <a:effectLst>
          <a:outerShdw blurRad="50800" dist="38100" dir="2700000" algn="tl" rotWithShape="0">
            <a:prstClr val="black">
              <a:alpha val="40000"/>
            </a:prstClr>
          </a:outerShdw>
        </a:effectLst>
      </xdr:grpSpPr>
      <xdr:sp macro="" textlink="">
        <xdr:nvSpPr>
          <xdr:cNvPr id="31" name="Rectangle 30"/>
          <xdr:cNvSpPr/>
        </xdr:nvSpPr>
        <xdr:spPr>
          <a:xfrm>
            <a:off x="11894488" y="97659"/>
            <a:ext cx="2118692" cy="976761"/>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j</a:t>
            </a:r>
          </a:p>
        </xdr:txBody>
      </xdr:sp>
      <xdr:sp macro="" textlink="">
        <xdr:nvSpPr>
          <xdr:cNvPr id="46" name="TextBox 45"/>
          <xdr:cNvSpPr txBox="1"/>
        </xdr:nvSpPr>
        <xdr:spPr>
          <a:xfrm>
            <a:off x="12001500" y="127736"/>
            <a:ext cx="2080260" cy="649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Average Satisfaction </a:t>
            </a:r>
          </a:p>
          <a:p>
            <a:pPr marL="0" indent="0" algn="ctr"/>
            <a:r>
              <a:rPr lang="en-US" sz="1600" b="1">
                <a:solidFill>
                  <a:schemeClr val="dk1"/>
                </a:solidFill>
                <a:latin typeface="+mn-lt"/>
                <a:ea typeface="+mn-ea"/>
                <a:cs typeface="+mn-cs"/>
              </a:rPr>
              <a:t>Score</a:t>
            </a:r>
          </a:p>
        </xdr:txBody>
      </xdr:sp>
      <xdr:sp macro="" textlink="KPI!B12">
        <xdr:nvSpPr>
          <xdr:cNvPr id="47" name="TextBox 46"/>
          <xdr:cNvSpPr txBox="1"/>
        </xdr:nvSpPr>
        <xdr:spPr>
          <a:xfrm>
            <a:off x="12557029" y="567116"/>
            <a:ext cx="960851" cy="457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CF6734-ED6B-483E-8038-DE87C80B4CD3}" type="TxLink">
              <a:rPr lang="en-US" sz="2800" b="1" i="0" u="none" strike="noStrike">
                <a:solidFill>
                  <a:srgbClr val="000000"/>
                </a:solidFill>
                <a:latin typeface="Calibri"/>
                <a:ea typeface="Calibri"/>
                <a:cs typeface="Calibri"/>
              </a:rPr>
              <a:pPr marL="0" indent="0" algn="ctr"/>
              <a:t>5.7</a:t>
            </a:fld>
            <a:endParaRPr lang="en-US" sz="2800" b="1" i="0" u="none" strike="noStrike">
              <a:solidFill>
                <a:srgbClr val="000000"/>
              </a:solidFill>
              <a:latin typeface="Calibri"/>
              <a:ea typeface="Calibri"/>
              <a:cs typeface="Calibri"/>
            </a:endParaRPr>
          </a:p>
        </xdr:txBody>
      </xdr:sp>
    </xdr:grpSp>
    <xdr:clientData/>
  </xdr:twoCellAnchor>
  <xdr:twoCellAnchor>
    <xdr:from>
      <xdr:col>3</xdr:col>
      <xdr:colOff>385704</xdr:colOff>
      <xdr:row>24</xdr:row>
      <xdr:rowOff>150518</xdr:rowOff>
    </xdr:from>
    <xdr:to>
      <xdr:col>8</xdr:col>
      <xdr:colOff>244592</xdr:colOff>
      <xdr:row>37</xdr:row>
      <xdr:rowOff>18814</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464349</xdr:colOff>
      <xdr:row>12</xdr:row>
      <xdr:rowOff>141111</xdr:rowOff>
    </xdr:from>
    <xdr:to>
      <xdr:col>21</xdr:col>
      <xdr:colOff>489185</xdr:colOff>
      <xdr:row>37</xdr:row>
      <xdr:rowOff>37630</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357669</xdr:colOff>
      <xdr:row>12</xdr:row>
      <xdr:rowOff>151460</xdr:rowOff>
    </xdr:from>
    <xdr:to>
      <xdr:col>13</xdr:col>
      <xdr:colOff>380529</xdr:colOff>
      <xdr:row>24</xdr:row>
      <xdr:rowOff>64160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319853</xdr:colOff>
      <xdr:row>24</xdr:row>
      <xdr:rowOff>131704</xdr:rowOff>
    </xdr:from>
    <xdr:to>
      <xdr:col>13</xdr:col>
      <xdr:colOff>391726</xdr:colOff>
      <xdr:row>37</xdr:row>
      <xdr:rowOff>18814</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84666</xdr:colOff>
      <xdr:row>0</xdr:row>
      <xdr:rowOff>141111</xdr:rowOff>
    </xdr:from>
    <xdr:to>
      <xdr:col>26</xdr:col>
      <xdr:colOff>159924</xdr:colOff>
      <xdr:row>5</xdr:row>
      <xdr:rowOff>122296</xdr:rowOff>
    </xdr:to>
    <xdr:sp macro="" textlink="">
      <xdr:nvSpPr>
        <xdr:cNvPr id="64" name="Rounded Rectangle 63"/>
        <xdr:cNvSpPr/>
      </xdr:nvSpPr>
      <xdr:spPr>
        <a:xfrm>
          <a:off x="84666" y="141111"/>
          <a:ext cx="15973777" cy="874889"/>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425968</xdr:colOff>
      <xdr:row>0</xdr:row>
      <xdr:rowOff>169333</xdr:rowOff>
    </xdr:from>
    <xdr:to>
      <xdr:col>9</xdr:col>
      <xdr:colOff>171968</xdr:colOff>
      <xdr:row>3</xdr:row>
      <xdr:rowOff>103482</xdr:rowOff>
    </xdr:to>
    <xdr:sp macro="" textlink="">
      <xdr:nvSpPr>
        <xdr:cNvPr id="65" name="TextBox 64"/>
        <xdr:cNvSpPr txBox="1"/>
      </xdr:nvSpPr>
      <xdr:spPr>
        <a:xfrm>
          <a:off x="1645168" y="169333"/>
          <a:ext cx="4013200" cy="48278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HR Analytics</a:t>
          </a:r>
          <a:r>
            <a:rPr lang="en-US" sz="2800" b="1" baseline="0"/>
            <a:t> Dashboard</a:t>
          </a:r>
          <a:endParaRPr lang="en-US" sz="2800" b="1"/>
        </a:p>
      </xdr:txBody>
    </xdr:sp>
    <xdr:clientData/>
  </xdr:twoCellAnchor>
  <xdr:twoCellAnchor>
    <xdr:from>
      <xdr:col>2</xdr:col>
      <xdr:colOff>425969</xdr:colOff>
      <xdr:row>3</xdr:row>
      <xdr:rowOff>103482</xdr:rowOff>
    </xdr:from>
    <xdr:to>
      <xdr:col>9</xdr:col>
      <xdr:colOff>425969</xdr:colOff>
      <xdr:row>5</xdr:row>
      <xdr:rowOff>84666</xdr:rowOff>
    </xdr:to>
    <xdr:sp macro="" textlink="">
      <xdr:nvSpPr>
        <xdr:cNvPr id="66" name="TextBox 65"/>
        <xdr:cNvSpPr txBox="1"/>
      </xdr:nvSpPr>
      <xdr:spPr>
        <a:xfrm>
          <a:off x="1645169" y="652122"/>
          <a:ext cx="4267200" cy="346944"/>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Employee Workforce Analysis</a:t>
          </a:r>
        </a:p>
      </xdr:txBody>
    </xdr:sp>
    <xdr:clientData/>
  </xdr:twoCellAnchor>
  <xdr:twoCellAnchor>
    <xdr:from>
      <xdr:col>21</xdr:col>
      <xdr:colOff>579070</xdr:colOff>
      <xdr:row>6</xdr:row>
      <xdr:rowOff>37255</xdr:rowOff>
    </xdr:from>
    <xdr:to>
      <xdr:col>26</xdr:col>
      <xdr:colOff>122296</xdr:colOff>
      <xdr:row>11</xdr:row>
      <xdr:rowOff>99616</xdr:rowOff>
    </xdr:to>
    <xdr:sp macro="" textlink="">
      <xdr:nvSpPr>
        <xdr:cNvPr id="67" name="Rectangle 66"/>
        <xdr:cNvSpPr/>
      </xdr:nvSpPr>
      <xdr:spPr>
        <a:xfrm>
          <a:off x="13420181" y="1109699"/>
          <a:ext cx="2600634" cy="95606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j</a:t>
          </a:r>
        </a:p>
      </xdr:txBody>
    </xdr:sp>
    <xdr:clientData/>
  </xdr:twoCellAnchor>
  <xdr:twoCellAnchor>
    <xdr:from>
      <xdr:col>22</xdr:col>
      <xdr:colOff>9407</xdr:colOff>
      <xdr:row>6</xdr:row>
      <xdr:rowOff>47037</xdr:rowOff>
    </xdr:from>
    <xdr:to>
      <xdr:col>25</xdr:col>
      <xdr:colOff>583259</xdr:colOff>
      <xdr:row>8</xdr:row>
      <xdr:rowOff>122296</xdr:rowOff>
    </xdr:to>
    <xdr:sp macro="" textlink="">
      <xdr:nvSpPr>
        <xdr:cNvPr id="68" name="TextBox 67"/>
        <xdr:cNvSpPr txBox="1"/>
      </xdr:nvSpPr>
      <xdr:spPr>
        <a:xfrm>
          <a:off x="13462000" y="1119481"/>
          <a:ext cx="2408296" cy="432741"/>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Business</a:t>
          </a:r>
        </a:p>
      </xdr:txBody>
    </xdr:sp>
    <xdr:clientData/>
  </xdr:twoCellAnchor>
  <xdr:twoCellAnchor>
    <xdr:from>
      <xdr:col>22</xdr:col>
      <xdr:colOff>47037</xdr:colOff>
      <xdr:row>8</xdr:row>
      <xdr:rowOff>159926</xdr:rowOff>
    </xdr:from>
    <xdr:to>
      <xdr:col>24</xdr:col>
      <xdr:colOff>28222</xdr:colOff>
      <xdr:row>11</xdr:row>
      <xdr:rowOff>37630</xdr:rowOff>
    </xdr:to>
    <xdr:sp macro="" textlink="">
      <xdr:nvSpPr>
        <xdr:cNvPr id="69" name="TextBox 68"/>
        <xdr:cNvSpPr txBox="1"/>
      </xdr:nvSpPr>
      <xdr:spPr>
        <a:xfrm>
          <a:off x="13499630" y="1589852"/>
          <a:ext cx="1204148" cy="413926"/>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Insights</a:t>
          </a:r>
        </a:p>
      </xdr:txBody>
    </xdr:sp>
    <xdr:clientData/>
  </xdr:twoCellAnchor>
  <xdr:twoCellAnchor>
    <xdr:from>
      <xdr:col>21</xdr:col>
      <xdr:colOff>580951</xdr:colOff>
      <xdr:row>12</xdr:row>
      <xdr:rowOff>161431</xdr:rowOff>
    </xdr:from>
    <xdr:to>
      <xdr:col>26</xdr:col>
      <xdr:colOff>124177</xdr:colOff>
      <xdr:row>37</xdr:row>
      <xdr:rowOff>18814</xdr:rowOff>
    </xdr:to>
    <xdr:sp macro="" textlink="">
      <xdr:nvSpPr>
        <xdr:cNvPr id="74" name="Rectangle 73"/>
        <xdr:cNvSpPr/>
      </xdr:nvSpPr>
      <xdr:spPr>
        <a:xfrm>
          <a:off x="13422062" y="2306320"/>
          <a:ext cx="2600634" cy="4325901"/>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j</a:t>
          </a:r>
        </a:p>
      </xdr:txBody>
    </xdr:sp>
    <xdr:clientData/>
  </xdr:twoCellAnchor>
  <xdr:twoCellAnchor>
    <xdr:from>
      <xdr:col>22</xdr:col>
      <xdr:colOff>0</xdr:colOff>
      <xdr:row>13</xdr:row>
      <xdr:rowOff>9407</xdr:rowOff>
    </xdr:from>
    <xdr:to>
      <xdr:col>26</xdr:col>
      <xdr:colOff>103482</xdr:colOff>
      <xdr:row>37</xdr:row>
      <xdr:rowOff>9408</xdr:rowOff>
    </xdr:to>
    <xdr:sp macro="" textlink="">
      <xdr:nvSpPr>
        <xdr:cNvPr id="75" name="TextBox 74"/>
        <xdr:cNvSpPr txBox="1"/>
      </xdr:nvSpPr>
      <xdr:spPr>
        <a:xfrm>
          <a:off x="13452593" y="2333037"/>
          <a:ext cx="2549408" cy="4289778"/>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a:t>1.The</a:t>
          </a:r>
          <a:r>
            <a:rPr lang="en-US" sz="1300" baseline="0"/>
            <a:t> organisation has 500 employees across multiple departments.</a:t>
          </a:r>
        </a:p>
        <a:p>
          <a:pPr algn="l"/>
          <a:r>
            <a:rPr lang="en-US" sz="1300" baseline="0"/>
            <a:t>2.The highest employee count are in the marketing and IT department.</a:t>
          </a:r>
        </a:p>
        <a:p>
          <a:pPr algn="l"/>
          <a:r>
            <a:rPr lang="en-US" sz="1300" baseline="0"/>
            <a:t>3.The overall arttition rate is 14.8%.</a:t>
          </a:r>
        </a:p>
        <a:p>
          <a:pPr algn="l"/>
          <a:r>
            <a:rPr lang="en-US" sz="1300" baseline="0"/>
            <a:t>4.Employee working in IT department shows higher arttition compared to other.</a:t>
          </a:r>
        </a:p>
        <a:p>
          <a:pPr algn="l"/>
          <a:r>
            <a:rPr lang="en-US" sz="1300" baseline="0"/>
            <a:t>5.The marketing departmnet has the highest average salary. </a:t>
          </a:r>
        </a:p>
        <a:p>
          <a:pPr algn="l"/>
          <a:r>
            <a:rPr lang="en-US" sz="1300"/>
            <a:t>6.The average satisfaction</a:t>
          </a:r>
          <a:r>
            <a:rPr lang="en-US" sz="1300" baseline="0"/>
            <a:t> score is 5.7/10.</a:t>
          </a:r>
        </a:p>
        <a:p>
          <a:pPr algn="l"/>
          <a:r>
            <a:rPr lang="en-US" sz="1300"/>
            <a:t>7.Department with low satisfation scores should be reviwed for</a:t>
          </a:r>
          <a:r>
            <a:rPr lang="en-US" sz="1300" baseline="0"/>
            <a:t> workplace improvements.</a:t>
          </a:r>
        </a:p>
        <a:p>
          <a:pPr algn="l"/>
          <a:r>
            <a:rPr lang="en-US" sz="1300" baseline="0"/>
            <a:t>8.Monitor overtime trends to reduce burnout and improve retention.</a:t>
          </a:r>
          <a:endParaRPr lang="en-US" sz="1300"/>
        </a:p>
      </xdr:txBody>
    </xdr:sp>
    <xdr:clientData/>
  </xdr:twoCellAnchor>
  <xdr:oneCellAnchor>
    <xdr:from>
      <xdr:col>26</xdr:col>
      <xdr:colOff>564444</xdr:colOff>
      <xdr:row>19</xdr:row>
      <xdr:rowOff>84667</xdr:rowOff>
    </xdr:from>
    <xdr:ext cx="184731" cy="264560"/>
    <xdr:sp macro="" textlink="">
      <xdr:nvSpPr>
        <xdr:cNvPr id="77" name="TextBox 76"/>
        <xdr:cNvSpPr txBox="1"/>
      </xdr:nvSpPr>
      <xdr:spPr>
        <a:xfrm>
          <a:off x="16462963" y="34807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135466</xdr:colOff>
      <xdr:row>0</xdr:row>
      <xdr:rowOff>130952</xdr:rowOff>
    </xdr:from>
    <xdr:to>
      <xdr:col>2</xdr:col>
      <xdr:colOff>508000</xdr:colOff>
      <xdr:row>5</xdr:row>
      <xdr:rowOff>116414</xdr:rowOff>
    </xdr:to>
    <xdr:pic>
      <xdr:nvPicPr>
        <xdr:cNvPr id="78" name="Picture 77"/>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5466" y="130952"/>
          <a:ext cx="1591734" cy="899862"/>
        </a:xfrm>
        <a:prstGeom prst="rect">
          <a:avLst/>
        </a:prstGeom>
      </xdr:spPr>
    </xdr:pic>
    <xdr:clientData/>
  </xdr:twoCellAnchor>
  <xdr:twoCellAnchor editAs="oneCell">
    <xdr:from>
      <xdr:col>0</xdr:col>
      <xdr:colOff>71120</xdr:colOff>
      <xdr:row>31</xdr:row>
      <xdr:rowOff>105175</xdr:rowOff>
    </xdr:from>
    <xdr:to>
      <xdr:col>3</xdr:col>
      <xdr:colOff>264160</xdr:colOff>
      <xdr:row>36</xdr:row>
      <xdr:rowOff>162561</xdr:rowOff>
    </xdr:to>
    <mc:AlternateContent xmlns:mc="http://schemas.openxmlformats.org/markup-compatibility/2006">
      <mc:Choice xmlns:a14="http://schemas.microsoft.com/office/drawing/2010/main" Requires="a14">
        <xdr:graphicFrame macro="">
          <xdr:nvGraphicFramePr>
            <xdr:cNvPr id="79" name="Attrition 1"/>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71120" y="5774455"/>
              <a:ext cx="2021840" cy="971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72.900528703707" createdVersion="5" refreshedVersion="5" minRefreshableVersion="3" recordCount="500">
  <cacheSource type="worksheet">
    <worksheetSource name="Employees_Data"/>
  </cacheSource>
  <cacheFields count="26">
    <cacheField name="Employee_ID" numFmtId="0">
      <sharedItems count="50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082"/>
        <s v="EMP083"/>
        <s v="EMP084"/>
        <s v="EMP085"/>
        <s v="EMP086"/>
        <s v="EMP087"/>
        <s v="EMP088"/>
        <s v="EMP089"/>
        <s v="EMP090"/>
        <s v="EMP091"/>
        <s v="EMP092"/>
        <s v="EMP093"/>
        <s v="EMP094"/>
        <s v="EMP095"/>
        <s v="EMP096"/>
        <s v="EMP097"/>
        <s v="EMP098"/>
        <s v="EMP099"/>
        <s v="EMP100"/>
        <s v="EMP101"/>
        <s v="EMP102"/>
        <s v="EMP103"/>
        <s v="EMP104"/>
        <s v="EMP105"/>
        <s v="EMP106"/>
        <s v="EMP107"/>
        <s v="EMP108"/>
        <s v="EMP109"/>
        <s v="EMP110"/>
        <s v="EMP111"/>
        <s v="EMP112"/>
        <s v="EMP113"/>
        <s v="EMP114"/>
        <s v="EMP115"/>
        <s v="EMP116"/>
        <s v="EMP117"/>
        <s v="EMP118"/>
        <s v="EMP119"/>
        <s v="EMP120"/>
        <s v="EMP121"/>
        <s v="EMP122"/>
        <s v="EMP123"/>
        <s v="EMP124"/>
        <s v="EMP125"/>
        <s v="EMP126"/>
        <s v="EMP127"/>
        <s v="EMP128"/>
        <s v="EMP129"/>
        <s v="EMP130"/>
        <s v="EMP131"/>
        <s v="EMP132"/>
        <s v="EMP133"/>
        <s v="EMP134"/>
        <s v="EMP135"/>
        <s v="EMP136"/>
        <s v="EMP137"/>
        <s v="EMP138"/>
        <s v="EMP139"/>
        <s v="EMP140"/>
        <s v="EMP141"/>
        <s v="EMP142"/>
        <s v="EMP143"/>
        <s v="EMP144"/>
        <s v="EMP145"/>
        <s v="EMP146"/>
        <s v="EMP147"/>
        <s v="EMP148"/>
        <s v="EMP149"/>
        <s v="EMP150"/>
        <s v="EMP151"/>
        <s v="EMP152"/>
        <s v="EMP153"/>
        <s v="EMP154"/>
        <s v="EMP155"/>
        <s v="EMP156"/>
        <s v="EMP157"/>
        <s v="EMP158"/>
        <s v="EMP159"/>
        <s v="EMP160"/>
        <s v="EMP161"/>
        <s v="EMP162"/>
        <s v="EMP163"/>
        <s v="EMP164"/>
        <s v="EMP165"/>
        <s v="EMP166"/>
        <s v="EMP167"/>
        <s v="EMP168"/>
        <s v="EMP169"/>
        <s v="EMP170"/>
        <s v="EMP171"/>
        <s v="EMP172"/>
        <s v="EMP173"/>
        <s v="EMP174"/>
        <s v="EMP175"/>
        <s v="EMP176"/>
        <s v="EMP177"/>
        <s v="EMP178"/>
        <s v="EMP179"/>
        <s v="EMP180"/>
        <s v="EMP181"/>
        <s v="EMP182"/>
        <s v="EMP183"/>
        <s v="EMP184"/>
        <s v="EMP185"/>
        <s v="EMP186"/>
        <s v="EMP187"/>
        <s v="EMP188"/>
        <s v="EMP189"/>
        <s v="EMP190"/>
        <s v="EMP191"/>
        <s v="EMP192"/>
        <s v="EMP193"/>
        <s v="EMP194"/>
        <s v="EMP195"/>
        <s v="EMP196"/>
        <s v="EMP197"/>
        <s v="EMP198"/>
        <s v="EMP199"/>
        <s v="EMP200"/>
        <s v="EMP201"/>
        <s v="EMP202"/>
        <s v="EMP203"/>
        <s v="EMP204"/>
        <s v="EMP205"/>
        <s v="EMP206"/>
        <s v="EMP207"/>
        <s v="EMP208"/>
        <s v="EMP209"/>
        <s v="EMP210"/>
        <s v="EMP211"/>
        <s v="EMP212"/>
        <s v="EMP213"/>
        <s v="EMP214"/>
        <s v="EMP215"/>
        <s v="EMP216"/>
        <s v="EMP217"/>
        <s v="EMP218"/>
        <s v="EMP219"/>
        <s v="EMP220"/>
        <s v="EMP221"/>
        <s v="EMP222"/>
        <s v="EMP223"/>
        <s v="EMP224"/>
        <s v="EMP225"/>
        <s v="EMP226"/>
        <s v="EMP227"/>
        <s v="EMP228"/>
        <s v="EMP229"/>
        <s v="EMP230"/>
        <s v="EMP231"/>
        <s v="EMP232"/>
        <s v="EMP233"/>
        <s v="EMP234"/>
        <s v="EMP235"/>
        <s v="EMP236"/>
        <s v="EMP237"/>
        <s v="EMP238"/>
        <s v="EMP239"/>
        <s v="EMP240"/>
        <s v="EMP241"/>
        <s v="EMP242"/>
        <s v="EMP243"/>
        <s v="EMP244"/>
        <s v="EMP245"/>
        <s v="EMP246"/>
        <s v="EMP247"/>
        <s v="EMP248"/>
        <s v="EMP249"/>
        <s v="EMP250"/>
        <s v="EMP251"/>
        <s v="EMP252"/>
        <s v="EMP253"/>
        <s v="EMP254"/>
        <s v="EMP255"/>
        <s v="EMP256"/>
        <s v="EMP257"/>
        <s v="EMP258"/>
        <s v="EMP259"/>
        <s v="EMP260"/>
        <s v="EMP261"/>
        <s v="EMP262"/>
        <s v="EMP263"/>
        <s v="EMP264"/>
        <s v="EMP265"/>
        <s v="EMP266"/>
        <s v="EMP267"/>
        <s v="EMP268"/>
        <s v="EMP269"/>
        <s v="EMP270"/>
        <s v="EMP271"/>
        <s v="EMP272"/>
        <s v="EMP273"/>
        <s v="EMP274"/>
        <s v="EMP275"/>
        <s v="EMP276"/>
        <s v="EMP277"/>
        <s v="EMP278"/>
        <s v="EMP279"/>
        <s v="EMP280"/>
        <s v="EMP281"/>
        <s v="EMP282"/>
        <s v="EMP283"/>
        <s v="EMP284"/>
        <s v="EMP285"/>
        <s v="EMP286"/>
        <s v="EMP287"/>
        <s v="EMP288"/>
        <s v="EMP289"/>
        <s v="EMP290"/>
        <s v="EMP291"/>
        <s v="EMP292"/>
        <s v="EMP293"/>
        <s v="EMP294"/>
        <s v="EMP295"/>
        <s v="EMP296"/>
        <s v="EMP297"/>
        <s v="EMP298"/>
        <s v="EMP299"/>
        <s v="EMP300"/>
        <s v="EMP301"/>
        <s v="EMP302"/>
        <s v="EMP303"/>
        <s v="EMP304"/>
        <s v="EMP305"/>
        <s v="EMP306"/>
        <s v="EMP307"/>
        <s v="EMP308"/>
        <s v="EMP309"/>
        <s v="EMP310"/>
        <s v="EMP311"/>
        <s v="EMP312"/>
        <s v="EMP313"/>
        <s v="EMP314"/>
        <s v="EMP315"/>
        <s v="EMP316"/>
        <s v="EMP317"/>
        <s v="EMP318"/>
        <s v="EMP319"/>
        <s v="EMP320"/>
        <s v="EMP321"/>
        <s v="EMP322"/>
        <s v="EMP323"/>
        <s v="EMP324"/>
        <s v="EMP325"/>
        <s v="EMP326"/>
        <s v="EMP327"/>
        <s v="EMP328"/>
        <s v="EMP329"/>
        <s v="EMP330"/>
        <s v="EMP331"/>
        <s v="EMP332"/>
        <s v="EMP333"/>
        <s v="EMP334"/>
        <s v="EMP335"/>
        <s v="EMP336"/>
        <s v="EMP337"/>
        <s v="EMP338"/>
        <s v="EMP339"/>
        <s v="EMP340"/>
        <s v="EMP341"/>
        <s v="EMP342"/>
        <s v="EMP343"/>
        <s v="EMP344"/>
        <s v="EMP345"/>
        <s v="EMP346"/>
        <s v="EMP347"/>
        <s v="EMP348"/>
        <s v="EMP349"/>
        <s v="EMP350"/>
        <s v="EMP351"/>
        <s v="EMP352"/>
        <s v="EMP353"/>
        <s v="EMP354"/>
        <s v="EMP355"/>
        <s v="EMP356"/>
        <s v="EMP357"/>
        <s v="EMP358"/>
        <s v="EMP359"/>
        <s v="EMP360"/>
        <s v="EMP361"/>
        <s v="EMP362"/>
        <s v="EMP363"/>
        <s v="EMP364"/>
        <s v="EMP365"/>
        <s v="EMP366"/>
        <s v="EMP367"/>
        <s v="EMP368"/>
        <s v="EMP369"/>
        <s v="EMP370"/>
        <s v="EMP371"/>
        <s v="EMP372"/>
        <s v="EMP373"/>
        <s v="EMP374"/>
        <s v="EMP375"/>
        <s v="EMP376"/>
        <s v="EMP377"/>
        <s v="EMP378"/>
        <s v="EMP379"/>
        <s v="EMP380"/>
        <s v="EMP381"/>
        <s v="EMP382"/>
        <s v="EMP383"/>
        <s v="EMP384"/>
        <s v="EMP385"/>
        <s v="EMP386"/>
        <s v="EMP387"/>
        <s v="EMP388"/>
        <s v="EMP389"/>
        <s v="EMP390"/>
        <s v="EMP391"/>
        <s v="EMP392"/>
        <s v="EMP393"/>
        <s v="EMP394"/>
        <s v="EMP395"/>
        <s v="EMP396"/>
        <s v="EMP397"/>
        <s v="EMP398"/>
        <s v="EMP399"/>
        <s v="EMP400"/>
        <s v="EMP401"/>
        <s v="EMP402"/>
        <s v="EMP403"/>
        <s v="EMP404"/>
        <s v="EMP405"/>
        <s v="EMP406"/>
        <s v="EMP407"/>
        <s v="EMP408"/>
        <s v="EMP409"/>
        <s v="EMP410"/>
        <s v="EMP411"/>
        <s v="EMP412"/>
        <s v="EMP413"/>
        <s v="EMP414"/>
        <s v="EMP415"/>
        <s v="EMP416"/>
        <s v="EMP417"/>
        <s v="EMP418"/>
        <s v="EMP419"/>
        <s v="EMP420"/>
        <s v="EMP421"/>
        <s v="EMP422"/>
        <s v="EMP423"/>
        <s v="EMP424"/>
        <s v="EMP425"/>
        <s v="EMP426"/>
        <s v="EMP427"/>
        <s v="EMP428"/>
        <s v="EMP429"/>
        <s v="EMP430"/>
        <s v="EMP431"/>
        <s v="EMP432"/>
        <s v="EMP433"/>
        <s v="EMP434"/>
        <s v="EMP435"/>
        <s v="EMP436"/>
        <s v="EMP437"/>
        <s v="EMP438"/>
        <s v="EMP439"/>
        <s v="EMP440"/>
        <s v="EMP441"/>
        <s v="EMP442"/>
        <s v="EMP443"/>
        <s v="EMP444"/>
        <s v="EMP445"/>
        <s v="EMP446"/>
        <s v="EMP447"/>
        <s v="EMP448"/>
        <s v="EMP449"/>
        <s v="EMP450"/>
        <s v="EMP451"/>
        <s v="EMP452"/>
        <s v="EMP453"/>
        <s v="EMP454"/>
        <s v="EMP455"/>
        <s v="EMP456"/>
        <s v="EMP457"/>
        <s v="EMP458"/>
        <s v="EMP459"/>
        <s v="EMP460"/>
        <s v="EMP461"/>
        <s v="EMP462"/>
        <s v="EMP463"/>
        <s v="EMP464"/>
        <s v="EMP465"/>
        <s v="EMP466"/>
        <s v="EMP467"/>
        <s v="EMP468"/>
        <s v="EMP469"/>
        <s v="EMP470"/>
        <s v="EMP471"/>
        <s v="EMP472"/>
        <s v="EMP473"/>
        <s v="EMP474"/>
        <s v="EMP475"/>
        <s v="EMP476"/>
        <s v="EMP477"/>
        <s v="EMP478"/>
        <s v="EMP479"/>
        <s v="EMP480"/>
        <s v="EMP481"/>
        <s v="EMP482"/>
        <s v="EMP483"/>
        <s v="EMP484"/>
        <s v="EMP485"/>
        <s v="EMP486"/>
        <s v="EMP487"/>
        <s v="EMP488"/>
        <s v="EMP489"/>
        <s v="EMP490"/>
        <s v="EMP491"/>
        <s v="EMP492"/>
        <s v="EMP493"/>
        <s v="EMP494"/>
        <s v="EMP495"/>
        <s v="EMP496"/>
        <s v="EMP497"/>
        <s v="EMP498"/>
        <s v="EMP499"/>
        <s v="EMP500"/>
      </sharedItems>
    </cacheField>
    <cacheField name="Employee_Name" numFmtId="0">
      <sharedItems/>
    </cacheField>
    <cacheField name="Gender" numFmtId="0">
      <sharedItems count="2">
        <s v="Male"/>
        <s v="Female"/>
      </sharedItems>
    </cacheField>
    <cacheField name="Age" numFmtId="1">
      <sharedItems containsSemiMixedTypes="0" containsString="0" containsNumber="1" containsInteger="1" minValue="22" maxValue="55"/>
    </cacheField>
    <cacheField name="Department" numFmtId="0">
      <sharedItems count="6">
        <s v="Operations"/>
        <s v="Marketing"/>
        <s v="IT"/>
        <s v="HR"/>
        <s v="Sales"/>
        <s v="Finance"/>
      </sharedItems>
    </cacheField>
    <cacheField name="Job_Role" numFmtId="0">
      <sharedItems count="18">
        <s v="Operations Executive"/>
        <s v="Marketing Manager"/>
        <s v="Data Analyst"/>
        <s v="Content Strategist"/>
        <s v="HR Executive"/>
        <s v="Sales Executive"/>
        <s v="Business Development Associate"/>
        <s v="System Administrator"/>
        <s v="HR Manager"/>
        <s v="Finance Manager"/>
        <s v="Accountant"/>
        <s v="Supply Chain Analyst"/>
        <s v="Operations Manager"/>
        <s v="SEO Specialist"/>
        <s v="Recruiter"/>
        <s v="Financial Analyst"/>
        <s v="Sales Manager"/>
        <s v="Software Engineer"/>
      </sharedItems>
    </cacheField>
    <cacheField name="Education" numFmtId="0">
      <sharedItems/>
    </cacheField>
    <cacheField name="Experience_Years" numFmtId="0">
      <sharedItems containsSemiMixedTypes="0" containsString="0" containsNumber="1" containsInteger="1" minValue="0" maxValue="34"/>
    </cacheField>
    <cacheField name="Joining_Date" numFmtId="164">
      <sharedItems containsSemiMixedTypes="0" containsNonDate="0" containsDate="1" containsString="0" minDate="2018-01-06T00:00:00" maxDate="2024-11-06T00:00:00"/>
    </cacheField>
    <cacheField name="Salary" numFmtId="167">
      <sharedItems containsSemiMixedTypes="0" containsString="0" containsNumber="1" containsInteger="1" minValue="25142" maxValue="149122"/>
    </cacheField>
    <cacheField name="Bonus" numFmtId="167">
      <sharedItems containsSemiMixedTypes="0" containsString="0" containsNumber="1" containsInteger="1" minValue="2047" maxValue="24980"/>
    </cacheField>
    <cacheField name="Performance_Rating" numFmtId="0">
      <sharedItems containsSemiMixedTypes="0" containsString="0" containsNumber="1" containsInteger="1" minValue="1" maxValue="5"/>
    </cacheField>
    <cacheField name="Work_Mode" numFmtId="0">
      <sharedItems count="3">
        <s v="Remote"/>
        <s v="Hybrid"/>
        <s v="Office"/>
      </sharedItems>
    </cacheField>
    <cacheField name="City" numFmtId="0">
      <sharedItems/>
    </cacheField>
    <cacheField name="Attrition" numFmtId="0">
      <sharedItems count="2">
        <s v="No"/>
        <s v="Yes"/>
      </sharedItems>
    </cacheField>
    <cacheField name="Overtime" numFmtId="0">
      <sharedItems/>
    </cacheField>
    <cacheField name="Training_Hours" numFmtId="0">
      <sharedItems containsSemiMixedTypes="0" containsString="0" containsNumber="1" containsInteger="1" minValue="5" maxValue="60"/>
    </cacheField>
    <cacheField name="Leaves_Taken" numFmtId="0">
      <sharedItems containsSemiMixedTypes="0" containsString="0" containsNumber="1" containsInteger="1" minValue="0" maxValue="20"/>
    </cacheField>
    <cacheField name="Satisfaction_Score" numFmtId="0">
      <sharedItems containsSemiMixedTypes="0" containsString="0" containsNumber="1" containsInteger="1" minValue="1" maxValue="10"/>
    </cacheField>
    <cacheField name="Promotion_Status" numFmtId="0">
      <sharedItems/>
    </cacheField>
    <cacheField name="Age_Group_Colummn" numFmtId="0">
      <sharedItems/>
    </cacheField>
    <cacheField name="Salary_Band" numFmtId="0">
      <sharedItems/>
    </cacheField>
    <cacheField name="Experience_Level" numFmtId="0">
      <sharedItems/>
    </cacheField>
    <cacheField name="Department_ID (VLOOKUP)" numFmtId="0">
      <sharedItems/>
    </cacheField>
    <cacheField name="Department_ID(Index+Match)" numFmtId="0">
      <sharedItems/>
    </cacheField>
    <cacheField name="Salary_band(Index+Match)"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x v="0"/>
    <s v="Renee Roy"/>
    <x v="0"/>
    <n v="23"/>
    <x v="0"/>
    <x v="0"/>
    <s v="M.Tech"/>
    <n v="0"/>
    <d v="2021-01-31T00:00:00"/>
    <n v="57098"/>
    <n v="15825"/>
    <n v="2"/>
    <x v="0"/>
    <s v="Delhi"/>
    <x v="0"/>
    <s v="Yes"/>
    <n v="18"/>
    <n v="7"/>
    <n v="3"/>
    <s v="Not Promoted"/>
    <s v="Young"/>
    <s v="Medium"/>
    <s v="Fresher"/>
    <s v="D06"/>
    <s v="D06"/>
    <s v="Medium"/>
  </r>
  <r>
    <x v="1"/>
    <s v="Anika Ramaswamy"/>
    <x v="0"/>
    <n v="23"/>
    <x v="1"/>
    <x v="1"/>
    <s v="Post Graduate"/>
    <n v="0"/>
    <d v="2020-03-25T00:00:00"/>
    <n v="118850"/>
    <n v="24876"/>
    <n v="5"/>
    <x v="1"/>
    <s v="Bangalore"/>
    <x v="0"/>
    <s v="No"/>
    <n v="14"/>
    <n v="6"/>
    <n v="7"/>
    <s v="Not Promoted"/>
    <s v="Young"/>
    <s v="Executive"/>
    <s v="Fresher"/>
    <s v="D05"/>
    <s v="D05"/>
    <s v="Executive"/>
  </r>
  <r>
    <x v="2"/>
    <s v="Neysa Jain"/>
    <x v="1"/>
    <n v="27"/>
    <x v="2"/>
    <x v="2"/>
    <s v="M.Tech"/>
    <n v="3"/>
    <d v="2019-02-01T00:00:00"/>
    <n v="72052"/>
    <n v="6090"/>
    <n v="3"/>
    <x v="1"/>
    <s v="Delhi"/>
    <x v="0"/>
    <s v="No"/>
    <n v="58"/>
    <n v="20"/>
    <n v="10"/>
    <s v="Promoted"/>
    <s v="Young"/>
    <s v="High"/>
    <s v="Junior"/>
    <s v="D03"/>
    <s v="D03"/>
    <s v="High"/>
  </r>
  <r>
    <x v="3"/>
    <s v="Taimur Sehgal"/>
    <x v="0"/>
    <n v="34"/>
    <x v="1"/>
    <x v="3"/>
    <s v="B.Tech"/>
    <n v="8"/>
    <d v="2018-10-12T00:00:00"/>
    <n v="31006"/>
    <n v="11108"/>
    <n v="2"/>
    <x v="1"/>
    <s v="Chennai"/>
    <x v="0"/>
    <s v="No"/>
    <n v="15"/>
    <n v="11"/>
    <n v="5"/>
    <s v="Not Promoted"/>
    <s v="Mid-Age"/>
    <s v="Medium"/>
    <s v="Mid-Level"/>
    <s v="D05"/>
    <s v="D05"/>
    <s v="Medium"/>
  </r>
  <r>
    <x v="4"/>
    <s v="Kimaya Kade"/>
    <x v="1"/>
    <n v="39"/>
    <x v="2"/>
    <x v="2"/>
    <s v="MBA"/>
    <n v="13"/>
    <d v="2018-10-20T00:00:00"/>
    <n v="104840"/>
    <n v="22971"/>
    <n v="2"/>
    <x v="2"/>
    <s v="Pune"/>
    <x v="0"/>
    <s v="Yes"/>
    <n v="48"/>
    <n v="10"/>
    <n v="9"/>
    <s v="Promoted"/>
    <s v="Mid-Age"/>
    <s v="Executive"/>
    <s v="Senior"/>
    <s v="D03"/>
    <s v="D03"/>
    <s v="Executive"/>
  </r>
  <r>
    <x v="5"/>
    <s v="Lakshit Bir"/>
    <x v="1"/>
    <n v="24"/>
    <x v="3"/>
    <x v="4"/>
    <s v="Post Graduate"/>
    <n v="1"/>
    <d v="2022-07-02T00:00:00"/>
    <n v="60093"/>
    <n v="23477"/>
    <n v="1"/>
    <x v="1"/>
    <s v="Hyderabad"/>
    <x v="0"/>
    <s v="No"/>
    <n v="14"/>
    <n v="8"/>
    <n v="4"/>
    <s v="Not Promoted"/>
    <s v="Young"/>
    <s v="High"/>
    <s v="Fresher"/>
    <s v="D01"/>
    <s v="D01"/>
    <s v="High"/>
  </r>
  <r>
    <x v="6"/>
    <s v="Sara Khosla"/>
    <x v="0"/>
    <n v="38"/>
    <x v="4"/>
    <x v="5"/>
    <s v="M.Tech"/>
    <n v="12"/>
    <d v="2024-07-22T00:00:00"/>
    <n v="81155"/>
    <n v="18171"/>
    <n v="5"/>
    <x v="0"/>
    <s v="Noida"/>
    <x v="0"/>
    <s v="Yes"/>
    <n v="60"/>
    <n v="3"/>
    <n v="7"/>
    <s v="Not Promoted"/>
    <s v="Mid-Age"/>
    <s v="High"/>
    <s v="Senior"/>
    <s v="D02"/>
    <s v="D02"/>
    <s v="High"/>
  </r>
  <r>
    <x v="7"/>
    <s v="Romil Baria"/>
    <x v="1"/>
    <n v="32"/>
    <x v="4"/>
    <x v="6"/>
    <s v="M.Tech"/>
    <n v="6"/>
    <d v="2022-09-26T00:00:00"/>
    <n v="103172"/>
    <n v="2376"/>
    <n v="1"/>
    <x v="2"/>
    <s v="Chennai"/>
    <x v="0"/>
    <s v="Yes"/>
    <n v="48"/>
    <n v="17"/>
    <n v="7"/>
    <s v="Not Promoted"/>
    <s v="Mid-Age"/>
    <s v="Executive"/>
    <s v="Mid-Level"/>
    <s v="D02"/>
    <s v="D02"/>
    <s v="Executive"/>
  </r>
  <r>
    <x v="8"/>
    <s v="Aarna Gopal"/>
    <x v="1"/>
    <n v="43"/>
    <x v="2"/>
    <x v="7"/>
    <s v="M.Tech"/>
    <n v="22"/>
    <d v="2021-04-17T00:00:00"/>
    <n v="81985"/>
    <n v="7854"/>
    <n v="2"/>
    <x v="2"/>
    <s v="Delhi"/>
    <x v="1"/>
    <s v="No"/>
    <n v="58"/>
    <n v="20"/>
    <n v="8"/>
    <s v="Not Promoted"/>
    <s v="Senior"/>
    <s v="High"/>
    <s v="Senior"/>
    <s v="D03"/>
    <s v="D03"/>
    <s v="High"/>
  </r>
  <r>
    <x v="9"/>
    <s v="Biju Tella"/>
    <x v="0"/>
    <n v="34"/>
    <x v="1"/>
    <x v="1"/>
    <s v="M.Tech"/>
    <n v="12"/>
    <d v="2022-03-12T00:00:00"/>
    <n v="124943"/>
    <n v="12621"/>
    <n v="2"/>
    <x v="1"/>
    <s v="Delhi"/>
    <x v="0"/>
    <s v="Yes"/>
    <n v="28"/>
    <n v="9"/>
    <n v="9"/>
    <s v="Not Promoted"/>
    <s v="Mid-Age"/>
    <s v="Executive"/>
    <s v="Senior"/>
    <s v="D05"/>
    <s v="D05"/>
    <s v="Executive"/>
  </r>
  <r>
    <x v="10"/>
    <s v="Ranbir Sant"/>
    <x v="0"/>
    <n v="37"/>
    <x v="4"/>
    <x v="5"/>
    <s v="Post Graduate"/>
    <n v="12"/>
    <d v="2018-11-19T00:00:00"/>
    <n v="36226"/>
    <n v="23618"/>
    <n v="4"/>
    <x v="1"/>
    <s v="Pune"/>
    <x v="0"/>
    <s v="Yes"/>
    <n v="21"/>
    <n v="16"/>
    <n v="2"/>
    <s v="Not Promoted"/>
    <s v="Mid-Age"/>
    <s v="Medium"/>
    <s v="Senior"/>
    <s v="D02"/>
    <s v="D02"/>
    <s v="Medium"/>
  </r>
  <r>
    <x v="11"/>
    <s v="Tejas Agate"/>
    <x v="1"/>
    <n v="35"/>
    <x v="1"/>
    <x v="3"/>
    <s v="M.Tech"/>
    <n v="10"/>
    <d v="2020-04-03T00:00:00"/>
    <n v="118447"/>
    <n v="16794"/>
    <n v="3"/>
    <x v="0"/>
    <s v="Mumbai"/>
    <x v="0"/>
    <s v="Yes"/>
    <n v="9"/>
    <n v="10"/>
    <n v="7"/>
    <s v="Not Promoted"/>
    <s v="Mid-Age"/>
    <s v="Executive"/>
    <s v="Mid-Level"/>
    <s v="D05"/>
    <s v="D05"/>
    <s v="Executive"/>
  </r>
  <r>
    <x v="12"/>
    <s v="Hazel Kibe"/>
    <x v="1"/>
    <n v="36"/>
    <x v="3"/>
    <x v="8"/>
    <s v="Graduate"/>
    <n v="11"/>
    <d v="2020-06-21T00:00:00"/>
    <n v="25942"/>
    <n v="18847"/>
    <n v="1"/>
    <x v="0"/>
    <s v="Bangalore"/>
    <x v="0"/>
    <s v="No"/>
    <n v="18"/>
    <n v="17"/>
    <n v="1"/>
    <s v="Not Promoted"/>
    <s v="Mid-Age"/>
    <s v="Low"/>
    <s v="Senior"/>
    <s v="D01"/>
    <s v="D01"/>
    <s v="Low"/>
  </r>
  <r>
    <x v="13"/>
    <s v="Prerak Chanda"/>
    <x v="1"/>
    <n v="52"/>
    <x v="4"/>
    <x v="6"/>
    <s v="B.Tech"/>
    <n v="30"/>
    <d v="2023-04-22T00:00:00"/>
    <n v="130840"/>
    <n v="15470"/>
    <n v="4"/>
    <x v="1"/>
    <s v="Noida"/>
    <x v="1"/>
    <s v="Yes"/>
    <n v="48"/>
    <n v="20"/>
    <n v="4"/>
    <s v="Not Promoted"/>
    <s v="Senior"/>
    <s v="Executive"/>
    <s v="Senior"/>
    <s v="D02"/>
    <s v="D02"/>
    <s v="Executive"/>
  </r>
  <r>
    <x v="14"/>
    <s v="Urvi Keer"/>
    <x v="0"/>
    <n v="25"/>
    <x v="0"/>
    <x v="0"/>
    <s v="B.Tech"/>
    <n v="1"/>
    <d v="2021-10-21T00:00:00"/>
    <n v="129935"/>
    <n v="8012"/>
    <n v="1"/>
    <x v="1"/>
    <s v="Hyderabad"/>
    <x v="0"/>
    <s v="Yes"/>
    <n v="60"/>
    <n v="2"/>
    <n v="4"/>
    <s v="Not Promoted"/>
    <s v="Young"/>
    <s v="Executive"/>
    <s v="Fresher"/>
    <s v="D06"/>
    <s v="D06"/>
    <s v="Executive"/>
  </r>
  <r>
    <x v="15"/>
    <s v="Saksham Verma"/>
    <x v="0"/>
    <n v="28"/>
    <x v="5"/>
    <x v="9"/>
    <s v="B.Tech"/>
    <n v="7"/>
    <d v="2024-01-24T00:00:00"/>
    <n v="134579"/>
    <n v="17913"/>
    <n v="1"/>
    <x v="1"/>
    <s v="Mumbai"/>
    <x v="0"/>
    <s v="No"/>
    <n v="8"/>
    <n v="5"/>
    <n v="2"/>
    <s v="Not Promoted"/>
    <s v="Young"/>
    <s v="Executive"/>
    <s v="Mid-Level"/>
    <s v="D04"/>
    <s v="D04"/>
    <s v="Executive"/>
  </r>
  <r>
    <x v="16"/>
    <s v="Sumer Date"/>
    <x v="0"/>
    <n v="46"/>
    <x v="5"/>
    <x v="10"/>
    <s v="MBA"/>
    <n v="23"/>
    <d v="2023-02-07T00:00:00"/>
    <n v="62388"/>
    <n v="9133"/>
    <n v="4"/>
    <x v="0"/>
    <s v="Pune"/>
    <x v="0"/>
    <s v="Yes"/>
    <n v="52"/>
    <n v="10"/>
    <n v="9"/>
    <s v="Not Promoted"/>
    <s v="Senior"/>
    <s v="High"/>
    <s v="Senior"/>
    <s v="D04"/>
    <s v="D04"/>
    <s v="High"/>
  </r>
  <r>
    <x v="17"/>
    <s v="Elakshi Banerjee"/>
    <x v="0"/>
    <n v="52"/>
    <x v="3"/>
    <x v="4"/>
    <s v="Post Graduate"/>
    <n v="27"/>
    <d v="2023-12-16T00:00:00"/>
    <n v="45635"/>
    <n v="15230"/>
    <n v="1"/>
    <x v="0"/>
    <s v="Pune"/>
    <x v="1"/>
    <s v="Yes"/>
    <n v="42"/>
    <n v="19"/>
    <n v="9"/>
    <s v="Promoted"/>
    <s v="Senior"/>
    <s v="Medium"/>
    <s v="Senior"/>
    <s v="D01"/>
    <s v="D01"/>
    <s v="Medium"/>
  </r>
  <r>
    <x v="18"/>
    <s v="Samaira Raman"/>
    <x v="1"/>
    <n v="27"/>
    <x v="3"/>
    <x v="8"/>
    <s v="Post Graduate"/>
    <n v="3"/>
    <d v="2024-07-18T00:00:00"/>
    <n v="99085"/>
    <n v="10703"/>
    <n v="5"/>
    <x v="1"/>
    <s v="Mumbai"/>
    <x v="0"/>
    <s v="No"/>
    <n v="34"/>
    <n v="10"/>
    <n v="6"/>
    <s v="Not Promoted"/>
    <s v="Young"/>
    <s v="Executive"/>
    <s v="Junior"/>
    <s v="D01"/>
    <s v="D01"/>
    <s v="Executive"/>
  </r>
  <r>
    <x v="19"/>
    <s v="Kartik Gara"/>
    <x v="1"/>
    <n v="51"/>
    <x v="3"/>
    <x v="4"/>
    <s v="Graduate"/>
    <n v="26"/>
    <d v="2024-04-25T00:00:00"/>
    <n v="38104"/>
    <n v="10004"/>
    <n v="1"/>
    <x v="1"/>
    <s v="Bangalore"/>
    <x v="0"/>
    <s v="Yes"/>
    <n v="33"/>
    <n v="17"/>
    <n v="9"/>
    <s v="Not Promoted"/>
    <s v="Senior"/>
    <s v="Medium"/>
    <s v="Senior"/>
    <s v="D01"/>
    <s v="D01"/>
    <s v="Medium"/>
  </r>
  <r>
    <x v="20"/>
    <s v="Anay Dugal"/>
    <x v="0"/>
    <n v="55"/>
    <x v="0"/>
    <x v="11"/>
    <s v="MBA"/>
    <n v="34"/>
    <d v="2024-03-21T00:00:00"/>
    <n v="64240"/>
    <n v="11232"/>
    <n v="1"/>
    <x v="2"/>
    <s v="Mumbai"/>
    <x v="0"/>
    <s v="No"/>
    <n v="18"/>
    <n v="20"/>
    <n v="3"/>
    <s v="Not Promoted"/>
    <s v="Senior"/>
    <s v="High"/>
    <s v="Senior"/>
    <s v="D06"/>
    <s v="D06"/>
    <s v="High"/>
  </r>
  <r>
    <x v="21"/>
    <s v="Zain Gandhi"/>
    <x v="0"/>
    <n v="53"/>
    <x v="2"/>
    <x v="7"/>
    <s v="MBA"/>
    <n v="30"/>
    <d v="2018-07-28T00:00:00"/>
    <n v="37097"/>
    <n v="7294"/>
    <n v="4"/>
    <x v="2"/>
    <s v="Hyderabad"/>
    <x v="1"/>
    <s v="No"/>
    <n v="40"/>
    <n v="0"/>
    <n v="5"/>
    <s v="Not Promoted"/>
    <s v="Senior"/>
    <s v="Medium"/>
    <s v="Senior"/>
    <s v="D03"/>
    <s v="D03"/>
    <s v="Medium"/>
  </r>
  <r>
    <x v="22"/>
    <s v="Tushar Joshi"/>
    <x v="0"/>
    <n v="31"/>
    <x v="3"/>
    <x v="4"/>
    <s v="MBA"/>
    <n v="6"/>
    <d v="2018-05-28T00:00:00"/>
    <n v="134392"/>
    <n v="13948"/>
    <n v="3"/>
    <x v="0"/>
    <s v="Bangalore"/>
    <x v="0"/>
    <s v="Yes"/>
    <n v="48"/>
    <n v="7"/>
    <n v="10"/>
    <s v="Not Promoted"/>
    <s v="Mid-Age"/>
    <s v="Executive"/>
    <s v="Mid-Level"/>
    <s v="D01"/>
    <s v="D01"/>
    <s v="Executive"/>
  </r>
  <r>
    <x v="23"/>
    <s v="Anaya Chaudhary"/>
    <x v="0"/>
    <n v="44"/>
    <x v="0"/>
    <x v="0"/>
    <s v="B.Tech"/>
    <n v="19"/>
    <d v="2022-07-23T00:00:00"/>
    <n v="106351"/>
    <n v="2812"/>
    <n v="2"/>
    <x v="0"/>
    <s v="Chennai"/>
    <x v="0"/>
    <s v="No"/>
    <n v="55"/>
    <n v="13"/>
    <n v="4"/>
    <s v="Not Promoted"/>
    <s v="Senior"/>
    <s v="Executive"/>
    <s v="Senior"/>
    <s v="D06"/>
    <s v="D06"/>
    <s v="Executive"/>
  </r>
  <r>
    <x v="24"/>
    <s v="Neelofar Chatterjee"/>
    <x v="0"/>
    <n v="37"/>
    <x v="0"/>
    <x v="12"/>
    <s v="Post Graduate"/>
    <n v="14"/>
    <d v="2019-10-15T00:00:00"/>
    <n v="128202"/>
    <n v="17083"/>
    <n v="1"/>
    <x v="1"/>
    <s v="Bangalore"/>
    <x v="0"/>
    <s v="Yes"/>
    <n v="19"/>
    <n v="0"/>
    <n v="7"/>
    <s v="Not Promoted"/>
    <s v="Mid-Age"/>
    <s v="Executive"/>
    <s v="Senior"/>
    <s v="D06"/>
    <s v="D06"/>
    <s v="Executive"/>
  </r>
  <r>
    <x v="25"/>
    <s v="Romil Sachdeva"/>
    <x v="1"/>
    <n v="47"/>
    <x v="0"/>
    <x v="0"/>
    <s v="Graduate"/>
    <n v="24"/>
    <d v="2021-02-15T00:00:00"/>
    <n v="138292"/>
    <n v="5779"/>
    <n v="1"/>
    <x v="1"/>
    <s v="Mumbai"/>
    <x v="0"/>
    <s v="No"/>
    <n v="7"/>
    <n v="3"/>
    <n v="5"/>
    <s v="Not Promoted"/>
    <s v="Senior"/>
    <s v="Executive"/>
    <s v="Senior"/>
    <s v="D06"/>
    <s v="D06"/>
    <s v="Executive"/>
  </r>
  <r>
    <x v="26"/>
    <s v="Indrajit Kohli"/>
    <x v="0"/>
    <n v="44"/>
    <x v="1"/>
    <x v="3"/>
    <s v="MBA"/>
    <n v="18"/>
    <d v="2021-07-08T00:00:00"/>
    <n v="82199"/>
    <n v="3454"/>
    <n v="5"/>
    <x v="2"/>
    <s v="Hyderabad"/>
    <x v="1"/>
    <s v="Yes"/>
    <n v="38"/>
    <n v="17"/>
    <n v="9"/>
    <s v="Not Promoted"/>
    <s v="Senior"/>
    <s v="High"/>
    <s v="Senior"/>
    <s v="D05"/>
    <s v="D05"/>
    <s v="High"/>
  </r>
  <r>
    <x v="27"/>
    <s v="Rania Karpe"/>
    <x v="1"/>
    <n v="34"/>
    <x v="0"/>
    <x v="12"/>
    <s v="M.Tech"/>
    <n v="11"/>
    <d v="2022-11-02T00:00:00"/>
    <n v="34171"/>
    <n v="12134"/>
    <n v="3"/>
    <x v="2"/>
    <s v="Hyderabad"/>
    <x v="0"/>
    <s v="No"/>
    <n v="30"/>
    <n v="9"/>
    <n v="10"/>
    <s v="Not Promoted"/>
    <s v="Mid-Age"/>
    <s v="Medium"/>
    <s v="Senior"/>
    <s v="D06"/>
    <s v="D06"/>
    <s v="Medium"/>
  </r>
  <r>
    <x v="28"/>
    <s v="Samiha Seth"/>
    <x v="0"/>
    <n v="34"/>
    <x v="1"/>
    <x v="13"/>
    <s v="MBA"/>
    <n v="10"/>
    <d v="2022-04-02T00:00:00"/>
    <n v="113777"/>
    <n v="11401"/>
    <n v="2"/>
    <x v="0"/>
    <s v="Hyderabad"/>
    <x v="0"/>
    <s v="No"/>
    <n v="34"/>
    <n v="14"/>
    <n v="10"/>
    <s v="Not Promoted"/>
    <s v="Mid-Age"/>
    <s v="Executive"/>
    <s v="Mid-Level"/>
    <s v="D05"/>
    <s v="D05"/>
    <s v="Executive"/>
  </r>
  <r>
    <x v="29"/>
    <s v="Shaan Ahluwalia"/>
    <x v="1"/>
    <n v="35"/>
    <x v="5"/>
    <x v="9"/>
    <s v="Graduate"/>
    <n v="10"/>
    <d v="2023-04-23T00:00:00"/>
    <n v="129036"/>
    <n v="9696"/>
    <n v="2"/>
    <x v="2"/>
    <s v="Bangalore"/>
    <x v="0"/>
    <s v="Yes"/>
    <n v="56"/>
    <n v="6"/>
    <n v="2"/>
    <s v="Not Promoted"/>
    <s v="Mid-Age"/>
    <s v="Executive"/>
    <s v="Mid-Level"/>
    <s v="D04"/>
    <s v="D04"/>
    <s v="Executive"/>
  </r>
  <r>
    <x v="30"/>
    <s v="Vritika Brahmbhatt"/>
    <x v="0"/>
    <n v="24"/>
    <x v="4"/>
    <x v="5"/>
    <s v="B.Tech"/>
    <n v="2"/>
    <d v="2023-05-01T00:00:00"/>
    <n v="105120"/>
    <n v="18199"/>
    <n v="1"/>
    <x v="1"/>
    <s v="Mumbai"/>
    <x v="0"/>
    <s v="Yes"/>
    <n v="46"/>
    <n v="0"/>
    <n v="8"/>
    <s v="Not Promoted"/>
    <s v="Young"/>
    <s v="Executive"/>
    <s v="Fresher"/>
    <s v="D02"/>
    <s v="D02"/>
    <s v="Executive"/>
  </r>
  <r>
    <x v="31"/>
    <s v="Seher Bhatti"/>
    <x v="1"/>
    <n v="36"/>
    <x v="3"/>
    <x v="14"/>
    <s v="Post Graduate"/>
    <n v="14"/>
    <d v="2023-10-23T00:00:00"/>
    <n v="85889"/>
    <n v="17225"/>
    <n v="1"/>
    <x v="2"/>
    <s v="Pune"/>
    <x v="0"/>
    <s v="No"/>
    <n v="53"/>
    <n v="14"/>
    <n v="9"/>
    <s v="Not Promoted"/>
    <s v="Mid-Age"/>
    <s v="High"/>
    <s v="Senior"/>
    <s v="D01"/>
    <s v="D01"/>
    <s v="High"/>
  </r>
  <r>
    <x v="32"/>
    <s v="Manikya Chaudhuri"/>
    <x v="1"/>
    <n v="54"/>
    <x v="1"/>
    <x v="1"/>
    <s v="M.Tech"/>
    <n v="30"/>
    <d v="2024-02-23T00:00:00"/>
    <n v="83446"/>
    <n v="17879"/>
    <n v="2"/>
    <x v="2"/>
    <s v="Mumbai"/>
    <x v="0"/>
    <s v="No"/>
    <n v="33"/>
    <n v="2"/>
    <n v="8"/>
    <s v="Not Promoted"/>
    <s v="Senior"/>
    <s v="High"/>
    <s v="Senior"/>
    <s v="D05"/>
    <s v="D05"/>
    <s v="High"/>
  </r>
  <r>
    <x v="33"/>
    <s v="Ishita Roy"/>
    <x v="0"/>
    <n v="37"/>
    <x v="0"/>
    <x v="11"/>
    <s v="Post Graduate"/>
    <n v="14"/>
    <d v="2021-10-07T00:00:00"/>
    <n v="66904"/>
    <n v="4104"/>
    <n v="5"/>
    <x v="1"/>
    <s v="Hyderabad"/>
    <x v="1"/>
    <s v="No"/>
    <n v="39"/>
    <n v="14"/>
    <n v="2"/>
    <s v="Not Promoted"/>
    <s v="Mid-Age"/>
    <s v="High"/>
    <s v="Senior"/>
    <s v="D06"/>
    <s v="D06"/>
    <s v="High"/>
  </r>
  <r>
    <x v="34"/>
    <s v="Dhruv Rattan"/>
    <x v="1"/>
    <n v="35"/>
    <x v="5"/>
    <x v="10"/>
    <s v="B.Tech"/>
    <n v="11"/>
    <d v="2022-05-15T00:00:00"/>
    <n v="143598"/>
    <n v="2193"/>
    <n v="5"/>
    <x v="1"/>
    <s v="Bangalore"/>
    <x v="0"/>
    <s v="No"/>
    <n v="59"/>
    <n v="13"/>
    <n v="1"/>
    <s v="Not Promoted"/>
    <s v="Mid-Age"/>
    <s v="Executive"/>
    <s v="Senior"/>
    <s v="D04"/>
    <s v="D04"/>
    <s v="Executive"/>
  </r>
  <r>
    <x v="35"/>
    <s v="Faiyaz Lalla"/>
    <x v="1"/>
    <n v="36"/>
    <x v="1"/>
    <x v="1"/>
    <s v="Post Graduate"/>
    <n v="12"/>
    <d v="2020-06-17T00:00:00"/>
    <n v="60774"/>
    <n v="17315"/>
    <n v="4"/>
    <x v="0"/>
    <s v="Pune"/>
    <x v="1"/>
    <s v="Yes"/>
    <n v="30"/>
    <n v="18"/>
    <n v="8"/>
    <s v="Not Promoted"/>
    <s v="Mid-Age"/>
    <s v="High"/>
    <s v="Senior"/>
    <s v="D05"/>
    <s v="D05"/>
    <s v="High"/>
  </r>
  <r>
    <x v="36"/>
    <s v="Badal Kari"/>
    <x v="0"/>
    <n v="23"/>
    <x v="1"/>
    <x v="1"/>
    <s v="B.Tech"/>
    <n v="2"/>
    <d v="2022-10-22T00:00:00"/>
    <n v="42786"/>
    <n v="12710"/>
    <n v="4"/>
    <x v="1"/>
    <s v="Noida"/>
    <x v="1"/>
    <s v="No"/>
    <n v="22"/>
    <n v="13"/>
    <n v="3"/>
    <s v="Not Promoted"/>
    <s v="Young"/>
    <s v="Medium"/>
    <s v="Fresher"/>
    <s v="D05"/>
    <s v="D05"/>
    <s v="Medium"/>
  </r>
  <r>
    <x v="37"/>
    <s v="Vanya Taneja"/>
    <x v="0"/>
    <n v="52"/>
    <x v="2"/>
    <x v="2"/>
    <s v="Graduate"/>
    <n v="31"/>
    <d v="2024-01-19T00:00:00"/>
    <n v="31826"/>
    <n v="10102"/>
    <n v="3"/>
    <x v="0"/>
    <s v="Noida"/>
    <x v="0"/>
    <s v="Yes"/>
    <n v="44"/>
    <n v="4"/>
    <n v="4"/>
    <s v="Not Promoted"/>
    <s v="Senior"/>
    <s v="Medium"/>
    <s v="Senior"/>
    <s v="D03"/>
    <s v="D03"/>
    <s v="Medium"/>
  </r>
  <r>
    <x v="38"/>
    <s v="Zain Solanki"/>
    <x v="0"/>
    <n v="52"/>
    <x v="4"/>
    <x v="5"/>
    <s v="M.Tech"/>
    <n v="26"/>
    <d v="2019-04-14T00:00:00"/>
    <n v="98920"/>
    <n v="21898"/>
    <n v="2"/>
    <x v="2"/>
    <s v="Chennai"/>
    <x v="0"/>
    <s v="Yes"/>
    <n v="54"/>
    <n v="5"/>
    <n v="8"/>
    <s v="Not Promoted"/>
    <s v="Senior"/>
    <s v="Executive"/>
    <s v="Senior"/>
    <s v="D02"/>
    <s v="D02"/>
    <s v="Executive"/>
  </r>
  <r>
    <x v="39"/>
    <s v="Jayant Seth"/>
    <x v="0"/>
    <n v="23"/>
    <x v="2"/>
    <x v="2"/>
    <s v="Graduate"/>
    <n v="0"/>
    <d v="2024-06-16T00:00:00"/>
    <n v="113781"/>
    <n v="24845"/>
    <n v="4"/>
    <x v="1"/>
    <s v="Noida"/>
    <x v="0"/>
    <s v="Yes"/>
    <n v="55"/>
    <n v="18"/>
    <n v="7"/>
    <s v="Promoted"/>
    <s v="Young"/>
    <s v="Executive"/>
    <s v="Fresher"/>
    <s v="D03"/>
    <s v="D03"/>
    <s v="Executive"/>
  </r>
  <r>
    <x v="40"/>
    <s v="Stuvan Chopra"/>
    <x v="1"/>
    <n v="49"/>
    <x v="3"/>
    <x v="14"/>
    <s v="Graduate"/>
    <n v="23"/>
    <d v="2022-02-26T00:00:00"/>
    <n v="34038"/>
    <n v="16205"/>
    <n v="5"/>
    <x v="1"/>
    <s v="Chennai"/>
    <x v="1"/>
    <s v="No"/>
    <n v="50"/>
    <n v="4"/>
    <n v="6"/>
    <s v="Not Promoted"/>
    <s v="Senior"/>
    <s v="Medium"/>
    <s v="Senior"/>
    <s v="D01"/>
    <s v="D01"/>
    <s v="Medium"/>
  </r>
  <r>
    <x v="41"/>
    <s v="Parinaaz Balan"/>
    <x v="1"/>
    <n v="55"/>
    <x v="5"/>
    <x v="10"/>
    <s v="MBA"/>
    <n v="29"/>
    <d v="2021-01-11T00:00:00"/>
    <n v="105728"/>
    <n v="10044"/>
    <n v="5"/>
    <x v="0"/>
    <s v="Bangalore"/>
    <x v="0"/>
    <s v="No"/>
    <n v="20"/>
    <n v="14"/>
    <n v="8"/>
    <s v="Not Promoted"/>
    <s v="Senior"/>
    <s v="Executive"/>
    <s v="Senior"/>
    <s v="D04"/>
    <s v="D04"/>
    <s v="Executive"/>
  </r>
  <r>
    <x v="42"/>
    <s v="Divyansh Kar"/>
    <x v="1"/>
    <n v="46"/>
    <x v="1"/>
    <x v="1"/>
    <s v="MBA"/>
    <n v="23"/>
    <d v="2018-04-28T00:00:00"/>
    <n v="89789"/>
    <n v="11163"/>
    <n v="3"/>
    <x v="2"/>
    <s v="Chennai"/>
    <x v="0"/>
    <s v="No"/>
    <n v="40"/>
    <n v="0"/>
    <n v="3"/>
    <s v="Not Promoted"/>
    <s v="Senior"/>
    <s v="High"/>
    <s v="Senior"/>
    <s v="D05"/>
    <s v="D05"/>
    <s v="High"/>
  </r>
  <r>
    <x v="43"/>
    <s v="Zeeshan Kala"/>
    <x v="1"/>
    <n v="27"/>
    <x v="1"/>
    <x v="13"/>
    <s v="B.Tech"/>
    <n v="5"/>
    <d v="2022-07-23T00:00:00"/>
    <n v="89038"/>
    <n v="2565"/>
    <n v="5"/>
    <x v="0"/>
    <s v="Bangalore"/>
    <x v="0"/>
    <s v="Yes"/>
    <n v="30"/>
    <n v="7"/>
    <n v="4"/>
    <s v="Not Promoted"/>
    <s v="Young"/>
    <s v="High"/>
    <s v="Junior"/>
    <s v="D05"/>
    <s v="D05"/>
    <s v="High"/>
  </r>
  <r>
    <x v="44"/>
    <s v="Kashvi Master"/>
    <x v="1"/>
    <n v="45"/>
    <x v="2"/>
    <x v="7"/>
    <s v="B.Tech"/>
    <n v="21"/>
    <d v="2024-03-17T00:00:00"/>
    <n v="94588"/>
    <n v="10877"/>
    <n v="3"/>
    <x v="1"/>
    <s v="Bangalore"/>
    <x v="0"/>
    <s v="Yes"/>
    <n v="12"/>
    <n v="6"/>
    <n v="7"/>
    <s v="Not Promoted"/>
    <s v="Senior"/>
    <s v="Executive"/>
    <s v="Senior"/>
    <s v="D03"/>
    <s v="D03"/>
    <s v="Executive"/>
  </r>
  <r>
    <x v="45"/>
    <s v="Oorja Sami"/>
    <x v="1"/>
    <n v="33"/>
    <x v="2"/>
    <x v="2"/>
    <s v="Graduate"/>
    <n v="11"/>
    <d v="2020-06-05T00:00:00"/>
    <n v="121810"/>
    <n v="8360"/>
    <n v="4"/>
    <x v="1"/>
    <s v="Mumbai"/>
    <x v="0"/>
    <s v="No"/>
    <n v="16"/>
    <n v="9"/>
    <n v="5"/>
    <s v="Not Promoted"/>
    <s v="Mid-Age"/>
    <s v="Executive"/>
    <s v="Senior"/>
    <s v="D03"/>
    <s v="D03"/>
    <s v="Executive"/>
  </r>
  <r>
    <x v="46"/>
    <s v="Sahil Borra"/>
    <x v="1"/>
    <n v="30"/>
    <x v="3"/>
    <x v="8"/>
    <s v="Graduate"/>
    <n v="7"/>
    <d v="2018-07-06T00:00:00"/>
    <n v="32146"/>
    <n v="2401"/>
    <n v="5"/>
    <x v="2"/>
    <s v="Bangalore"/>
    <x v="0"/>
    <s v="No"/>
    <n v="35"/>
    <n v="14"/>
    <n v="5"/>
    <s v="Promoted"/>
    <s v="Young"/>
    <s v="Medium"/>
    <s v="Mid-Level"/>
    <s v="D01"/>
    <s v="D01"/>
    <s v="Medium"/>
  </r>
  <r>
    <x v="47"/>
    <s v="Shayak Sachdeva"/>
    <x v="0"/>
    <n v="25"/>
    <x v="2"/>
    <x v="2"/>
    <s v="Post Graduate"/>
    <n v="2"/>
    <d v="2023-05-11T00:00:00"/>
    <n v="39953"/>
    <n v="6888"/>
    <n v="1"/>
    <x v="2"/>
    <s v="Bangalore"/>
    <x v="0"/>
    <s v="Yes"/>
    <n v="20"/>
    <n v="3"/>
    <n v="7"/>
    <s v="Not Promoted"/>
    <s v="Young"/>
    <s v="Medium"/>
    <s v="Fresher"/>
    <s v="D03"/>
    <s v="D03"/>
    <s v="Medium"/>
  </r>
  <r>
    <x v="48"/>
    <s v="Tanya Iyer"/>
    <x v="1"/>
    <n v="36"/>
    <x v="1"/>
    <x v="3"/>
    <s v="M.Tech"/>
    <n v="11"/>
    <d v="2022-04-08T00:00:00"/>
    <n v="84049"/>
    <n v="22349"/>
    <n v="4"/>
    <x v="0"/>
    <s v="Pune"/>
    <x v="0"/>
    <s v="Yes"/>
    <n v="53"/>
    <n v="6"/>
    <n v="5"/>
    <s v="Not Promoted"/>
    <s v="Mid-Age"/>
    <s v="High"/>
    <s v="Senior"/>
    <s v="D05"/>
    <s v="D05"/>
    <s v="High"/>
  </r>
  <r>
    <x v="49"/>
    <s v="Alia Chakrabarti"/>
    <x v="1"/>
    <n v="38"/>
    <x v="0"/>
    <x v="0"/>
    <s v="B.Tech"/>
    <n v="12"/>
    <d v="2018-11-29T00:00:00"/>
    <n v="45585"/>
    <n v="24589"/>
    <n v="2"/>
    <x v="2"/>
    <s v="Hyderabad"/>
    <x v="0"/>
    <s v="No"/>
    <n v="7"/>
    <n v="7"/>
    <n v="3"/>
    <s v="Promoted"/>
    <s v="Mid-Age"/>
    <s v="Medium"/>
    <s v="Senior"/>
    <s v="D06"/>
    <s v="D06"/>
    <s v="Medium"/>
  </r>
  <r>
    <x v="50"/>
    <s v="Armaan Mann"/>
    <x v="0"/>
    <n v="40"/>
    <x v="2"/>
    <x v="7"/>
    <s v="B.Tech"/>
    <n v="14"/>
    <d v="2023-02-03T00:00:00"/>
    <n v="34329"/>
    <n v="5760"/>
    <n v="2"/>
    <x v="2"/>
    <s v="Mumbai"/>
    <x v="0"/>
    <s v="Yes"/>
    <n v="22"/>
    <n v="4"/>
    <n v="5"/>
    <s v="Not Promoted"/>
    <s v="Mid-Age"/>
    <s v="Medium"/>
    <s v="Senior"/>
    <s v="D03"/>
    <s v="D03"/>
    <s v="Medium"/>
  </r>
  <r>
    <x v="51"/>
    <s v="Zeeshan Kakar"/>
    <x v="1"/>
    <n v="32"/>
    <x v="3"/>
    <x v="4"/>
    <s v="B.Tech"/>
    <n v="9"/>
    <d v="2024-09-03T00:00:00"/>
    <n v="123167"/>
    <n v="10920"/>
    <n v="5"/>
    <x v="2"/>
    <s v="Pune"/>
    <x v="0"/>
    <s v="No"/>
    <n v="33"/>
    <n v="2"/>
    <n v="5"/>
    <s v="Not Promoted"/>
    <s v="Mid-Age"/>
    <s v="Executive"/>
    <s v="Mid-Level"/>
    <s v="D01"/>
    <s v="D01"/>
    <s v="Executive"/>
  </r>
  <r>
    <x v="52"/>
    <s v="Shanaya Lala"/>
    <x v="0"/>
    <n v="49"/>
    <x v="1"/>
    <x v="13"/>
    <s v="MBA"/>
    <n v="23"/>
    <d v="2021-08-13T00:00:00"/>
    <n v="104129"/>
    <n v="20882"/>
    <n v="3"/>
    <x v="0"/>
    <s v="Noida"/>
    <x v="1"/>
    <s v="Yes"/>
    <n v="35"/>
    <n v="16"/>
    <n v="1"/>
    <s v="Not Promoted"/>
    <s v="Senior"/>
    <s v="Executive"/>
    <s v="Senior"/>
    <s v="D05"/>
    <s v="D05"/>
    <s v="Executive"/>
  </r>
  <r>
    <x v="53"/>
    <s v="Taran Dayal"/>
    <x v="1"/>
    <n v="39"/>
    <x v="0"/>
    <x v="11"/>
    <s v="Graduate"/>
    <n v="17"/>
    <d v="2024-07-25T00:00:00"/>
    <n v="82132"/>
    <n v="7269"/>
    <n v="4"/>
    <x v="1"/>
    <s v="Hyderabad"/>
    <x v="0"/>
    <s v="No"/>
    <n v="23"/>
    <n v="12"/>
    <n v="2"/>
    <s v="Not Promoted"/>
    <s v="Mid-Age"/>
    <s v="High"/>
    <s v="Senior"/>
    <s v="D06"/>
    <s v="D06"/>
    <s v="High"/>
  </r>
  <r>
    <x v="54"/>
    <s v="Abram Sawhney"/>
    <x v="0"/>
    <n v="51"/>
    <x v="1"/>
    <x v="13"/>
    <s v="M.Tech"/>
    <n v="30"/>
    <d v="2021-07-12T00:00:00"/>
    <n v="58082"/>
    <n v="17138"/>
    <n v="3"/>
    <x v="1"/>
    <s v="Delhi"/>
    <x v="0"/>
    <s v="Yes"/>
    <n v="38"/>
    <n v="11"/>
    <n v="2"/>
    <s v="Not Promoted"/>
    <s v="Senior"/>
    <s v="Medium"/>
    <s v="Senior"/>
    <s v="D05"/>
    <s v="D05"/>
    <s v="Medium"/>
  </r>
  <r>
    <x v="55"/>
    <s v="Piya Balasubramanian"/>
    <x v="1"/>
    <n v="50"/>
    <x v="1"/>
    <x v="3"/>
    <s v="Graduate"/>
    <n v="29"/>
    <d v="2020-04-13T00:00:00"/>
    <n v="60003"/>
    <n v="2945"/>
    <n v="5"/>
    <x v="2"/>
    <s v="Pune"/>
    <x v="0"/>
    <s v="Yes"/>
    <n v="50"/>
    <n v="5"/>
    <n v="3"/>
    <s v="Not Promoted"/>
    <s v="Senior"/>
    <s v="High"/>
    <s v="Senior"/>
    <s v="D05"/>
    <s v="D05"/>
    <s v="High"/>
  </r>
  <r>
    <x v="56"/>
    <s v="Siya Sant"/>
    <x v="0"/>
    <n v="22"/>
    <x v="2"/>
    <x v="7"/>
    <s v="B.Tech"/>
    <n v="0"/>
    <d v="2022-07-30T00:00:00"/>
    <n v="37217"/>
    <n v="11563"/>
    <n v="2"/>
    <x v="2"/>
    <s v="Chennai"/>
    <x v="0"/>
    <s v="No"/>
    <n v="31"/>
    <n v="15"/>
    <n v="2"/>
    <s v="Promoted"/>
    <s v="Young"/>
    <s v="Medium"/>
    <s v="Fresher"/>
    <s v="D03"/>
    <s v="D03"/>
    <s v="Medium"/>
  </r>
  <r>
    <x v="57"/>
    <s v="Krish Jha"/>
    <x v="0"/>
    <n v="51"/>
    <x v="5"/>
    <x v="10"/>
    <s v="MBA"/>
    <n v="26"/>
    <d v="2019-08-16T00:00:00"/>
    <n v="75277"/>
    <n v="15596"/>
    <n v="2"/>
    <x v="1"/>
    <s v="Noida"/>
    <x v="0"/>
    <s v="No"/>
    <n v="57"/>
    <n v="0"/>
    <n v="10"/>
    <s v="Not Promoted"/>
    <s v="Senior"/>
    <s v="High"/>
    <s v="Senior"/>
    <s v="D04"/>
    <s v="D04"/>
    <s v="High"/>
  </r>
  <r>
    <x v="58"/>
    <s v="Anahita Kumer"/>
    <x v="1"/>
    <n v="41"/>
    <x v="2"/>
    <x v="7"/>
    <s v="M.Tech"/>
    <n v="16"/>
    <d v="2024-07-03T00:00:00"/>
    <n v="111499"/>
    <n v="19807"/>
    <n v="4"/>
    <x v="1"/>
    <s v="Hyderabad"/>
    <x v="0"/>
    <s v="No"/>
    <n v="60"/>
    <n v="6"/>
    <n v="3"/>
    <s v="Not Promoted"/>
    <s v="Senior"/>
    <s v="Executive"/>
    <s v="Senior"/>
    <s v="D03"/>
    <s v="D03"/>
    <s v="Executive"/>
  </r>
  <r>
    <x v="59"/>
    <s v="Pranay Char"/>
    <x v="1"/>
    <n v="46"/>
    <x v="0"/>
    <x v="0"/>
    <s v="Post Graduate"/>
    <n v="24"/>
    <d v="2022-08-10T00:00:00"/>
    <n v="30720"/>
    <n v="18230"/>
    <n v="3"/>
    <x v="0"/>
    <s v="Mumbai"/>
    <x v="0"/>
    <s v="No"/>
    <n v="60"/>
    <n v="3"/>
    <n v="8"/>
    <s v="Not Promoted"/>
    <s v="Senior"/>
    <s v="Medium"/>
    <s v="Senior"/>
    <s v="D06"/>
    <s v="D06"/>
    <s v="Medium"/>
  </r>
  <r>
    <x v="60"/>
    <s v="Purab Sen"/>
    <x v="0"/>
    <n v="55"/>
    <x v="5"/>
    <x v="10"/>
    <s v="B.Tech"/>
    <n v="31"/>
    <d v="2018-03-04T00:00:00"/>
    <n v="119692"/>
    <n v="10684"/>
    <n v="2"/>
    <x v="1"/>
    <s v="Pune"/>
    <x v="0"/>
    <s v="No"/>
    <n v="46"/>
    <n v="2"/>
    <n v="7"/>
    <s v="Not Promoted"/>
    <s v="Senior"/>
    <s v="Executive"/>
    <s v="Senior"/>
    <s v="D04"/>
    <s v="D04"/>
    <s v="Executive"/>
  </r>
  <r>
    <x v="61"/>
    <s v="Ritvik Chatterjee"/>
    <x v="1"/>
    <n v="46"/>
    <x v="2"/>
    <x v="7"/>
    <s v="Post Graduate"/>
    <n v="23"/>
    <d v="2023-06-22T00:00:00"/>
    <n v="139344"/>
    <n v="4961"/>
    <n v="5"/>
    <x v="1"/>
    <s v="Delhi"/>
    <x v="0"/>
    <s v="Yes"/>
    <n v="33"/>
    <n v="5"/>
    <n v="1"/>
    <s v="Not Promoted"/>
    <s v="Senior"/>
    <s v="Executive"/>
    <s v="Senior"/>
    <s v="D03"/>
    <s v="D03"/>
    <s v="Executive"/>
  </r>
  <r>
    <x v="62"/>
    <s v="Kiaan Varughese"/>
    <x v="0"/>
    <n v="23"/>
    <x v="0"/>
    <x v="11"/>
    <s v="M.Tech"/>
    <n v="2"/>
    <d v="2021-08-21T00:00:00"/>
    <n v="129352"/>
    <n v="15502"/>
    <n v="1"/>
    <x v="2"/>
    <s v="Chennai"/>
    <x v="0"/>
    <s v="Yes"/>
    <n v="15"/>
    <n v="5"/>
    <n v="5"/>
    <s v="Not Promoted"/>
    <s v="Young"/>
    <s v="Executive"/>
    <s v="Fresher"/>
    <s v="D06"/>
    <s v="D06"/>
    <s v="Executive"/>
  </r>
  <r>
    <x v="63"/>
    <s v="Suhana Som"/>
    <x v="1"/>
    <n v="46"/>
    <x v="3"/>
    <x v="8"/>
    <s v="MBA"/>
    <n v="21"/>
    <d v="2020-09-13T00:00:00"/>
    <n v="90230"/>
    <n v="23851"/>
    <n v="5"/>
    <x v="0"/>
    <s v="Noida"/>
    <x v="0"/>
    <s v="No"/>
    <n v="23"/>
    <n v="17"/>
    <n v="3"/>
    <s v="Not Promoted"/>
    <s v="Senior"/>
    <s v="Executive"/>
    <s v="Senior"/>
    <s v="D01"/>
    <s v="D01"/>
    <s v="Executive"/>
  </r>
  <r>
    <x v="64"/>
    <s v="Mannat Kade"/>
    <x v="1"/>
    <n v="50"/>
    <x v="4"/>
    <x v="5"/>
    <s v="B.Tech"/>
    <n v="27"/>
    <d v="2024-08-03T00:00:00"/>
    <n v="64210"/>
    <n v="5494"/>
    <n v="4"/>
    <x v="0"/>
    <s v="Hyderabad"/>
    <x v="0"/>
    <s v="No"/>
    <n v="41"/>
    <n v="9"/>
    <n v="5"/>
    <s v="Not Promoted"/>
    <s v="Senior"/>
    <s v="High"/>
    <s v="Senior"/>
    <s v="D02"/>
    <s v="D02"/>
    <s v="High"/>
  </r>
  <r>
    <x v="65"/>
    <s v="Riaan Raju"/>
    <x v="0"/>
    <n v="23"/>
    <x v="0"/>
    <x v="11"/>
    <s v="M.Tech"/>
    <n v="0"/>
    <d v="2022-06-10T00:00:00"/>
    <n v="60976"/>
    <n v="18276"/>
    <n v="1"/>
    <x v="1"/>
    <s v="Noida"/>
    <x v="0"/>
    <s v="Yes"/>
    <n v="43"/>
    <n v="11"/>
    <n v="10"/>
    <s v="Not Promoted"/>
    <s v="Young"/>
    <s v="High"/>
    <s v="Fresher"/>
    <s v="D06"/>
    <s v="D06"/>
    <s v="High"/>
  </r>
  <r>
    <x v="66"/>
    <s v="Neelofar Sekhon"/>
    <x v="1"/>
    <n v="34"/>
    <x v="4"/>
    <x v="6"/>
    <s v="B.Tech"/>
    <n v="9"/>
    <d v="2020-10-23T00:00:00"/>
    <n v="113835"/>
    <n v="3093"/>
    <n v="2"/>
    <x v="2"/>
    <s v="Bangalore"/>
    <x v="0"/>
    <s v="Yes"/>
    <n v="10"/>
    <n v="9"/>
    <n v="2"/>
    <s v="Not Promoted"/>
    <s v="Mid-Age"/>
    <s v="Executive"/>
    <s v="Mid-Level"/>
    <s v="D02"/>
    <s v="D02"/>
    <s v="Executive"/>
  </r>
  <r>
    <x v="67"/>
    <s v="Neelofar Salvi"/>
    <x v="0"/>
    <n v="48"/>
    <x v="2"/>
    <x v="7"/>
    <s v="MBA"/>
    <n v="26"/>
    <d v="2020-04-02T00:00:00"/>
    <n v="42322"/>
    <n v="17789"/>
    <n v="5"/>
    <x v="1"/>
    <s v="Chennai"/>
    <x v="0"/>
    <s v="No"/>
    <n v="56"/>
    <n v="3"/>
    <n v="6"/>
    <s v="Not Promoted"/>
    <s v="Senior"/>
    <s v="Medium"/>
    <s v="Senior"/>
    <s v="D03"/>
    <s v="D03"/>
    <s v="Medium"/>
  </r>
  <r>
    <x v="68"/>
    <s v="Anaya Rastogi"/>
    <x v="1"/>
    <n v="31"/>
    <x v="5"/>
    <x v="10"/>
    <s v="M.Tech"/>
    <n v="9"/>
    <d v="2022-06-16T00:00:00"/>
    <n v="135853"/>
    <n v="6049"/>
    <n v="5"/>
    <x v="1"/>
    <s v="Bangalore"/>
    <x v="1"/>
    <s v="No"/>
    <n v="42"/>
    <n v="12"/>
    <n v="6"/>
    <s v="Not Promoted"/>
    <s v="Mid-Age"/>
    <s v="Executive"/>
    <s v="Mid-Level"/>
    <s v="D04"/>
    <s v="D04"/>
    <s v="Executive"/>
  </r>
  <r>
    <x v="69"/>
    <s v="Anika Wali"/>
    <x v="0"/>
    <n v="28"/>
    <x v="0"/>
    <x v="11"/>
    <s v="Graduate"/>
    <n v="2"/>
    <d v="2020-08-15T00:00:00"/>
    <n v="86797"/>
    <n v="22820"/>
    <n v="1"/>
    <x v="1"/>
    <s v="Chennai"/>
    <x v="0"/>
    <s v="No"/>
    <n v="46"/>
    <n v="13"/>
    <n v="10"/>
    <s v="Not Promoted"/>
    <s v="Young"/>
    <s v="High"/>
    <s v="Fresher"/>
    <s v="D06"/>
    <s v="D06"/>
    <s v="High"/>
  </r>
  <r>
    <x v="70"/>
    <s v="Jhanvi Ahluwalia"/>
    <x v="1"/>
    <n v="24"/>
    <x v="3"/>
    <x v="4"/>
    <s v="B.Tech"/>
    <n v="3"/>
    <d v="2021-05-31T00:00:00"/>
    <n v="89569"/>
    <n v="14157"/>
    <n v="1"/>
    <x v="2"/>
    <s v="Chennai"/>
    <x v="0"/>
    <s v="No"/>
    <n v="42"/>
    <n v="4"/>
    <n v="2"/>
    <s v="Not Promoted"/>
    <s v="Young"/>
    <s v="High"/>
    <s v="Junior"/>
    <s v="D01"/>
    <s v="D01"/>
    <s v="High"/>
  </r>
  <r>
    <x v="71"/>
    <s v="Stuvan Sarkar"/>
    <x v="1"/>
    <n v="28"/>
    <x v="5"/>
    <x v="9"/>
    <s v="Post Graduate"/>
    <n v="4"/>
    <d v="2022-07-30T00:00:00"/>
    <n v="148083"/>
    <n v="13884"/>
    <n v="3"/>
    <x v="0"/>
    <s v="Chennai"/>
    <x v="0"/>
    <s v="No"/>
    <n v="39"/>
    <n v="20"/>
    <n v="1"/>
    <s v="Not Promoted"/>
    <s v="Young"/>
    <s v="Executive"/>
    <s v="Junior"/>
    <s v="D04"/>
    <s v="D04"/>
    <s v="Executive"/>
  </r>
  <r>
    <x v="72"/>
    <s v="Hridaan Ratta"/>
    <x v="0"/>
    <n v="47"/>
    <x v="2"/>
    <x v="2"/>
    <s v="Graduate"/>
    <n v="24"/>
    <d v="2020-02-17T00:00:00"/>
    <n v="41011"/>
    <n v="12928"/>
    <n v="4"/>
    <x v="0"/>
    <s v="Mumbai"/>
    <x v="0"/>
    <s v="Yes"/>
    <n v="9"/>
    <n v="17"/>
    <n v="2"/>
    <s v="Not Promoted"/>
    <s v="Senior"/>
    <s v="Medium"/>
    <s v="Senior"/>
    <s v="D03"/>
    <s v="D03"/>
    <s v="Medium"/>
  </r>
  <r>
    <x v="73"/>
    <s v="Yakshit Lad"/>
    <x v="0"/>
    <n v="35"/>
    <x v="4"/>
    <x v="6"/>
    <s v="Post Graduate"/>
    <n v="13"/>
    <d v="2021-09-07T00:00:00"/>
    <n v="126498"/>
    <n v="19701"/>
    <n v="2"/>
    <x v="1"/>
    <s v="Noida"/>
    <x v="1"/>
    <s v="Yes"/>
    <n v="12"/>
    <n v="0"/>
    <n v="10"/>
    <s v="Not Promoted"/>
    <s v="Mid-Age"/>
    <s v="Executive"/>
    <s v="Senior"/>
    <s v="D02"/>
    <s v="D02"/>
    <s v="Executive"/>
  </r>
  <r>
    <x v="74"/>
    <s v="Parinaaz Raman"/>
    <x v="1"/>
    <n v="44"/>
    <x v="4"/>
    <x v="5"/>
    <s v="M.Tech"/>
    <n v="22"/>
    <d v="2024-08-08T00:00:00"/>
    <n v="67437"/>
    <n v="5724"/>
    <n v="1"/>
    <x v="2"/>
    <s v="Delhi"/>
    <x v="0"/>
    <s v="No"/>
    <n v="33"/>
    <n v="11"/>
    <n v="3"/>
    <s v="Promoted"/>
    <s v="Senior"/>
    <s v="High"/>
    <s v="Senior"/>
    <s v="D02"/>
    <s v="D02"/>
    <s v="High"/>
  </r>
  <r>
    <x v="75"/>
    <s v="Aaryahi Goyal"/>
    <x v="1"/>
    <n v="28"/>
    <x v="1"/>
    <x v="1"/>
    <s v="B.Tech"/>
    <n v="4"/>
    <d v="2023-08-26T00:00:00"/>
    <n v="54038"/>
    <n v="23080"/>
    <n v="5"/>
    <x v="0"/>
    <s v="Delhi"/>
    <x v="0"/>
    <s v="No"/>
    <n v="59"/>
    <n v="12"/>
    <n v="1"/>
    <s v="Not Promoted"/>
    <s v="Young"/>
    <s v="Medium"/>
    <s v="Junior"/>
    <s v="D05"/>
    <s v="D05"/>
    <s v="Medium"/>
  </r>
  <r>
    <x v="76"/>
    <s v="Neysa Srinivasan"/>
    <x v="1"/>
    <n v="28"/>
    <x v="5"/>
    <x v="9"/>
    <s v="M.Tech"/>
    <n v="4"/>
    <d v="2022-12-22T00:00:00"/>
    <n v="34632"/>
    <n v="22744"/>
    <n v="1"/>
    <x v="2"/>
    <s v="Pune"/>
    <x v="0"/>
    <s v="No"/>
    <n v="29"/>
    <n v="19"/>
    <n v="6"/>
    <s v="Promoted"/>
    <s v="Young"/>
    <s v="Medium"/>
    <s v="Junior"/>
    <s v="D04"/>
    <s v="D04"/>
    <s v="Medium"/>
  </r>
  <r>
    <x v="77"/>
    <s v="Alisha Kuruvilla"/>
    <x v="0"/>
    <n v="51"/>
    <x v="1"/>
    <x v="3"/>
    <s v="B.Tech"/>
    <n v="26"/>
    <d v="2024-10-15T00:00:00"/>
    <n v="81387"/>
    <n v="16796"/>
    <n v="1"/>
    <x v="0"/>
    <s v="Hyderabad"/>
    <x v="0"/>
    <s v="No"/>
    <n v="57"/>
    <n v="14"/>
    <n v="2"/>
    <s v="Not Promoted"/>
    <s v="Senior"/>
    <s v="High"/>
    <s v="Senior"/>
    <s v="D05"/>
    <s v="D05"/>
    <s v="High"/>
  </r>
  <r>
    <x v="78"/>
    <s v="Stuvan Hegde"/>
    <x v="1"/>
    <n v="28"/>
    <x v="5"/>
    <x v="15"/>
    <s v="Graduate"/>
    <n v="5"/>
    <d v="2022-10-15T00:00:00"/>
    <n v="65963"/>
    <n v="4989"/>
    <n v="3"/>
    <x v="0"/>
    <s v="Delhi"/>
    <x v="0"/>
    <s v="No"/>
    <n v="11"/>
    <n v="11"/>
    <n v="6"/>
    <s v="Not Promoted"/>
    <s v="Young"/>
    <s v="High"/>
    <s v="Junior"/>
    <s v="D04"/>
    <s v="D04"/>
    <s v="High"/>
  </r>
  <r>
    <x v="79"/>
    <s v="Darshit Bhatnagar"/>
    <x v="1"/>
    <n v="25"/>
    <x v="4"/>
    <x v="6"/>
    <s v="Graduate"/>
    <n v="0"/>
    <d v="2024-04-19T00:00:00"/>
    <n v="98620"/>
    <n v="11425"/>
    <n v="3"/>
    <x v="2"/>
    <s v="Bangalore"/>
    <x v="0"/>
    <s v="No"/>
    <n v="11"/>
    <n v="18"/>
    <n v="2"/>
    <s v="Not Promoted"/>
    <s v="Young"/>
    <s v="Executive"/>
    <s v="Fresher"/>
    <s v="D02"/>
    <s v="D02"/>
    <s v="Executive"/>
  </r>
  <r>
    <x v="80"/>
    <s v="Yasmin Karpe"/>
    <x v="1"/>
    <n v="31"/>
    <x v="1"/>
    <x v="13"/>
    <s v="M.Tech"/>
    <n v="5"/>
    <d v="2023-05-30T00:00:00"/>
    <n v="54392"/>
    <n v="9410"/>
    <n v="1"/>
    <x v="1"/>
    <s v="Noida"/>
    <x v="0"/>
    <s v="Yes"/>
    <n v="43"/>
    <n v="8"/>
    <n v="6"/>
    <s v="Not Promoted"/>
    <s v="Mid-Age"/>
    <s v="Medium"/>
    <s v="Junior"/>
    <s v="D05"/>
    <s v="D05"/>
    <s v="Medium"/>
  </r>
  <r>
    <x v="81"/>
    <s v="Pihu Sundaram"/>
    <x v="1"/>
    <n v="39"/>
    <x v="3"/>
    <x v="4"/>
    <s v="Graduate"/>
    <n v="13"/>
    <d v="2021-06-19T00:00:00"/>
    <n v="145787"/>
    <n v="6648"/>
    <n v="3"/>
    <x v="2"/>
    <s v="Chennai"/>
    <x v="1"/>
    <s v="Yes"/>
    <n v="10"/>
    <n v="16"/>
    <n v="6"/>
    <s v="Not Promoted"/>
    <s v="Mid-Age"/>
    <s v="Executive"/>
    <s v="Senior"/>
    <s v="D01"/>
    <s v="D01"/>
    <s v="Executive"/>
  </r>
  <r>
    <x v="82"/>
    <s v="Hansh Behl"/>
    <x v="0"/>
    <n v="48"/>
    <x v="4"/>
    <x v="16"/>
    <s v="Graduate"/>
    <n v="24"/>
    <d v="2021-10-28T00:00:00"/>
    <n v="45631"/>
    <n v="7098"/>
    <n v="3"/>
    <x v="0"/>
    <s v="Noida"/>
    <x v="0"/>
    <s v="Yes"/>
    <n v="48"/>
    <n v="2"/>
    <n v="5"/>
    <s v="Not Promoted"/>
    <s v="Senior"/>
    <s v="Medium"/>
    <s v="Senior"/>
    <s v="D02"/>
    <s v="D02"/>
    <s v="Medium"/>
  </r>
  <r>
    <x v="83"/>
    <s v="Nakul Barad"/>
    <x v="1"/>
    <n v="49"/>
    <x v="2"/>
    <x v="17"/>
    <s v="B.Tech"/>
    <n v="25"/>
    <d v="2024-10-22T00:00:00"/>
    <n v="82939"/>
    <n v="5633"/>
    <n v="4"/>
    <x v="1"/>
    <s v="Chennai"/>
    <x v="0"/>
    <s v="No"/>
    <n v="38"/>
    <n v="9"/>
    <n v="5"/>
    <s v="Not Promoted"/>
    <s v="Senior"/>
    <s v="High"/>
    <s v="Senior"/>
    <s v="D03"/>
    <s v="D03"/>
    <s v="High"/>
  </r>
  <r>
    <x v="84"/>
    <s v="Yuvraj  Kamdar"/>
    <x v="1"/>
    <n v="47"/>
    <x v="3"/>
    <x v="4"/>
    <s v="MBA"/>
    <n v="22"/>
    <d v="2018-08-13T00:00:00"/>
    <n v="26007"/>
    <n v="12751"/>
    <n v="2"/>
    <x v="0"/>
    <s v="Delhi"/>
    <x v="0"/>
    <s v="No"/>
    <n v="52"/>
    <n v="13"/>
    <n v="5"/>
    <s v="Not Promoted"/>
    <s v="Senior"/>
    <s v="Low"/>
    <s v="Senior"/>
    <s v="D01"/>
    <s v="D01"/>
    <s v="Low"/>
  </r>
  <r>
    <x v="85"/>
    <s v="Aarav Andra"/>
    <x v="0"/>
    <n v="46"/>
    <x v="4"/>
    <x v="5"/>
    <s v="B.Tech"/>
    <n v="21"/>
    <d v="2020-07-31T00:00:00"/>
    <n v="90570"/>
    <n v="2614"/>
    <n v="5"/>
    <x v="1"/>
    <s v="Delhi"/>
    <x v="1"/>
    <s v="No"/>
    <n v="41"/>
    <n v="13"/>
    <n v="6"/>
    <s v="Not Promoted"/>
    <s v="Senior"/>
    <s v="Executive"/>
    <s v="Senior"/>
    <s v="D02"/>
    <s v="D02"/>
    <s v="Executive"/>
  </r>
  <r>
    <x v="86"/>
    <s v="Dharmajan Shanker"/>
    <x v="1"/>
    <n v="48"/>
    <x v="1"/>
    <x v="3"/>
    <s v="MBA"/>
    <n v="25"/>
    <d v="2019-04-17T00:00:00"/>
    <n v="78088"/>
    <n v="4887"/>
    <n v="1"/>
    <x v="1"/>
    <s v="Noida"/>
    <x v="0"/>
    <s v="Yes"/>
    <n v="20"/>
    <n v="13"/>
    <n v="6"/>
    <s v="Not Promoted"/>
    <s v="Senior"/>
    <s v="High"/>
    <s v="Senior"/>
    <s v="D05"/>
    <s v="D05"/>
    <s v="High"/>
  </r>
  <r>
    <x v="87"/>
    <s v="Sana Dugar"/>
    <x v="0"/>
    <n v="55"/>
    <x v="1"/>
    <x v="3"/>
    <s v="M.Tech"/>
    <n v="34"/>
    <d v="2022-06-10T00:00:00"/>
    <n v="139101"/>
    <n v="22749"/>
    <n v="3"/>
    <x v="0"/>
    <s v="Pune"/>
    <x v="0"/>
    <s v="Yes"/>
    <n v="54"/>
    <n v="11"/>
    <n v="6"/>
    <s v="Not Promoted"/>
    <s v="Senior"/>
    <s v="Executive"/>
    <s v="Senior"/>
    <s v="D05"/>
    <s v="D05"/>
    <s v="Executive"/>
  </r>
  <r>
    <x v="88"/>
    <s v="Pari Sathe"/>
    <x v="0"/>
    <n v="31"/>
    <x v="2"/>
    <x v="7"/>
    <s v="Post Graduate"/>
    <n v="9"/>
    <d v="2019-02-26T00:00:00"/>
    <n v="44194"/>
    <n v="22576"/>
    <n v="3"/>
    <x v="1"/>
    <s v="Hyderabad"/>
    <x v="0"/>
    <s v="No"/>
    <n v="48"/>
    <n v="18"/>
    <n v="4"/>
    <s v="Promoted"/>
    <s v="Mid-Age"/>
    <s v="Medium"/>
    <s v="Mid-Level"/>
    <s v="D03"/>
    <s v="D03"/>
    <s v="Medium"/>
  </r>
  <r>
    <x v="89"/>
    <s v="Inaaya  Ganguly"/>
    <x v="1"/>
    <n v="42"/>
    <x v="0"/>
    <x v="12"/>
    <s v="M.Tech"/>
    <n v="16"/>
    <d v="2021-07-18T00:00:00"/>
    <n v="44786"/>
    <n v="3840"/>
    <n v="4"/>
    <x v="1"/>
    <s v="Pune"/>
    <x v="0"/>
    <s v="Yes"/>
    <n v="24"/>
    <n v="14"/>
    <n v="2"/>
    <s v="Not Promoted"/>
    <s v="Senior"/>
    <s v="Medium"/>
    <s v="Senior"/>
    <s v="D06"/>
    <s v="D06"/>
    <s v="Medium"/>
  </r>
  <r>
    <x v="90"/>
    <s v="Faiyaz Bora"/>
    <x v="0"/>
    <n v="25"/>
    <x v="5"/>
    <x v="10"/>
    <s v="B.Tech"/>
    <n v="2"/>
    <d v="2021-03-21T00:00:00"/>
    <n v="35057"/>
    <n v="20732"/>
    <n v="1"/>
    <x v="2"/>
    <s v="Mumbai"/>
    <x v="0"/>
    <s v="No"/>
    <n v="43"/>
    <n v="15"/>
    <n v="10"/>
    <s v="Not Promoted"/>
    <s v="Young"/>
    <s v="Medium"/>
    <s v="Fresher"/>
    <s v="D04"/>
    <s v="D04"/>
    <s v="Medium"/>
  </r>
  <r>
    <x v="91"/>
    <s v="Mahika Luthra"/>
    <x v="0"/>
    <n v="25"/>
    <x v="1"/>
    <x v="13"/>
    <s v="B.Tech"/>
    <n v="1"/>
    <d v="2019-02-28T00:00:00"/>
    <n v="131295"/>
    <n v="16398"/>
    <n v="3"/>
    <x v="2"/>
    <s v="Pune"/>
    <x v="0"/>
    <s v="Yes"/>
    <n v="28"/>
    <n v="11"/>
    <n v="2"/>
    <s v="Promoted"/>
    <s v="Young"/>
    <s v="Executive"/>
    <s v="Fresher"/>
    <s v="D05"/>
    <s v="D05"/>
    <s v="Executive"/>
  </r>
  <r>
    <x v="92"/>
    <s v="Kiara Halder"/>
    <x v="1"/>
    <n v="48"/>
    <x v="2"/>
    <x v="17"/>
    <s v="MBA"/>
    <n v="25"/>
    <d v="2024-09-14T00:00:00"/>
    <n v="31863"/>
    <n v="10257"/>
    <n v="3"/>
    <x v="2"/>
    <s v="Noida"/>
    <x v="0"/>
    <s v="Yes"/>
    <n v="26"/>
    <n v="2"/>
    <n v="2"/>
    <s v="Not Promoted"/>
    <s v="Senior"/>
    <s v="Medium"/>
    <s v="Senior"/>
    <s v="D03"/>
    <s v="D03"/>
    <s v="Medium"/>
  </r>
  <r>
    <x v="93"/>
    <s v="Heer Dhillon"/>
    <x v="1"/>
    <n v="31"/>
    <x v="1"/>
    <x v="1"/>
    <s v="M.Tech"/>
    <n v="8"/>
    <d v="2021-06-24T00:00:00"/>
    <n v="110990"/>
    <n v="14343"/>
    <n v="4"/>
    <x v="2"/>
    <s v="Noida"/>
    <x v="0"/>
    <s v="No"/>
    <n v="57"/>
    <n v="4"/>
    <n v="3"/>
    <s v="Not Promoted"/>
    <s v="Mid-Age"/>
    <s v="Executive"/>
    <s v="Mid-Level"/>
    <s v="D05"/>
    <s v="D05"/>
    <s v="Executive"/>
  </r>
  <r>
    <x v="94"/>
    <s v="Damini Badami"/>
    <x v="0"/>
    <n v="55"/>
    <x v="0"/>
    <x v="12"/>
    <s v="MBA"/>
    <n v="34"/>
    <d v="2022-10-01T00:00:00"/>
    <n v="91648"/>
    <n v="17934"/>
    <n v="3"/>
    <x v="0"/>
    <s v="Mumbai"/>
    <x v="0"/>
    <s v="Yes"/>
    <n v="14"/>
    <n v="2"/>
    <n v="1"/>
    <s v="Promoted"/>
    <s v="Senior"/>
    <s v="Executive"/>
    <s v="Senior"/>
    <s v="D06"/>
    <s v="D06"/>
    <s v="Executive"/>
  </r>
  <r>
    <x v="95"/>
    <s v="Dharmajan Srivastava"/>
    <x v="0"/>
    <n v="54"/>
    <x v="2"/>
    <x v="2"/>
    <s v="Post Graduate"/>
    <n v="29"/>
    <d v="2023-11-27T00:00:00"/>
    <n v="29947"/>
    <n v="24703"/>
    <n v="3"/>
    <x v="2"/>
    <s v="Noida"/>
    <x v="1"/>
    <s v="Yes"/>
    <n v="51"/>
    <n v="14"/>
    <n v="10"/>
    <s v="Not Promoted"/>
    <s v="Senior"/>
    <s v="Low"/>
    <s v="Senior"/>
    <s v="D03"/>
    <s v="D03"/>
    <s v="Low"/>
  </r>
  <r>
    <x v="96"/>
    <s v="Sumer Soni"/>
    <x v="0"/>
    <n v="45"/>
    <x v="3"/>
    <x v="14"/>
    <s v="M.Tech"/>
    <n v="19"/>
    <d v="2020-08-30T00:00:00"/>
    <n v="83222"/>
    <n v="9837"/>
    <n v="5"/>
    <x v="1"/>
    <s v="Noida"/>
    <x v="0"/>
    <s v="No"/>
    <n v="58"/>
    <n v="6"/>
    <n v="5"/>
    <s v="Not Promoted"/>
    <s v="Senior"/>
    <s v="High"/>
    <s v="Senior"/>
    <s v="D01"/>
    <s v="D01"/>
    <s v="High"/>
  </r>
  <r>
    <x v="97"/>
    <s v="Lavanya Grover"/>
    <x v="0"/>
    <n v="50"/>
    <x v="2"/>
    <x v="7"/>
    <s v="M.Tech"/>
    <n v="26"/>
    <d v="2021-02-28T00:00:00"/>
    <n v="126990"/>
    <n v="6535"/>
    <n v="4"/>
    <x v="1"/>
    <s v="Delhi"/>
    <x v="0"/>
    <s v="No"/>
    <n v="60"/>
    <n v="11"/>
    <n v="9"/>
    <s v="Not Promoted"/>
    <s v="Senior"/>
    <s v="Executive"/>
    <s v="Senior"/>
    <s v="D03"/>
    <s v="D03"/>
    <s v="Executive"/>
  </r>
  <r>
    <x v="98"/>
    <s v="Gatik Sama"/>
    <x v="1"/>
    <n v="55"/>
    <x v="1"/>
    <x v="13"/>
    <s v="Graduate"/>
    <n v="34"/>
    <d v="2021-03-13T00:00:00"/>
    <n v="35993"/>
    <n v="9275"/>
    <n v="2"/>
    <x v="1"/>
    <s v="Bangalore"/>
    <x v="0"/>
    <s v="Yes"/>
    <n v="31"/>
    <n v="1"/>
    <n v="5"/>
    <s v="Not Promoted"/>
    <s v="Senior"/>
    <s v="Medium"/>
    <s v="Senior"/>
    <s v="D05"/>
    <s v="D05"/>
    <s v="Medium"/>
  </r>
  <r>
    <x v="99"/>
    <s v="Advik Sarin"/>
    <x v="1"/>
    <n v="45"/>
    <x v="5"/>
    <x v="9"/>
    <s v="Post Graduate"/>
    <n v="23"/>
    <d v="2022-05-01T00:00:00"/>
    <n v="35696"/>
    <n v="6508"/>
    <n v="3"/>
    <x v="0"/>
    <s v="Bangalore"/>
    <x v="1"/>
    <s v="No"/>
    <n v="49"/>
    <n v="4"/>
    <n v="4"/>
    <s v="Not Promoted"/>
    <s v="Senior"/>
    <s v="Medium"/>
    <s v="Senior"/>
    <s v="D04"/>
    <s v="D04"/>
    <s v="Medium"/>
  </r>
  <r>
    <x v="100"/>
    <s v="Rania Jain"/>
    <x v="1"/>
    <n v="50"/>
    <x v="0"/>
    <x v="11"/>
    <s v="Graduate"/>
    <n v="25"/>
    <d v="2018-01-22T00:00:00"/>
    <n v="143732"/>
    <n v="11440"/>
    <n v="1"/>
    <x v="0"/>
    <s v="Bangalore"/>
    <x v="0"/>
    <s v="Yes"/>
    <n v="8"/>
    <n v="7"/>
    <n v="1"/>
    <s v="Not Promoted"/>
    <s v="Senior"/>
    <s v="Executive"/>
    <s v="Senior"/>
    <s v="D06"/>
    <s v="D06"/>
    <s v="Executive"/>
  </r>
  <r>
    <x v="101"/>
    <s v="Saira Dhillon"/>
    <x v="0"/>
    <n v="51"/>
    <x v="5"/>
    <x v="9"/>
    <s v="Post Graduate"/>
    <n v="30"/>
    <d v="2019-03-31T00:00:00"/>
    <n v="134666"/>
    <n v="11544"/>
    <n v="4"/>
    <x v="1"/>
    <s v="Delhi"/>
    <x v="0"/>
    <s v="No"/>
    <n v="20"/>
    <n v="18"/>
    <n v="10"/>
    <s v="Not Promoted"/>
    <s v="Senior"/>
    <s v="Executive"/>
    <s v="Senior"/>
    <s v="D04"/>
    <s v="D04"/>
    <s v="Executive"/>
  </r>
  <r>
    <x v="102"/>
    <s v="Kaira Vohra"/>
    <x v="0"/>
    <n v="27"/>
    <x v="5"/>
    <x v="10"/>
    <s v="B.Tech"/>
    <n v="2"/>
    <d v="2022-01-17T00:00:00"/>
    <n v="33870"/>
    <n v="17405"/>
    <n v="5"/>
    <x v="0"/>
    <s v="Chennai"/>
    <x v="0"/>
    <s v="No"/>
    <n v="28"/>
    <n v="8"/>
    <n v="9"/>
    <s v="Not Promoted"/>
    <s v="Young"/>
    <s v="Medium"/>
    <s v="Fresher"/>
    <s v="D04"/>
    <s v="D04"/>
    <s v="Medium"/>
  </r>
  <r>
    <x v="103"/>
    <s v="Neysa Dua"/>
    <x v="0"/>
    <n v="44"/>
    <x v="0"/>
    <x v="0"/>
    <s v="MBA"/>
    <n v="23"/>
    <d v="2021-11-13T00:00:00"/>
    <n v="56604"/>
    <n v="19891"/>
    <n v="1"/>
    <x v="1"/>
    <s v="Noida"/>
    <x v="0"/>
    <s v="Yes"/>
    <n v="58"/>
    <n v="14"/>
    <n v="10"/>
    <s v="Not Promoted"/>
    <s v="Senior"/>
    <s v="Medium"/>
    <s v="Senior"/>
    <s v="D06"/>
    <s v="D06"/>
    <s v="Medium"/>
  </r>
  <r>
    <x v="104"/>
    <s v="Biju Grewal"/>
    <x v="0"/>
    <n v="33"/>
    <x v="0"/>
    <x v="11"/>
    <s v="Graduate"/>
    <n v="11"/>
    <d v="2018-09-16T00:00:00"/>
    <n v="118853"/>
    <n v="12341"/>
    <n v="4"/>
    <x v="1"/>
    <s v="Pune"/>
    <x v="0"/>
    <s v="No"/>
    <n v="57"/>
    <n v="17"/>
    <n v="1"/>
    <s v="Promoted"/>
    <s v="Mid-Age"/>
    <s v="Executive"/>
    <s v="Senior"/>
    <s v="D06"/>
    <s v="D06"/>
    <s v="Executive"/>
  </r>
  <r>
    <x v="105"/>
    <s v="Fateh Baral"/>
    <x v="0"/>
    <n v="24"/>
    <x v="5"/>
    <x v="15"/>
    <s v="MBA"/>
    <n v="0"/>
    <d v="2020-02-22T00:00:00"/>
    <n v="62501"/>
    <n v="16318"/>
    <n v="3"/>
    <x v="1"/>
    <s v="Chennai"/>
    <x v="0"/>
    <s v="No"/>
    <n v="29"/>
    <n v="10"/>
    <n v="1"/>
    <s v="Not Promoted"/>
    <s v="Young"/>
    <s v="High"/>
    <s v="Fresher"/>
    <s v="D04"/>
    <s v="D04"/>
    <s v="High"/>
  </r>
  <r>
    <x v="106"/>
    <s v="Anahita Sridhar"/>
    <x v="0"/>
    <n v="53"/>
    <x v="4"/>
    <x v="16"/>
    <s v="M.Tech"/>
    <n v="30"/>
    <d v="2023-10-28T00:00:00"/>
    <n v="59959"/>
    <n v="11626"/>
    <n v="1"/>
    <x v="1"/>
    <s v="Delhi"/>
    <x v="1"/>
    <s v="Yes"/>
    <n v="25"/>
    <n v="9"/>
    <n v="7"/>
    <s v="Not Promoted"/>
    <s v="Senior"/>
    <s v="Medium"/>
    <s v="Senior"/>
    <s v="D02"/>
    <s v="D02"/>
    <s v="Medium"/>
  </r>
  <r>
    <x v="107"/>
    <s v="Chirag Choudhury"/>
    <x v="1"/>
    <n v="49"/>
    <x v="2"/>
    <x v="17"/>
    <s v="MBA"/>
    <n v="27"/>
    <d v="2022-12-24T00:00:00"/>
    <n v="71077"/>
    <n v="22954"/>
    <n v="4"/>
    <x v="0"/>
    <s v="Delhi"/>
    <x v="0"/>
    <s v="No"/>
    <n v="28"/>
    <n v="16"/>
    <n v="1"/>
    <s v="Not Promoted"/>
    <s v="Senior"/>
    <s v="High"/>
    <s v="Senior"/>
    <s v="D03"/>
    <s v="D03"/>
    <s v="High"/>
  </r>
  <r>
    <x v="108"/>
    <s v="Prerak Lad"/>
    <x v="1"/>
    <n v="32"/>
    <x v="0"/>
    <x v="12"/>
    <s v="MBA"/>
    <n v="11"/>
    <d v="2019-08-08T00:00:00"/>
    <n v="136236"/>
    <n v="14545"/>
    <n v="5"/>
    <x v="2"/>
    <s v="Delhi"/>
    <x v="1"/>
    <s v="Yes"/>
    <n v="48"/>
    <n v="14"/>
    <n v="8"/>
    <s v="Promoted"/>
    <s v="Mid-Age"/>
    <s v="Executive"/>
    <s v="Senior"/>
    <s v="D06"/>
    <s v="D06"/>
    <s v="Executive"/>
  </r>
  <r>
    <x v="109"/>
    <s v="Jivika Khanna"/>
    <x v="0"/>
    <n v="50"/>
    <x v="2"/>
    <x v="17"/>
    <s v="Graduate"/>
    <n v="29"/>
    <d v="2024-06-08T00:00:00"/>
    <n v="43047"/>
    <n v="2849"/>
    <n v="5"/>
    <x v="2"/>
    <s v="Mumbai"/>
    <x v="0"/>
    <s v="No"/>
    <n v="38"/>
    <n v="12"/>
    <n v="6"/>
    <s v="Not Promoted"/>
    <s v="Senior"/>
    <s v="Medium"/>
    <s v="Senior"/>
    <s v="D03"/>
    <s v="D03"/>
    <s v="Medium"/>
  </r>
  <r>
    <x v="110"/>
    <s v="Romil Jain"/>
    <x v="0"/>
    <n v="38"/>
    <x v="1"/>
    <x v="13"/>
    <s v="Graduate"/>
    <n v="15"/>
    <d v="2023-01-02T00:00:00"/>
    <n v="53124"/>
    <n v="6447"/>
    <n v="5"/>
    <x v="0"/>
    <s v="Hyderabad"/>
    <x v="0"/>
    <s v="Yes"/>
    <n v="50"/>
    <n v="14"/>
    <n v="5"/>
    <s v="Not Promoted"/>
    <s v="Mid-Age"/>
    <s v="Medium"/>
    <s v="Senior"/>
    <s v="D05"/>
    <s v="D05"/>
    <s v="Medium"/>
  </r>
  <r>
    <x v="111"/>
    <s v="Shanaya Master"/>
    <x v="0"/>
    <n v="42"/>
    <x v="3"/>
    <x v="8"/>
    <s v="Post Graduate"/>
    <n v="16"/>
    <d v="2021-11-24T00:00:00"/>
    <n v="118000"/>
    <n v="13845"/>
    <n v="1"/>
    <x v="2"/>
    <s v="Mumbai"/>
    <x v="0"/>
    <s v="Yes"/>
    <n v="17"/>
    <n v="4"/>
    <n v="9"/>
    <s v="Not Promoted"/>
    <s v="Senior"/>
    <s v="Executive"/>
    <s v="Senior"/>
    <s v="D01"/>
    <s v="D01"/>
    <s v="Executive"/>
  </r>
  <r>
    <x v="112"/>
    <s v="Aayush Ramaswamy"/>
    <x v="0"/>
    <n v="23"/>
    <x v="4"/>
    <x v="16"/>
    <s v="Graduate"/>
    <n v="0"/>
    <d v="2024-03-19T00:00:00"/>
    <n v="100009"/>
    <n v="12134"/>
    <n v="3"/>
    <x v="1"/>
    <s v="Chennai"/>
    <x v="0"/>
    <s v="No"/>
    <n v="38"/>
    <n v="13"/>
    <n v="8"/>
    <s v="Not Promoted"/>
    <s v="Young"/>
    <s v="Executive"/>
    <s v="Fresher"/>
    <s v="D02"/>
    <s v="D02"/>
    <s v="Executive"/>
  </r>
  <r>
    <x v="113"/>
    <s v="Gatik Sani"/>
    <x v="0"/>
    <n v="26"/>
    <x v="5"/>
    <x v="9"/>
    <s v="M.Tech"/>
    <n v="4"/>
    <d v="2021-07-22T00:00:00"/>
    <n v="109192"/>
    <n v="22964"/>
    <n v="1"/>
    <x v="2"/>
    <s v="Mumbai"/>
    <x v="0"/>
    <s v="Yes"/>
    <n v="32"/>
    <n v="16"/>
    <n v="8"/>
    <s v="Not Promoted"/>
    <s v="Young"/>
    <s v="Executive"/>
    <s v="Junior"/>
    <s v="D04"/>
    <s v="D04"/>
    <s v="Executive"/>
  </r>
  <r>
    <x v="114"/>
    <s v="Ahana  Kara"/>
    <x v="1"/>
    <n v="55"/>
    <x v="3"/>
    <x v="4"/>
    <s v="Graduate"/>
    <n v="33"/>
    <d v="2021-05-30T00:00:00"/>
    <n v="46581"/>
    <n v="10211"/>
    <n v="2"/>
    <x v="0"/>
    <s v="Chennai"/>
    <x v="0"/>
    <s v="No"/>
    <n v="13"/>
    <n v="20"/>
    <n v="6"/>
    <s v="Not Promoted"/>
    <s v="Senior"/>
    <s v="Medium"/>
    <s v="Senior"/>
    <s v="D01"/>
    <s v="D01"/>
    <s v="Medium"/>
  </r>
  <r>
    <x v="115"/>
    <s v="Priyansh Dayal"/>
    <x v="1"/>
    <n v="27"/>
    <x v="2"/>
    <x v="7"/>
    <s v="M.Tech"/>
    <n v="2"/>
    <d v="2019-11-22T00:00:00"/>
    <n v="102569"/>
    <n v="3349"/>
    <n v="5"/>
    <x v="0"/>
    <s v="Delhi"/>
    <x v="0"/>
    <s v="Yes"/>
    <n v="46"/>
    <n v="18"/>
    <n v="3"/>
    <s v="Not Promoted"/>
    <s v="Young"/>
    <s v="Executive"/>
    <s v="Fresher"/>
    <s v="D03"/>
    <s v="D03"/>
    <s v="Executive"/>
  </r>
  <r>
    <x v="116"/>
    <s v="Neysa Mallick"/>
    <x v="1"/>
    <n v="35"/>
    <x v="2"/>
    <x v="7"/>
    <s v="B.Tech"/>
    <n v="10"/>
    <d v="2022-09-03T00:00:00"/>
    <n v="106016"/>
    <n v="10024"/>
    <n v="1"/>
    <x v="2"/>
    <s v="Hyderabad"/>
    <x v="0"/>
    <s v="No"/>
    <n v="34"/>
    <n v="2"/>
    <n v="8"/>
    <s v="Not Promoted"/>
    <s v="Mid-Age"/>
    <s v="Executive"/>
    <s v="Mid-Level"/>
    <s v="D03"/>
    <s v="D03"/>
    <s v="Executive"/>
  </r>
  <r>
    <x v="117"/>
    <s v="Elakshi Viswanathan"/>
    <x v="1"/>
    <n v="32"/>
    <x v="0"/>
    <x v="0"/>
    <s v="MBA"/>
    <n v="8"/>
    <d v="2022-08-30T00:00:00"/>
    <n v="88471"/>
    <n v="15065"/>
    <n v="4"/>
    <x v="0"/>
    <s v="Noida"/>
    <x v="0"/>
    <s v="No"/>
    <n v="37"/>
    <n v="17"/>
    <n v="4"/>
    <s v="Promoted"/>
    <s v="Mid-Age"/>
    <s v="High"/>
    <s v="Mid-Level"/>
    <s v="D06"/>
    <s v="D06"/>
    <s v="High"/>
  </r>
  <r>
    <x v="118"/>
    <s v="Anya Banik"/>
    <x v="1"/>
    <n v="37"/>
    <x v="3"/>
    <x v="14"/>
    <s v="M.Tech"/>
    <n v="13"/>
    <d v="2019-05-17T00:00:00"/>
    <n v="60058"/>
    <n v="15701"/>
    <n v="4"/>
    <x v="0"/>
    <s v="Noida"/>
    <x v="1"/>
    <s v="Yes"/>
    <n v="57"/>
    <n v="10"/>
    <n v="4"/>
    <s v="Promoted"/>
    <s v="Mid-Age"/>
    <s v="High"/>
    <s v="Senior"/>
    <s v="D01"/>
    <s v="D01"/>
    <s v="High"/>
  </r>
  <r>
    <x v="119"/>
    <s v="Aaryahi Bala"/>
    <x v="0"/>
    <n v="42"/>
    <x v="1"/>
    <x v="1"/>
    <s v="Graduate"/>
    <n v="20"/>
    <d v="2019-10-15T00:00:00"/>
    <n v="90308"/>
    <n v="14885"/>
    <n v="5"/>
    <x v="2"/>
    <s v="Hyderabad"/>
    <x v="0"/>
    <s v="Yes"/>
    <n v="18"/>
    <n v="18"/>
    <n v="8"/>
    <s v="Not Promoted"/>
    <s v="Senior"/>
    <s v="Executive"/>
    <s v="Senior"/>
    <s v="D05"/>
    <s v="D05"/>
    <s v="Executive"/>
  </r>
  <r>
    <x v="120"/>
    <s v="Eva Bajwa"/>
    <x v="1"/>
    <n v="25"/>
    <x v="2"/>
    <x v="2"/>
    <s v="Post Graduate"/>
    <n v="2"/>
    <d v="2023-07-21T00:00:00"/>
    <n v="103317"/>
    <n v="10666"/>
    <n v="4"/>
    <x v="2"/>
    <s v="Bangalore"/>
    <x v="0"/>
    <s v="No"/>
    <n v="28"/>
    <n v="1"/>
    <n v="5"/>
    <s v="Not Promoted"/>
    <s v="Young"/>
    <s v="Executive"/>
    <s v="Fresher"/>
    <s v="D03"/>
    <s v="D03"/>
    <s v="Executive"/>
  </r>
  <r>
    <x v="121"/>
    <s v="Nitya Kalita"/>
    <x v="1"/>
    <n v="34"/>
    <x v="5"/>
    <x v="10"/>
    <s v="M.Tech"/>
    <n v="11"/>
    <d v="2024-03-16T00:00:00"/>
    <n v="62827"/>
    <n v="24295"/>
    <n v="1"/>
    <x v="2"/>
    <s v="Delhi"/>
    <x v="0"/>
    <s v="Yes"/>
    <n v="11"/>
    <n v="12"/>
    <n v="7"/>
    <s v="Not Promoted"/>
    <s v="Mid-Age"/>
    <s v="High"/>
    <s v="Senior"/>
    <s v="D04"/>
    <s v="D04"/>
    <s v="High"/>
  </r>
  <r>
    <x v="122"/>
    <s v="Mahika Khalsa"/>
    <x v="0"/>
    <n v="45"/>
    <x v="2"/>
    <x v="17"/>
    <s v="MBA"/>
    <n v="23"/>
    <d v="2020-03-26T00:00:00"/>
    <n v="103966"/>
    <n v="17523"/>
    <n v="5"/>
    <x v="2"/>
    <s v="Hyderabad"/>
    <x v="0"/>
    <s v="Yes"/>
    <n v="43"/>
    <n v="16"/>
    <n v="7"/>
    <s v="Promoted"/>
    <s v="Senior"/>
    <s v="Executive"/>
    <s v="Senior"/>
    <s v="D03"/>
    <s v="D03"/>
    <s v="Executive"/>
  </r>
  <r>
    <x v="123"/>
    <s v="Pihu Dash"/>
    <x v="1"/>
    <n v="42"/>
    <x v="4"/>
    <x v="16"/>
    <s v="M.Tech"/>
    <n v="20"/>
    <d v="2022-05-29T00:00:00"/>
    <n v="105805"/>
    <n v="11823"/>
    <n v="3"/>
    <x v="1"/>
    <s v="Noida"/>
    <x v="0"/>
    <s v="Yes"/>
    <n v="28"/>
    <n v="10"/>
    <n v="10"/>
    <s v="Not Promoted"/>
    <s v="Senior"/>
    <s v="Executive"/>
    <s v="Senior"/>
    <s v="D02"/>
    <s v="D02"/>
    <s v="Executive"/>
  </r>
  <r>
    <x v="124"/>
    <s v="Miraan Chokshi"/>
    <x v="0"/>
    <n v="48"/>
    <x v="0"/>
    <x v="0"/>
    <s v="Graduate"/>
    <n v="23"/>
    <d v="2021-06-14T00:00:00"/>
    <n v="129432"/>
    <n v="21120"/>
    <n v="1"/>
    <x v="1"/>
    <s v="Mumbai"/>
    <x v="0"/>
    <s v="No"/>
    <n v="14"/>
    <n v="7"/>
    <n v="10"/>
    <s v="Not Promoted"/>
    <s v="Senior"/>
    <s v="Executive"/>
    <s v="Senior"/>
    <s v="D06"/>
    <s v="D06"/>
    <s v="Executive"/>
  </r>
  <r>
    <x v="125"/>
    <s v="Myra Seshadri"/>
    <x v="1"/>
    <n v="29"/>
    <x v="3"/>
    <x v="8"/>
    <s v="M.Tech"/>
    <n v="7"/>
    <d v="2018-03-19T00:00:00"/>
    <n v="82807"/>
    <n v="22036"/>
    <n v="3"/>
    <x v="1"/>
    <s v="Noida"/>
    <x v="0"/>
    <s v="Yes"/>
    <n v="50"/>
    <n v="4"/>
    <n v="7"/>
    <s v="Not Promoted"/>
    <s v="Young"/>
    <s v="High"/>
    <s v="Mid-Level"/>
    <s v="D01"/>
    <s v="D01"/>
    <s v="High"/>
  </r>
  <r>
    <x v="126"/>
    <s v="Taimur Hayer"/>
    <x v="1"/>
    <n v="42"/>
    <x v="1"/>
    <x v="13"/>
    <s v="M.Tech"/>
    <n v="16"/>
    <d v="2023-05-14T00:00:00"/>
    <n v="93875"/>
    <n v="13609"/>
    <n v="4"/>
    <x v="2"/>
    <s v="Noida"/>
    <x v="0"/>
    <s v="No"/>
    <n v="44"/>
    <n v="15"/>
    <n v="6"/>
    <s v="Not Promoted"/>
    <s v="Senior"/>
    <s v="Executive"/>
    <s v="Senior"/>
    <s v="D05"/>
    <s v="D05"/>
    <s v="Executive"/>
  </r>
  <r>
    <x v="127"/>
    <s v="Darshit Sengupta"/>
    <x v="1"/>
    <n v="39"/>
    <x v="4"/>
    <x v="5"/>
    <s v="MBA"/>
    <n v="14"/>
    <d v="2021-05-07T00:00:00"/>
    <n v="54473"/>
    <n v="17722"/>
    <n v="3"/>
    <x v="1"/>
    <s v="Pune"/>
    <x v="0"/>
    <s v="No"/>
    <n v="23"/>
    <n v="3"/>
    <n v="5"/>
    <s v="Not Promoted"/>
    <s v="Mid-Age"/>
    <s v="Medium"/>
    <s v="Senior"/>
    <s v="D02"/>
    <s v="D02"/>
    <s v="Medium"/>
  </r>
  <r>
    <x v="128"/>
    <s v="Neelofar Lanka"/>
    <x v="0"/>
    <n v="46"/>
    <x v="1"/>
    <x v="1"/>
    <s v="MBA"/>
    <n v="22"/>
    <d v="2021-11-14T00:00:00"/>
    <n v="126327"/>
    <n v="16495"/>
    <n v="2"/>
    <x v="2"/>
    <s v="Bangalore"/>
    <x v="1"/>
    <s v="No"/>
    <n v="18"/>
    <n v="6"/>
    <n v="5"/>
    <s v="Not Promoted"/>
    <s v="Senior"/>
    <s v="Executive"/>
    <s v="Senior"/>
    <s v="D05"/>
    <s v="D05"/>
    <s v="Executive"/>
  </r>
  <r>
    <x v="129"/>
    <s v="Rasha Karnik"/>
    <x v="0"/>
    <n v="39"/>
    <x v="1"/>
    <x v="3"/>
    <s v="Post Graduate"/>
    <n v="17"/>
    <d v="2019-03-24T00:00:00"/>
    <n v="105698"/>
    <n v="3720"/>
    <n v="5"/>
    <x v="0"/>
    <s v="Hyderabad"/>
    <x v="0"/>
    <s v="No"/>
    <n v="50"/>
    <n v="15"/>
    <n v="4"/>
    <s v="Not Promoted"/>
    <s v="Mid-Age"/>
    <s v="Executive"/>
    <s v="Senior"/>
    <s v="D05"/>
    <s v="D05"/>
    <s v="Executive"/>
  </r>
  <r>
    <x v="130"/>
    <s v="Ryan Wason"/>
    <x v="1"/>
    <n v="30"/>
    <x v="3"/>
    <x v="8"/>
    <s v="B.Tech"/>
    <n v="9"/>
    <d v="2024-03-04T00:00:00"/>
    <n v="146778"/>
    <n v="23316"/>
    <n v="2"/>
    <x v="0"/>
    <s v="Noida"/>
    <x v="0"/>
    <s v="No"/>
    <n v="25"/>
    <n v="9"/>
    <n v="7"/>
    <s v="Not Promoted"/>
    <s v="Young"/>
    <s v="Executive"/>
    <s v="Mid-Level"/>
    <s v="D01"/>
    <s v="D01"/>
    <s v="Executive"/>
  </r>
  <r>
    <x v="131"/>
    <s v="Akarsh Ganesh"/>
    <x v="0"/>
    <n v="27"/>
    <x v="0"/>
    <x v="0"/>
    <s v="Graduate"/>
    <n v="1"/>
    <d v="2024-06-09T00:00:00"/>
    <n v="55437"/>
    <n v="15008"/>
    <n v="5"/>
    <x v="1"/>
    <s v="Mumbai"/>
    <x v="0"/>
    <s v="No"/>
    <n v="7"/>
    <n v="0"/>
    <n v="1"/>
    <s v="Promoted"/>
    <s v="Young"/>
    <s v="Medium"/>
    <s v="Fresher"/>
    <s v="D06"/>
    <s v="D06"/>
    <s v="Medium"/>
  </r>
  <r>
    <x v="132"/>
    <s v="Aaryahi Handa"/>
    <x v="1"/>
    <n v="28"/>
    <x v="2"/>
    <x v="7"/>
    <s v="MBA"/>
    <n v="5"/>
    <d v="2021-03-11T00:00:00"/>
    <n v="84552"/>
    <n v="8318"/>
    <n v="5"/>
    <x v="0"/>
    <s v="Bangalore"/>
    <x v="0"/>
    <s v="Yes"/>
    <n v="51"/>
    <n v="14"/>
    <n v="9"/>
    <s v="Not Promoted"/>
    <s v="Young"/>
    <s v="High"/>
    <s v="Junior"/>
    <s v="D03"/>
    <s v="D03"/>
    <s v="High"/>
  </r>
  <r>
    <x v="133"/>
    <s v="Hunar Konda"/>
    <x v="1"/>
    <n v="33"/>
    <x v="0"/>
    <x v="11"/>
    <s v="B.Tech"/>
    <n v="12"/>
    <d v="2021-10-12T00:00:00"/>
    <n v="128647"/>
    <n v="18884"/>
    <n v="3"/>
    <x v="1"/>
    <s v="Delhi"/>
    <x v="0"/>
    <s v="No"/>
    <n v="47"/>
    <n v="3"/>
    <n v="10"/>
    <s v="Promoted"/>
    <s v="Mid-Age"/>
    <s v="Executive"/>
    <s v="Senior"/>
    <s v="D06"/>
    <s v="D06"/>
    <s v="Executive"/>
  </r>
  <r>
    <x v="134"/>
    <s v="Alia Vora"/>
    <x v="1"/>
    <n v="52"/>
    <x v="4"/>
    <x v="5"/>
    <s v="MBA"/>
    <n v="29"/>
    <d v="2020-10-13T00:00:00"/>
    <n v="25895"/>
    <n v="21086"/>
    <n v="3"/>
    <x v="2"/>
    <s v="Pune"/>
    <x v="0"/>
    <s v="Yes"/>
    <n v="21"/>
    <n v="20"/>
    <n v="7"/>
    <s v="Not Promoted"/>
    <s v="Senior"/>
    <s v="Low"/>
    <s v="Senior"/>
    <s v="D02"/>
    <s v="D02"/>
    <s v="Low"/>
  </r>
  <r>
    <x v="135"/>
    <s v="Dhanush Seth"/>
    <x v="1"/>
    <n v="37"/>
    <x v="2"/>
    <x v="7"/>
    <s v="Graduate"/>
    <n v="16"/>
    <d v="2019-04-30T00:00:00"/>
    <n v="86000"/>
    <n v="22929"/>
    <n v="3"/>
    <x v="1"/>
    <s v="Bangalore"/>
    <x v="0"/>
    <s v="Yes"/>
    <n v="19"/>
    <n v="4"/>
    <n v="3"/>
    <s v="Not Promoted"/>
    <s v="Mid-Age"/>
    <s v="High"/>
    <s v="Senior"/>
    <s v="D03"/>
    <s v="D03"/>
    <s v="High"/>
  </r>
  <r>
    <x v="136"/>
    <s v="Charvi Subramanian"/>
    <x v="0"/>
    <n v="51"/>
    <x v="5"/>
    <x v="10"/>
    <s v="Post Graduate"/>
    <n v="25"/>
    <d v="2024-10-17T00:00:00"/>
    <n v="73971"/>
    <n v="24293"/>
    <n v="4"/>
    <x v="2"/>
    <s v="Noida"/>
    <x v="0"/>
    <s v="Yes"/>
    <n v="38"/>
    <n v="14"/>
    <n v="9"/>
    <s v="Not Promoted"/>
    <s v="Senior"/>
    <s v="High"/>
    <s v="Senior"/>
    <s v="D04"/>
    <s v="D04"/>
    <s v="High"/>
  </r>
  <r>
    <x v="137"/>
    <s v="Jivin Chahal"/>
    <x v="0"/>
    <n v="45"/>
    <x v="1"/>
    <x v="1"/>
    <s v="Post Graduate"/>
    <n v="24"/>
    <d v="2024-04-29T00:00:00"/>
    <n v="39707"/>
    <n v="12751"/>
    <n v="1"/>
    <x v="2"/>
    <s v="Hyderabad"/>
    <x v="0"/>
    <s v="Yes"/>
    <n v="48"/>
    <n v="6"/>
    <n v="9"/>
    <s v="Not Promoted"/>
    <s v="Senior"/>
    <s v="Medium"/>
    <s v="Senior"/>
    <s v="D05"/>
    <s v="D05"/>
    <s v="Medium"/>
  </r>
  <r>
    <x v="138"/>
    <s v="Ayesha Bandi"/>
    <x v="0"/>
    <n v="53"/>
    <x v="0"/>
    <x v="12"/>
    <s v="M.Tech"/>
    <n v="32"/>
    <d v="2023-09-22T00:00:00"/>
    <n v="83390"/>
    <n v="17151"/>
    <n v="1"/>
    <x v="2"/>
    <s v="Noida"/>
    <x v="1"/>
    <s v="No"/>
    <n v="51"/>
    <n v="0"/>
    <n v="8"/>
    <s v="Not Promoted"/>
    <s v="Senior"/>
    <s v="High"/>
    <s v="Senior"/>
    <s v="D06"/>
    <s v="D06"/>
    <s v="High"/>
  </r>
  <r>
    <x v="139"/>
    <s v="Anay Iyengar"/>
    <x v="0"/>
    <n v="22"/>
    <x v="5"/>
    <x v="15"/>
    <s v="Graduate"/>
    <n v="0"/>
    <d v="2020-06-11T00:00:00"/>
    <n v="100800"/>
    <n v="17468"/>
    <n v="1"/>
    <x v="0"/>
    <s v="Bangalore"/>
    <x v="0"/>
    <s v="No"/>
    <n v="16"/>
    <n v="4"/>
    <n v="1"/>
    <s v="Not Promoted"/>
    <s v="Young"/>
    <s v="Executive"/>
    <s v="Fresher"/>
    <s v="D04"/>
    <s v="D04"/>
    <s v="Executive"/>
  </r>
  <r>
    <x v="140"/>
    <s v="Riya Arya"/>
    <x v="0"/>
    <n v="48"/>
    <x v="0"/>
    <x v="12"/>
    <s v="MBA"/>
    <n v="25"/>
    <d v="2022-04-16T00:00:00"/>
    <n v="83790"/>
    <n v="5887"/>
    <n v="4"/>
    <x v="0"/>
    <s v="Pune"/>
    <x v="1"/>
    <s v="No"/>
    <n v="38"/>
    <n v="4"/>
    <n v="7"/>
    <s v="Not Promoted"/>
    <s v="Senior"/>
    <s v="High"/>
    <s v="Senior"/>
    <s v="D06"/>
    <s v="D06"/>
    <s v="High"/>
  </r>
  <r>
    <x v="141"/>
    <s v="Nayantara Gade"/>
    <x v="0"/>
    <n v="22"/>
    <x v="0"/>
    <x v="0"/>
    <s v="B.Tech"/>
    <n v="1"/>
    <d v="2021-05-07T00:00:00"/>
    <n v="85686"/>
    <n v="13342"/>
    <n v="5"/>
    <x v="0"/>
    <s v="Bangalore"/>
    <x v="0"/>
    <s v="Yes"/>
    <n v="51"/>
    <n v="3"/>
    <n v="7"/>
    <s v="Not Promoted"/>
    <s v="Young"/>
    <s v="High"/>
    <s v="Fresher"/>
    <s v="D06"/>
    <s v="D06"/>
    <s v="High"/>
  </r>
  <r>
    <x v="142"/>
    <s v="Pari Sharma"/>
    <x v="0"/>
    <n v="48"/>
    <x v="3"/>
    <x v="8"/>
    <s v="Post Graduate"/>
    <n v="23"/>
    <d v="2018-03-06T00:00:00"/>
    <n v="56544"/>
    <n v="3449"/>
    <n v="2"/>
    <x v="1"/>
    <s v="Hyderabad"/>
    <x v="1"/>
    <s v="Yes"/>
    <n v="39"/>
    <n v="6"/>
    <n v="2"/>
    <s v="Promoted"/>
    <s v="Senior"/>
    <s v="Medium"/>
    <s v="Senior"/>
    <s v="D01"/>
    <s v="D01"/>
    <s v="Medium"/>
  </r>
  <r>
    <x v="143"/>
    <s v="Lakshay Issac"/>
    <x v="1"/>
    <n v="54"/>
    <x v="3"/>
    <x v="4"/>
    <s v="Post Graduate"/>
    <n v="31"/>
    <d v="2020-08-17T00:00:00"/>
    <n v="131926"/>
    <n v="11888"/>
    <n v="5"/>
    <x v="0"/>
    <s v="Chennai"/>
    <x v="0"/>
    <s v="Yes"/>
    <n v="31"/>
    <n v="9"/>
    <n v="6"/>
    <s v="Not Promoted"/>
    <s v="Senior"/>
    <s v="Executive"/>
    <s v="Senior"/>
    <s v="D01"/>
    <s v="D01"/>
    <s v="Executive"/>
  </r>
  <r>
    <x v="144"/>
    <s v="Priyansh Sampath"/>
    <x v="1"/>
    <n v="33"/>
    <x v="2"/>
    <x v="2"/>
    <s v="M.Tech"/>
    <n v="7"/>
    <d v="2022-10-16T00:00:00"/>
    <n v="97856"/>
    <n v="12444"/>
    <n v="4"/>
    <x v="2"/>
    <s v="Hyderabad"/>
    <x v="0"/>
    <s v="No"/>
    <n v="14"/>
    <n v="9"/>
    <n v="1"/>
    <s v="Not Promoted"/>
    <s v="Mid-Age"/>
    <s v="Executive"/>
    <s v="Mid-Level"/>
    <s v="D03"/>
    <s v="D03"/>
    <s v="Executive"/>
  </r>
  <r>
    <x v="145"/>
    <s v="Diya Manne"/>
    <x v="1"/>
    <n v="52"/>
    <x v="5"/>
    <x v="10"/>
    <s v="M.Tech"/>
    <n v="30"/>
    <d v="2020-07-12T00:00:00"/>
    <n v="64418"/>
    <n v="19366"/>
    <n v="2"/>
    <x v="0"/>
    <s v="Hyderabad"/>
    <x v="0"/>
    <s v="Yes"/>
    <n v="21"/>
    <n v="6"/>
    <n v="8"/>
    <s v="Not Promoted"/>
    <s v="Senior"/>
    <s v="High"/>
    <s v="Senior"/>
    <s v="D04"/>
    <s v="D04"/>
    <s v="High"/>
  </r>
  <r>
    <x v="146"/>
    <s v="Kavya Gera"/>
    <x v="0"/>
    <n v="27"/>
    <x v="2"/>
    <x v="7"/>
    <s v="Graduate"/>
    <n v="3"/>
    <d v="2022-02-28T00:00:00"/>
    <n v="37119"/>
    <n v="8165"/>
    <n v="5"/>
    <x v="2"/>
    <s v="Chennai"/>
    <x v="1"/>
    <s v="Yes"/>
    <n v="35"/>
    <n v="6"/>
    <n v="4"/>
    <s v="Not Promoted"/>
    <s v="Young"/>
    <s v="Medium"/>
    <s v="Junior"/>
    <s v="D03"/>
    <s v="D03"/>
    <s v="Medium"/>
  </r>
  <r>
    <x v="147"/>
    <s v="Shanaya Rout"/>
    <x v="0"/>
    <n v="22"/>
    <x v="2"/>
    <x v="17"/>
    <s v="B.Tech"/>
    <n v="0"/>
    <d v="2020-02-18T00:00:00"/>
    <n v="122186"/>
    <n v="9842"/>
    <n v="1"/>
    <x v="2"/>
    <s v="Bangalore"/>
    <x v="0"/>
    <s v="No"/>
    <n v="29"/>
    <n v="14"/>
    <n v="8"/>
    <s v="Not Promoted"/>
    <s v="Young"/>
    <s v="Executive"/>
    <s v="Fresher"/>
    <s v="D03"/>
    <s v="D03"/>
    <s v="Executive"/>
  </r>
  <r>
    <x v="148"/>
    <s v="Vidur Kuruvilla"/>
    <x v="1"/>
    <n v="44"/>
    <x v="1"/>
    <x v="1"/>
    <s v="MBA"/>
    <n v="21"/>
    <d v="2020-12-07T00:00:00"/>
    <n v="72139"/>
    <n v="8656"/>
    <n v="5"/>
    <x v="1"/>
    <s v="Bangalore"/>
    <x v="0"/>
    <s v="No"/>
    <n v="7"/>
    <n v="18"/>
    <n v="8"/>
    <s v="Not Promoted"/>
    <s v="Senior"/>
    <s v="High"/>
    <s v="Senior"/>
    <s v="D05"/>
    <s v="D05"/>
    <s v="High"/>
  </r>
  <r>
    <x v="149"/>
    <s v="Kabir Lala"/>
    <x v="0"/>
    <n v="31"/>
    <x v="4"/>
    <x v="6"/>
    <s v="MBA"/>
    <n v="10"/>
    <d v="2020-12-04T00:00:00"/>
    <n v="97523"/>
    <n v="9537"/>
    <n v="5"/>
    <x v="1"/>
    <s v="Pune"/>
    <x v="0"/>
    <s v="Yes"/>
    <n v="36"/>
    <n v="17"/>
    <n v="10"/>
    <s v="Not Promoted"/>
    <s v="Mid-Age"/>
    <s v="Executive"/>
    <s v="Mid-Level"/>
    <s v="D02"/>
    <s v="D02"/>
    <s v="Executive"/>
  </r>
  <r>
    <x v="150"/>
    <s v="Ayesha Mand"/>
    <x v="0"/>
    <n v="43"/>
    <x v="0"/>
    <x v="12"/>
    <s v="Post Graduate"/>
    <n v="20"/>
    <d v="2023-06-25T00:00:00"/>
    <n v="119838"/>
    <n v="19909"/>
    <n v="4"/>
    <x v="1"/>
    <s v="Mumbai"/>
    <x v="0"/>
    <s v="Yes"/>
    <n v="38"/>
    <n v="1"/>
    <n v="8"/>
    <s v="Not Promoted"/>
    <s v="Senior"/>
    <s v="Executive"/>
    <s v="Senior"/>
    <s v="D06"/>
    <s v="D06"/>
    <s v="Executive"/>
  </r>
  <r>
    <x v="151"/>
    <s v="Pari Seth"/>
    <x v="1"/>
    <n v="25"/>
    <x v="3"/>
    <x v="8"/>
    <s v="MBA"/>
    <n v="4"/>
    <d v="2022-08-17T00:00:00"/>
    <n v="43021"/>
    <n v="3980"/>
    <n v="2"/>
    <x v="2"/>
    <s v="Chennai"/>
    <x v="0"/>
    <s v="No"/>
    <n v="47"/>
    <n v="15"/>
    <n v="2"/>
    <s v="Promoted"/>
    <s v="Young"/>
    <s v="Medium"/>
    <s v="Junior"/>
    <s v="D01"/>
    <s v="D01"/>
    <s v="Medium"/>
  </r>
  <r>
    <x v="152"/>
    <s v="Elakshi Sachar"/>
    <x v="1"/>
    <n v="48"/>
    <x v="3"/>
    <x v="4"/>
    <s v="Post Graduate"/>
    <n v="27"/>
    <d v="2018-03-10T00:00:00"/>
    <n v="94391"/>
    <n v="5506"/>
    <n v="3"/>
    <x v="0"/>
    <s v="Pune"/>
    <x v="0"/>
    <s v="Yes"/>
    <n v="20"/>
    <n v="6"/>
    <n v="9"/>
    <s v="Promoted"/>
    <s v="Senior"/>
    <s v="Executive"/>
    <s v="Senior"/>
    <s v="D01"/>
    <s v="D01"/>
    <s v="Executive"/>
  </r>
  <r>
    <x v="153"/>
    <s v="Badal Jain"/>
    <x v="0"/>
    <n v="38"/>
    <x v="1"/>
    <x v="1"/>
    <s v="Post Graduate"/>
    <n v="15"/>
    <d v="2020-12-30T00:00:00"/>
    <n v="129193"/>
    <n v="11829"/>
    <n v="4"/>
    <x v="2"/>
    <s v="Noida"/>
    <x v="0"/>
    <s v="Yes"/>
    <n v="46"/>
    <n v="20"/>
    <n v="2"/>
    <s v="Not Promoted"/>
    <s v="Mid-Age"/>
    <s v="Executive"/>
    <s v="Senior"/>
    <s v="D05"/>
    <s v="D05"/>
    <s v="Executive"/>
  </r>
  <r>
    <x v="154"/>
    <s v="Tarini Sankaran"/>
    <x v="0"/>
    <n v="47"/>
    <x v="3"/>
    <x v="4"/>
    <s v="B.Tech"/>
    <n v="23"/>
    <d v="2022-03-25T00:00:00"/>
    <n v="97443"/>
    <n v="16218"/>
    <n v="4"/>
    <x v="2"/>
    <s v="Noida"/>
    <x v="0"/>
    <s v="No"/>
    <n v="41"/>
    <n v="3"/>
    <n v="1"/>
    <s v="Not Promoted"/>
    <s v="Senior"/>
    <s v="Executive"/>
    <s v="Senior"/>
    <s v="D01"/>
    <s v="D01"/>
    <s v="Executive"/>
  </r>
  <r>
    <x v="155"/>
    <s v="Tanya Batta"/>
    <x v="1"/>
    <n v="36"/>
    <x v="1"/>
    <x v="13"/>
    <s v="M.Tech"/>
    <n v="14"/>
    <d v="2024-05-10T00:00:00"/>
    <n v="87324"/>
    <n v="20465"/>
    <n v="3"/>
    <x v="2"/>
    <s v="Delhi"/>
    <x v="0"/>
    <s v="Yes"/>
    <n v="59"/>
    <n v="10"/>
    <n v="1"/>
    <s v="Not Promoted"/>
    <s v="Mid-Age"/>
    <s v="High"/>
    <s v="Senior"/>
    <s v="D05"/>
    <s v="D05"/>
    <s v="High"/>
  </r>
  <r>
    <x v="156"/>
    <s v="Ehsaan Wali"/>
    <x v="1"/>
    <n v="31"/>
    <x v="3"/>
    <x v="4"/>
    <s v="M.Tech"/>
    <n v="5"/>
    <d v="2022-06-20T00:00:00"/>
    <n v="146749"/>
    <n v="12870"/>
    <n v="1"/>
    <x v="1"/>
    <s v="Noida"/>
    <x v="0"/>
    <s v="Yes"/>
    <n v="55"/>
    <n v="2"/>
    <n v="5"/>
    <s v="Not Promoted"/>
    <s v="Mid-Age"/>
    <s v="Executive"/>
    <s v="Junior"/>
    <s v="D01"/>
    <s v="D01"/>
    <s v="Executive"/>
  </r>
  <r>
    <x v="157"/>
    <s v="Vardaniya Gala"/>
    <x v="1"/>
    <n v="44"/>
    <x v="1"/>
    <x v="1"/>
    <s v="MBA"/>
    <n v="23"/>
    <d v="2019-02-05T00:00:00"/>
    <n v="82290"/>
    <n v="2970"/>
    <n v="2"/>
    <x v="2"/>
    <s v="Bangalore"/>
    <x v="0"/>
    <s v="No"/>
    <n v="36"/>
    <n v="7"/>
    <n v="2"/>
    <s v="Not Promoted"/>
    <s v="Senior"/>
    <s v="High"/>
    <s v="Senior"/>
    <s v="D05"/>
    <s v="D05"/>
    <s v="High"/>
  </r>
  <r>
    <x v="158"/>
    <s v="Raghav Brar"/>
    <x v="0"/>
    <n v="46"/>
    <x v="2"/>
    <x v="7"/>
    <s v="Graduate"/>
    <n v="22"/>
    <d v="2020-01-31T00:00:00"/>
    <n v="114088"/>
    <n v="4688"/>
    <n v="5"/>
    <x v="1"/>
    <s v="Mumbai"/>
    <x v="1"/>
    <s v="No"/>
    <n v="50"/>
    <n v="20"/>
    <n v="7"/>
    <s v="Not Promoted"/>
    <s v="Senior"/>
    <s v="Executive"/>
    <s v="Senior"/>
    <s v="D03"/>
    <s v="D03"/>
    <s v="Executive"/>
  </r>
  <r>
    <x v="159"/>
    <s v="Jiya Mangal"/>
    <x v="1"/>
    <n v="46"/>
    <x v="4"/>
    <x v="6"/>
    <s v="Graduate"/>
    <n v="23"/>
    <d v="2022-01-17T00:00:00"/>
    <n v="38965"/>
    <n v="6341"/>
    <n v="1"/>
    <x v="0"/>
    <s v="Mumbai"/>
    <x v="0"/>
    <s v="No"/>
    <n v="33"/>
    <n v="17"/>
    <n v="1"/>
    <s v="Not Promoted"/>
    <s v="Senior"/>
    <s v="Medium"/>
    <s v="Senior"/>
    <s v="D02"/>
    <s v="D02"/>
    <s v="Medium"/>
  </r>
  <r>
    <x v="160"/>
    <s v="Miraya Goswami"/>
    <x v="1"/>
    <n v="48"/>
    <x v="1"/>
    <x v="1"/>
    <s v="B.Tech"/>
    <n v="27"/>
    <d v="2018-04-18T00:00:00"/>
    <n v="36746"/>
    <n v="2404"/>
    <n v="3"/>
    <x v="1"/>
    <s v="Hyderabad"/>
    <x v="1"/>
    <s v="No"/>
    <n v="54"/>
    <n v="2"/>
    <n v="9"/>
    <s v="Not Promoted"/>
    <s v="Senior"/>
    <s v="Medium"/>
    <s v="Senior"/>
    <s v="D05"/>
    <s v="D05"/>
    <s v="Medium"/>
  </r>
  <r>
    <x v="161"/>
    <s v="Miraan Venkataraman"/>
    <x v="1"/>
    <n v="37"/>
    <x v="0"/>
    <x v="12"/>
    <s v="Post Graduate"/>
    <n v="12"/>
    <d v="2023-11-05T00:00:00"/>
    <n v="47227"/>
    <n v="4073"/>
    <n v="4"/>
    <x v="0"/>
    <s v="Hyderabad"/>
    <x v="1"/>
    <s v="No"/>
    <n v="31"/>
    <n v="9"/>
    <n v="3"/>
    <s v="Not Promoted"/>
    <s v="Mid-Age"/>
    <s v="Medium"/>
    <s v="Senior"/>
    <s v="D06"/>
    <s v="D06"/>
    <s v="Medium"/>
  </r>
  <r>
    <x v="162"/>
    <s v="Aradhya Tak"/>
    <x v="0"/>
    <n v="45"/>
    <x v="5"/>
    <x v="10"/>
    <s v="MBA"/>
    <n v="22"/>
    <d v="2020-10-07T00:00:00"/>
    <n v="119489"/>
    <n v="2221"/>
    <n v="4"/>
    <x v="1"/>
    <s v="Bangalore"/>
    <x v="0"/>
    <s v="No"/>
    <n v="56"/>
    <n v="10"/>
    <n v="10"/>
    <s v="Not Promoted"/>
    <s v="Senior"/>
    <s v="Executive"/>
    <s v="Senior"/>
    <s v="D04"/>
    <s v="D04"/>
    <s v="Executive"/>
  </r>
  <r>
    <x v="163"/>
    <s v="Kabir Bansal"/>
    <x v="1"/>
    <n v="49"/>
    <x v="5"/>
    <x v="15"/>
    <s v="MBA"/>
    <n v="23"/>
    <d v="2024-08-31T00:00:00"/>
    <n v="42842"/>
    <n v="7820"/>
    <n v="3"/>
    <x v="1"/>
    <s v="Bangalore"/>
    <x v="0"/>
    <s v="No"/>
    <n v="52"/>
    <n v="20"/>
    <n v="6"/>
    <s v="Not Promoted"/>
    <s v="Senior"/>
    <s v="Medium"/>
    <s v="Senior"/>
    <s v="D04"/>
    <s v="D04"/>
    <s v="Medium"/>
  </r>
  <r>
    <x v="164"/>
    <s v="Anika Issac"/>
    <x v="0"/>
    <n v="37"/>
    <x v="5"/>
    <x v="9"/>
    <s v="M.Tech"/>
    <n v="14"/>
    <d v="2022-03-21T00:00:00"/>
    <n v="61739"/>
    <n v="2881"/>
    <n v="4"/>
    <x v="2"/>
    <s v="Hyderabad"/>
    <x v="1"/>
    <s v="Yes"/>
    <n v="33"/>
    <n v="9"/>
    <n v="6"/>
    <s v="Not Promoted"/>
    <s v="Mid-Age"/>
    <s v="High"/>
    <s v="Senior"/>
    <s v="D04"/>
    <s v="D04"/>
    <s v="High"/>
  </r>
  <r>
    <x v="165"/>
    <s v="Ira Upadhyay"/>
    <x v="1"/>
    <n v="48"/>
    <x v="0"/>
    <x v="0"/>
    <s v="B.Tech"/>
    <n v="22"/>
    <d v="2023-08-08T00:00:00"/>
    <n v="43242"/>
    <n v="4423"/>
    <n v="3"/>
    <x v="1"/>
    <s v="Pune"/>
    <x v="0"/>
    <s v="No"/>
    <n v="42"/>
    <n v="12"/>
    <n v="4"/>
    <s v="Promoted"/>
    <s v="Senior"/>
    <s v="Medium"/>
    <s v="Senior"/>
    <s v="D06"/>
    <s v="D06"/>
    <s v="Medium"/>
  </r>
  <r>
    <x v="166"/>
    <s v="Dhanuk Anand"/>
    <x v="0"/>
    <n v="48"/>
    <x v="1"/>
    <x v="1"/>
    <s v="Post Graduate"/>
    <n v="23"/>
    <d v="2018-05-31T00:00:00"/>
    <n v="128641"/>
    <n v="23548"/>
    <n v="3"/>
    <x v="2"/>
    <s v="Bangalore"/>
    <x v="0"/>
    <s v="Yes"/>
    <n v="46"/>
    <n v="19"/>
    <n v="9"/>
    <s v="Not Promoted"/>
    <s v="Senior"/>
    <s v="Executive"/>
    <s v="Senior"/>
    <s v="D05"/>
    <s v="D05"/>
    <s v="Executive"/>
  </r>
  <r>
    <x v="167"/>
    <s v="Farhan Gulati"/>
    <x v="0"/>
    <n v="47"/>
    <x v="3"/>
    <x v="8"/>
    <s v="B.Tech"/>
    <n v="24"/>
    <d v="2022-10-30T00:00:00"/>
    <n v="38886"/>
    <n v="14259"/>
    <n v="1"/>
    <x v="1"/>
    <s v="Hyderabad"/>
    <x v="0"/>
    <s v="Yes"/>
    <n v="27"/>
    <n v="0"/>
    <n v="2"/>
    <s v="Not Promoted"/>
    <s v="Senior"/>
    <s v="Medium"/>
    <s v="Senior"/>
    <s v="D01"/>
    <s v="D01"/>
    <s v="Medium"/>
  </r>
  <r>
    <x v="168"/>
    <s v="Kimaya Venkatesh"/>
    <x v="0"/>
    <n v="40"/>
    <x v="5"/>
    <x v="10"/>
    <s v="M.Tech"/>
    <n v="16"/>
    <d v="2018-12-18T00:00:00"/>
    <n v="40213"/>
    <n v="17824"/>
    <n v="2"/>
    <x v="1"/>
    <s v="Hyderabad"/>
    <x v="0"/>
    <s v="Yes"/>
    <n v="33"/>
    <n v="14"/>
    <n v="6"/>
    <s v="Not Promoted"/>
    <s v="Mid-Age"/>
    <s v="Medium"/>
    <s v="Senior"/>
    <s v="D04"/>
    <s v="D04"/>
    <s v="Medium"/>
  </r>
  <r>
    <x v="169"/>
    <s v="Bhamini Varma"/>
    <x v="0"/>
    <n v="41"/>
    <x v="2"/>
    <x v="2"/>
    <s v="M.Tech"/>
    <n v="20"/>
    <d v="2019-04-17T00:00:00"/>
    <n v="27960"/>
    <n v="7716"/>
    <n v="3"/>
    <x v="2"/>
    <s v="Mumbai"/>
    <x v="0"/>
    <s v="No"/>
    <n v="40"/>
    <n v="13"/>
    <n v="2"/>
    <s v="Promoted"/>
    <s v="Senior"/>
    <s v="Low"/>
    <s v="Senior"/>
    <s v="D03"/>
    <s v="D03"/>
    <s v="Low"/>
  </r>
  <r>
    <x v="170"/>
    <s v="Akarsh Dash"/>
    <x v="0"/>
    <n v="47"/>
    <x v="5"/>
    <x v="10"/>
    <s v="B.Tech"/>
    <n v="21"/>
    <d v="2020-01-26T00:00:00"/>
    <n v="49430"/>
    <n v="21405"/>
    <n v="4"/>
    <x v="1"/>
    <s v="Hyderabad"/>
    <x v="1"/>
    <s v="Yes"/>
    <n v="50"/>
    <n v="6"/>
    <n v="7"/>
    <s v="Not Promoted"/>
    <s v="Senior"/>
    <s v="Medium"/>
    <s v="Senior"/>
    <s v="D04"/>
    <s v="D04"/>
    <s v="Medium"/>
  </r>
  <r>
    <x v="171"/>
    <s v="Kartik Subramaniam"/>
    <x v="0"/>
    <n v="26"/>
    <x v="4"/>
    <x v="16"/>
    <s v="MBA"/>
    <n v="1"/>
    <d v="2019-02-21T00:00:00"/>
    <n v="129792"/>
    <n v="23977"/>
    <n v="5"/>
    <x v="1"/>
    <s v="Pune"/>
    <x v="0"/>
    <s v="No"/>
    <n v="43"/>
    <n v="12"/>
    <n v="3"/>
    <s v="Promoted"/>
    <s v="Young"/>
    <s v="Executive"/>
    <s v="Fresher"/>
    <s v="D02"/>
    <s v="D02"/>
    <s v="Executive"/>
  </r>
  <r>
    <x v="172"/>
    <s v="Ojas Sibal"/>
    <x v="1"/>
    <n v="29"/>
    <x v="1"/>
    <x v="3"/>
    <s v="M.Tech"/>
    <n v="6"/>
    <d v="2021-12-12T00:00:00"/>
    <n v="135823"/>
    <n v="21338"/>
    <n v="4"/>
    <x v="0"/>
    <s v="Chennai"/>
    <x v="0"/>
    <s v="Yes"/>
    <n v="25"/>
    <n v="3"/>
    <n v="10"/>
    <s v="Not Promoted"/>
    <s v="Young"/>
    <s v="Executive"/>
    <s v="Mid-Level"/>
    <s v="D05"/>
    <s v="D05"/>
    <s v="Executive"/>
  </r>
  <r>
    <x v="173"/>
    <s v="Jayesh Chawla"/>
    <x v="1"/>
    <n v="29"/>
    <x v="4"/>
    <x v="16"/>
    <s v="B.Tech"/>
    <n v="7"/>
    <d v="2022-03-10T00:00:00"/>
    <n v="115890"/>
    <n v="8086"/>
    <n v="2"/>
    <x v="1"/>
    <s v="Chennai"/>
    <x v="0"/>
    <s v="Yes"/>
    <n v="40"/>
    <n v="5"/>
    <n v="9"/>
    <s v="Not Promoted"/>
    <s v="Young"/>
    <s v="Executive"/>
    <s v="Mid-Level"/>
    <s v="D02"/>
    <s v="D02"/>
    <s v="Executive"/>
  </r>
  <r>
    <x v="174"/>
    <s v="Suhana Chowdhury"/>
    <x v="0"/>
    <n v="30"/>
    <x v="5"/>
    <x v="15"/>
    <s v="B.Tech"/>
    <n v="8"/>
    <d v="2021-07-12T00:00:00"/>
    <n v="135360"/>
    <n v="6473"/>
    <n v="4"/>
    <x v="0"/>
    <s v="Noida"/>
    <x v="1"/>
    <s v="No"/>
    <n v="40"/>
    <n v="16"/>
    <n v="10"/>
    <s v="Not Promoted"/>
    <s v="Young"/>
    <s v="Executive"/>
    <s v="Mid-Level"/>
    <s v="D04"/>
    <s v="D04"/>
    <s v="Executive"/>
  </r>
  <r>
    <x v="175"/>
    <s v="Zoya Chowdhury"/>
    <x v="0"/>
    <n v="48"/>
    <x v="0"/>
    <x v="11"/>
    <s v="MBA"/>
    <n v="22"/>
    <d v="2023-07-08T00:00:00"/>
    <n v="79477"/>
    <n v="3071"/>
    <n v="4"/>
    <x v="1"/>
    <s v="Mumbai"/>
    <x v="0"/>
    <s v="No"/>
    <n v="15"/>
    <n v="14"/>
    <n v="8"/>
    <s v="Not Promoted"/>
    <s v="Senior"/>
    <s v="High"/>
    <s v="Senior"/>
    <s v="D06"/>
    <s v="D06"/>
    <s v="High"/>
  </r>
  <r>
    <x v="176"/>
    <s v="Divij Mall"/>
    <x v="1"/>
    <n v="53"/>
    <x v="1"/>
    <x v="1"/>
    <s v="M.Tech"/>
    <n v="28"/>
    <d v="2023-09-24T00:00:00"/>
    <n v="39838"/>
    <n v="3363"/>
    <n v="5"/>
    <x v="2"/>
    <s v="Hyderabad"/>
    <x v="0"/>
    <s v="Yes"/>
    <n v="32"/>
    <n v="3"/>
    <n v="2"/>
    <s v="Not Promoted"/>
    <s v="Senior"/>
    <s v="Medium"/>
    <s v="Senior"/>
    <s v="D05"/>
    <s v="D05"/>
    <s v="Medium"/>
  </r>
  <r>
    <x v="177"/>
    <s v="Misha Sunder"/>
    <x v="0"/>
    <n v="37"/>
    <x v="0"/>
    <x v="12"/>
    <s v="Post Graduate"/>
    <n v="14"/>
    <d v="2018-05-13T00:00:00"/>
    <n v="83947"/>
    <n v="8877"/>
    <n v="3"/>
    <x v="2"/>
    <s v="Pune"/>
    <x v="0"/>
    <s v="No"/>
    <n v="60"/>
    <n v="19"/>
    <n v="6"/>
    <s v="Promoted"/>
    <s v="Mid-Age"/>
    <s v="High"/>
    <s v="Senior"/>
    <s v="D06"/>
    <s v="D06"/>
    <s v="High"/>
  </r>
  <r>
    <x v="178"/>
    <s v="Indrajit Bhavsar"/>
    <x v="1"/>
    <n v="32"/>
    <x v="0"/>
    <x v="11"/>
    <s v="M.Tech"/>
    <n v="7"/>
    <d v="2019-07-25T00:00:00"/>
    <n v="127871"/>
    <n v="19654"/>
    <n v="2"/>
    <x v="0"/>
    <s v="Bangalore"/>
    <x v="0"/>
    <s v="No"/>
    <n v="23"/>
    <n v="18"/>
    <n v="4"/>
    <s v="Not Promoted"/>
    <s v="Mid-Age"/>
    <s v="Executive"/>
    <s v="Mid-Level"/>
    <s v="D06"/>
    <s v="D06"/>
    <s v="Executive"/>
  </r>
  <r>
    <x v="179"/>
    <s v="Gokul Vyas"/>
    <x v="0"/>
    <n v="28"/>
    <x v="2"/>
    <x v="7"/>
    <s v="Post Graduate"/>
    <n v="6"/>
    <d v="2022-08-13T00:00:00"/>
    <n v="145424"/>
    <n v="6792"/>
    <n v="1"/>
    <x v="2"/>
    <s v="Bangalore"/>
    <x v="0"/>
    <s v="Yes"/>
    <n v="53"/>
    <n v="12"/>
    <n v="5"/>
    <s v="Promoted"/>
    <s v="Young"/>
    <s v="Executive"/>
    <s v="Mid-Level"/>
    <s v="D03"/>
    <s v="D03"/>
    <s v="Executive"/>
  </r>
  <r>
    <x v="180"/>
    <s v="Yashvi Brahmbhatt"/>
    <x v="0"/>
    <n v="39"/>
    <x v="5"/>
    <x v="10"/>
    <s v="B.Tech"/>
    <n v="13"/>
    <d v="2022-08-24T00:00:00"/>
    <n v="74174"/>
    <n v="18895"/>
    <n v="4"/>
    <x v="2"/>
    <s v="Bangalore"/>
    <x v="0"/>
    <s v="No"/>
    <n v="34"/>
    <n v="15"/>
    <n v="2"/>
    <s v="Not Promoted"/>
    <s v="Mid-Age"/>
    <s v="High"/>
    <s v="Senior"/>
    <s v="D04"/>
    <s v="D04"/>
    <s v="High"/>
  </r>
  <r>
    <x v="181"/>
    <s v="Ira Chaudhuri"/>
    <x v="1"/>
    <n v="22"/>
    <x v="2"/>
    <x v="7"/>
    <s v="Post Graduate"/>
    <n v="0"/>
    <d v="2019-01-17T00:00:00"/>
    <n v="120804"/>
    <n v="16078"/>
    <n v="4"/>
    <x v="0"/>
    <s v="Hyderabad"/>
    <x v="0"/>
    <s v="No"/>
    <n v="25"/>
    <n v="9"/>
    <n v="6"/>
    <s v="Not Promoted"/>
    <s v="Young"/>
    <s v="Executive"/>
    <s v="Fresher"/>
    <s v="D03"/>
    <s v="D03"/>
    <s v="Executive"/>
  </r>
  <r>
    <x v="182"/>
    <s v="Indranil Agrawal"/>
    <x v="1"/>
    <n v="30"/>
    <x v="2"/>
    <x v="7"/>
    <s v="Graduate"/>
    <n v="5"/>
    <d v="2023-06-11T00:00:00"/>
    <n v="128324"/>
    <n v="6071"/>
    <n v="3"/>
    <x v="0"/>
    <s v="Hyderabad"/>
    <x v="1"/>
    <s v="No"/>
    <n v="5"/>
    <n v="13"/>
    <n v="1"/>
    <s v="Not Promoted"/>
    <s v="Young"/>
    <s v="Executive"/>
    <s v="Junior"/>
    <s v="D03"/>
    <s v="D03"/>
    <s v="Executive"/>
  </r>
  <r>
    <x v="183"/>
    <s v="Manjari Bhavsar"/>
    <x v="1"/>
    <n v="30"/>
    <x v="4"/>
    <x v="6"/>
    <s v="Post Graduate"/>
    <n v="4"/>
    <d v="2021-05-21T00:00:00"/>
    <n v="45837"/>
    <n v="3696"/>
    <n v="3"/>
    <x v="1"/>
    <s v="Chennai"/>
    <x v="0"/>
    <s v="No"/>
    <n v="51"/>
    <n v="7"/>
    <n v="2"/>
    <s v="Not Promoted"/>
    <s v="Young"/>
    <s v="Medium"/>
    <s v="Junior"/>
    <s v="D02"/>
    <s v="D02"/>
    <s v="Medium"/>
  </r>
  <r>
    <x v="184"/>
    <s v="Urvi Magar"/>
    <x v="1"/>
    <n v="27"/>
    <x v="5"/>
    <x v="9"/>
    <s v="Graduate"/>
    <n v="1"/>
    <d v="2019-01-25T00:00:00"/>
    <n v="25142"/>
    <n v="2264"/>
    <n v="2"/>
    <x v="2"/>
    <s v="Bangalore"/>
    <x v="1"/>
    <s v="Yes"/>
    <n v="60"/>
    <n v="13"/>
    <n v="8"/>
    <s v="Not Promoted"/>
    <s v="Young"/>
    <s v="Low"/>
    <s v="Fresher"/>
    <s v="D04"/>
    <s v="D04"/>
    <s v="Low"/>
  </r>
  <r>
    <x v="185"/>
    <s v="Anahita Devan"/>
    <x v="1"/>
    <n v="52"/>
    <x v="0"/>
    <x v="0"/>
    <s v="Post Graduate"/>
    <n v="31"/>
    <d v="2020-07-26T00:00:00"/>
    <n v="75209"/>
    <n v="14541"/>
    <n v="1"/>
    <x v="0"/>
    <s v="Chennai"/>
    <x v="1"/>
    <s v="Yes"/>
    <n v="9"/>
    <n v="16"/>
    <n v="2"/>
    <s v="Not Promoted"/>
    <s v="Senior"/>
    <s v="High"/>
    <s v="Senior"/>
    <s v="D06"/>
    <s v="D06"/>
    <s v="High"/>
  </r>
  <r>
    <x v="186"/>
    <s v="Hansh Banik"/>
    <x v="1"/>
    <n v="32"/>
    <x v="1"/>
    <x v="13"/>
    <s v="Post Graduate"/>
    <n v="8"/>
    <d v="2021-12-09T00:00:00"/>
    <n v="119690"/>
    <n v="4840"/>
    <n v="2"/>
    <x v="0"/>
    <s v="Mumbai"/>
    <x v="0"/>
    <s v="Yes"/>
    <n v="42"/>
    <n v="12"/>
    <n v="3"/>
    <s v="Not Promoted"/>
    <s v="Mid-Age"/>
    <s v="Executive"/>
    <s v="Mid-Level"/>
    <s v="D05"/>
    <s v="D05"/>
    <s v="Executive"/>
  </r>
  <r>
    <x v="187"/>
    <s v="Farhan Lal"/>
    <x v="1"/>
    <n v="42"/>
    <x v="2"/>
    <x v="17"/>
    <s v="Graduate"/>
    <n v="20"/>
    <d v="2020-10-11T00:00:00"/>
    <n v="61302"/>
    <n v="23574"/>
    <n v="1"/>
    <x v="1"/>
    <s v="Mumbai"/>
    <x v="0"/>
    <s v="Yes"/>
    <n v="52"/>
    <n v="12"/>
    <n v="4"/>
    <s v="Not Promoted"/>
    <s v="Senior"/>
    <s v="High"/>
    <s v="Senior"/>
    <s v="D03"/>
    <s v="D03"/>
    <s v="High"/>
  </r>
  <r>
    <x v="188"/>
    <s v="Ahana  Kalla"/>
    <x v="0"/>
    <n v="25"/>
    <x v="2"/>
    <x v="7"/>
    <s v="MBA"/>
    <n v="3"/>
    <d v="2023-07-21T00:00:00"/>
    <n v="75578"/>
    <n v="12370"/>
    <n v="1"/>
    <x v="0"/>
    <s v="Hyderabad"/>
    <x v="0"/>
    <s v="No"/>
    <n v="28"/>
    <n v="17"/>
    <n v="4"/>
    <s v="Not Promoted"/>
    <s v="Young"/>
    <s v="High"/>
    <s v="Junior"/>
    <s v="D03"/>
    <s v="D03"/>
    <s v="High"/>
  </r>
  <r>
    <x v="189"/>
    <s v="Ahana  Bumb"/>
    <x v="0"/>
    <n v="52"/>
    <x v="0"/>
    <x v="0"/>
    <s v="B.Tech"/>
    <n v="31"/>
    <d v="2018-03-10T00:00:00"/>
    <n v="101986"/>
    <n v="18600"/>
    <n v="1"/>
    <x v="1"/>
    <s v="Chennai"/>
    <x v="0"/>
    <s v="No"/>
    <n v="32"/>
    <n v="12"/>
    <n v="1"/>
    <s v="Promoted"/>
    <s v="Senior"/>
    <s v="Executive"/>
    <s v="Senior"/>
    <s v="D06"/>
    <s v="D06"/>
    <s v="Executive"/>
  </r>
  <r>
    <x v="190"/>
    <s v="Shanaya Sahni"/>
    <x v="0"/>
    <n v="31"/>
    <x v="3"/>
    <x v="8"/>
    <s v="M.Tech"/>
    <n v="8"/>
    <d v="2018-12-09T00:00:00"/>
    <n v="65620"/>
    <n v="12706"/>
    <n v="1"/>
    <x v="1"/>
    <s v="Pune"/>
    <x v="0"/>
    <s v="Yes"/>
    <n v="24"/>
    <n v="13"/>
    <n v="9"/>
    <s v="Not Promoted"/>
    <s v="Mid-Age"/>
    <s v="High"/>
    <s v="Mid-Level"/>
    <s v="D01"/>
    <s v="D01"/>
    <s v="High"/>
  </r>
  <r>
    <x v="191"/>
    <s v="Kiaan Suri"/>
    <x v="1"/>
    <n v="25"/>
    <x v="0"/>
    <x v="0"/>
    <s v="Post Graduate"/>
    <n v="3"/>
    <d v="2018-12-20T00:00:00"/>
    <n v="146192"/>
    <n v="5913"/>
    <n v="4"/>
    <x v="0"/>
    <s v="Chennai"/>
    <x v="0"/>
    <s v="Yes"/>
    <n v="49"/>
    <n v="0"/>
    <n v="2"/>
    <s v="Not Promoted"/>
    <s v="Young"/>
    <s v="Executive"/>
    <s v="Junior"/>
    <s v="D06"/>
    <s v="D06"/>
    <s v="Executive"/>
  </r>
  <r>
    <x v="192"/>
    <s v="Azad Rajagopalan"/>
    <x v="1"/>
    <n v="44"/>
    <x v="4"/>
    <x v="16"/>
    <s v="Graduate"/>
    <n v="19"/>
    <d v="2023-10-20T00:00:00"/>
    <n v="127627"/>
    <n v="2961"/>
    <n v="3"/>
    <x v="1"/>
    <s v="Noida"/>
    <x v="0"/>
    <s v="No"/>
    <n v="22"/>
    <n v="16"/>
    <n v="3"/>
    <s v="Not Promoted"/>
    <s v="Senior"/>
    <s v="Executive"/>
    <s v="Senior"/>
    <s v="D02"/>
    <s v="D02"/>
    <s v="Executive"/>
  </r>
  <r>
    <x v="193"/>
    <s v="Divyansh Buch"/>
    <x v="1"/>
    <n v="26"/>
    <x v="3"/>
    <x v="14"/>
    <s v="Post Graduate"/>
    <n v="2"/>
    <d v="2023-02-08T00:00:00"/>
    <n v="91949"/>
    <n v="10359"/>
    <n v="3"/>
    <x v="0"/>
    <s v="Pune"/>
    <x v="0"/>
    <s v="Yes"/>
    <n v="19"/>
    <n v="16"/>
    <n v="1"/>
    <s v="Not Promoted"/>
    <s v="Young"/>
    <s v="Executive"/>
    <s v="Fresher"/>
    <s v="D01"/>
    <s v="D01"/>
    <s v="Executive"/>
  </r>
  <r>
    <x v="194"/>
    <s v="Anahita Seshadri"/>
    <x v="0"/>
    <n v="22"/>
    <x v="3"/>
    <x v="4"/>
    <s v="M.Tech"/>
    <n v="0"/>
    <d v="2018-07-08T00:00:00"/>
    <n v="86835"/>
    <n v="23486"/>
    <n v="3"/>
    <x v="1"/>
    <s v="Mumbai"/>
    <x v="0"/>
    <s v="No"/>
    <n v="20"/>
    <n v="13"/>
    <n v="7"/>
    <s v="Promoted"/>
    <s v="Young"/>
    <s v="High"/>
    <s v="Fresher"/>
    <s v="D01"/>
    <s v="D01"/>
    <s v="High"/>
  </r>
  <r>
    <x v="195"/>
    <s v="Samarth Gill"/>
    <x v="0"/>
    <n v="39"/>
    <x v="0"/>
    <x v="11"/>
    <s v="M.Tech"/>
    <n v="18"/>
    <d v="2024-05-30T00:00:00"/>
    <n v="73864"/>
    <n v="3504"/>
    <n v="1"/>
    <x v="1"/>
    <s v="Delhi"/>
    <x v="0"/>
    <s v="No"/>
    <n v="60"/>
    <n v="9"/>
    <n v="9"/>
    <s v="Promoted"/>
    <s v="Mid-Age"/>
    <s v="High"/>
    <s v="Senior"/>
    <s v="D06"/>
    <s v="D06"/>
    <s v="High"/>
  </r>
  <r>
    <x v="196"/>
    <s v="Anahita Basu"/>
    <x v="0"/>
    <n v="27"/>
    <x v="2"/>
    <x v="17"/>
    <s v="B.Tech"/>
    <n v="2"/>
    <d v="2023-02-14T00:00:00"/>
    <n v="26044"/>
    <n v="14067"/>
    <n v="3"/>
    <x v="2"/>
    <s v="Hyderabad"/>
    <x v="0"/>
    <s v="Yes"/>
    <n v="51"/>
    <n v="17"/>
    <n v="4"/>
    <s v="Not Promoted"/>
    <s v="Young"/>
    <s v="Low"/>
    <s v="Fresher"/>
    <s v="D03"/>
    <s v="D03"/>
    <s v="Low"/>
  </r>
  <r>
    <x v="197"/>
    <s v="Saanvi Wason"/>
    <x v="0"/>
    <n v="22"/>
    <x v="4"/>
    <x v="5"/>
    <s v="MBA"/>
    <n v="0"/>
    <d v="2018-04-08T00:00:00"/>
    <n v="55539"/>
    <n v="2047"/>
    <n v="5"/>
    <x v="2"/>
    <s v="Hyderabad"/>
    <x v="0"/>
    <s v="No"/>
    <n v="11"/>
    <n v="6"/>
    <n v="6"/>
    <s v="Not Promoted"/>
    <s v="Young"/>
    <s v="Medium"/>
    <s v="Fresher"/>
    <s v="D02"/>
    <s v="D02"/>
    <s v="Medium"/>
  </r>
  <r>
    <x v="198"/>
    <s v="Pari Kapoor"/>
    <x v="1"/>
    <n v="48"/>
    <x v="1"/>
    <x v="13"/>
    <s v="MBA"/>
    <n v="24"/>
    <d v="2018-09-03T00:00:00"/>
    <n v="43661"/>
    <n v="17022"/>
    <n v="3"/>
    <x v="2"/>
    <s v="Delhi"/>
    <x v="1"/>
    <s v="Yes"/>
    <n v="37"/>
    <n v="4"/>
    <n v="2"/>
    <s v="Not Promoted"/>
    <s v="Senior"/>
    <s v="Medium"/>
    <s v="Senior"/>
    <s v="D05"/>
    <s v="D05"/>
    <s v="Medium"/>
  </r>
  <r>
    <x v="199"/>
    <s v="Akarsh Kalita"/>
    <x v="1"/>
    <n v="26"/>
    <x v="0"/>
    <x v="11"/>
    <s v="B.Tech"/>
    <n v="1"/>
    <d v="2024-05-14T00:00:00"/>
    <n v="33163"/>
    <n v="24961"/>
    <n v="4"/>
    <x v="2"/>
    <s v="Bangalore"/>
    <x v="0"/>
    <s v="No"/>
    <n v="33"/>
    <n v="8"/>
    <n v="3"/>
    <s v="Not Promoted"/>
    <s v="Young"/>
    <s v="Medium"/>
    <s v="Fresher"/>
    <s v="D06"/>
    <s v="D06"/>
    <s v="Medium"/>
  </r>
  <r>
    <x v="200"/>
    <s v="Vanya Hayre"/>
    <x v="1"/>
    <n v="34"/>
    <x v="4"/>
    <x v="5"/>
    <s v="Graduate"/>
    <n v="12"/>
    <d v="2024-07-22T00:00:00"/>
    <n v="39283"/>
    <n v="19561"/>
    <n v="2"/>
    <x v="1"/>
    <s v="Noida"/>
    <x v="0"/>
    <s v="Yes"/>
    <n v="33"/>
    <n v="9"/>
    <n v="2"/>
    <s v="Not Promoted"/>
    <s v="Mid-Age"/>
    <s v="Medium"/>
    <s v="Senior"/>
    <s v="D02"/>
    <s v="D02"/>
    <s v="Medium"/>
  </r>
  <r>
    <x v="201"/>
    <s v="Ivan Sridhar"/>
    <x v="1"/>
    <n v="29"/>
    <x v="5"/>
    <x v="15"/>
    <s v="Post Graduate"/>
    <n v="8"/>
    <d v="2019-10-08T00:00:00"/>
    <n v="130853"/>
    <n v="4988"/>
    <n v="3"/>
    <x v="2"/>
    <s v="Mumbai"/>
    <x v="1"/>
    <s v="No"/>
    <n v="30"/>
    <n v="16"/>
    <n v="10"/>
    <s v="Not Promoted"/>
    <s v="Young"/>
    <s v="Executive"/>
    <s v="Mid-Level"/>
    <s v="D04"/>
    <s v="D04"/>
    <s v="Executive"/>
  </r>
  <r>
    <x v="202"/>
    <s v="Umang Garg"/>
    <x v="0"/>
    <n v="41"/>
    <x v="3"/>
    <x v="8"/>
    <s v="B.Tech"/>
    <n v="18"/>
    <d v="2019-12-14T00:00:00"/>
    <n v="29073"/>
    <n v="5339"/>
    <n v="4"/>
    <x v="0"/>
    <s v="Delhi"/>
    <x v="0"/>
    <s v="Yes"/>
    <n v="8"/>
    <n v="7"/>
    <n v="8"/>
    <s v="Not Promoted"/>
    <s v="Senior"/>
    <s v="Low"/>
    <s v="Senior"/>
    <s v="D01"/>
    <s v="D01"/>
    <s v="Low"/>
  </r>
  <r>
    <x v="203"/>
    <s v="Rasha Malhotra"/>
    <x v="0"/>
    <n v="47"/>
    <x v="4"/>
    <x v="5"/>
    <s v="Post Graduate"/>
    <n v="24"/>
    <d v="2018-12-11T00:00:00"/>
    <n v="101326"/>
    <n v="23167"/>
    <n v="5"/>
    <x v="1"/>
    <s v="Noida"/>
    <x v="0"/>
    <s v="Yes"/>
    <n v="10"/>
    <n v="10"/>
    <n v="5"/>
    <s v="Promoted"/>
    <s v="Senior"/>
    <s v="Executive"/>
    <s v="Senior"/>
    <s v="D02"/>
    <s v="D02"/>
    <s v="Executive"/>
  </r>
  <r>
    <x v="204"/>
    <s v="Vidur Chopra"/>
    <x v="0"/>
    <n v="51"/>
    <x v="3"/>
    <x v="4"/>
    <s v="B.Tech"/>
    <n v="30"/>
    <d v="2019-11-20T00:00:00"/>
    <n v="146127"/>
    <n v="24387"/>
    <n v="5"/>
    <x v="1"/>
    <s v="Mumbai"/>
    <x v="0"/>
    <s v="No"/>
    <n v="18"/>
    <n v="5"/>
    <n v="7"/>
    <s v="Not Promoted"/>
    <s v="Senior"/>
    <s v="Executive"/>
    <s v="Senior"/>
    <s v="D01"/>
    <s v="D01"/>
    <s v="Executive"/>
  </r>
  <r>
    <x v="205"/>
    <s v="Renee Tak"/>
    <x v="1"/>
    <n v="50"/>
    <x v="2"/>
    <x v="17"/>
    <s v="M.Tech"/>
    <n v="28"/>
    <d v="2018-05-22T00:00:00"/>
    <n v="105492"/>
    <n v="17696"/>
    <n v="5"/>
    <x v="0"/>
    <s v="Delhi"/>
    <x v="0"/>
    <s v="No"/>
    <n v="29"/>
    <n v="4"/>
    <n v="10"/>
    <s v="Not Promoted"/>
    <s v="Senior"/>
    <s v="Executive"/>
    <s v="Senior"/>
    <s v="D03"/>
    <s v="D03"/>
    <s v="Executive"/>
  </r>
  <r>
    <x v="206"/>
    <s v="Amani Borde"/>
    <x v="1"/>
    <n v="55"/>
    <x v="5"/>
    <x v="10"/>
    <s v="MBA"/>
    <n v="33"/>
    <d v="2024-02-05T00:00:00"/>
    <n v="129182"/>
    <n v="20535"/>
    <n v="1"/>
    <x v="2"/>
    <s v="Bangalore"/>
    <x v="0"/>
    <s v="No"/>
    <n v="22"/>
    <n v="5"/>
    <n v="7"/>
    <s v="Not Promoted"/>
    <s v="Senior"/>
    <s v="Executive"/>
    <s v="Senior"/>
    <s v="D04"/>
    <s v="D04"/>
    <s v="Executive"/>
  </r>
  <r>
    <x v="207"/>
    <s v="Vanya Dugar"/>
    <x v="0"/>
    <n v="36"/>
    <x v="3"/>
    <x v="14"/>
    <s v="Post Graduate"/>
    <n v="15"/>
    <d v="2021-02-24T00:00:00"/>
    <n v="32679"/>
    <n v="5281"/>
    <n v="4"/>
    <x v="0"/>
    <s v="Chennai"/>
    <x v="0"/>
    <s v="Yes"/>
    <n v="22"/>
    <n v="17"/>
    <n v="9"/>
    <s v="Not Promoted"/>
    <s v="Mid-Age"/>
    <s v="Medium"/>
    <s v="Senior"/>
    <s v="D01"/>
    <s v="D01"/>
    <s v="Medium"/>
  </r>
  <r>
    <x v="208"/>
    <s v="Samiha Thaker"/>
    <x v="1"/>
    <n v="36"/>
    <x v="0"/>
    <x v="0"/>
    <s v="M.Tech"/>
    <n v="11"/>
    <d v="2022-05-10T00:00:00"/>
    <n v="71504"/>
    <n v="2924"/>
    <n v="2"/>
    <x v="2"/>
    <s v="Chennai"/>
    <x v="0"/>
    <s v="No"/>
    <n v="41"/>
    <n v="18"/>
    <n v="3"/>
    <s v="Not Promoted"/>
    <s v="Mid-Age"/>
    <s v="High"/>
    <s v="Senior"/>
    <s v="D06"/>
    <s v="D06"/>
    <s v="High"/>
  </r>
  <r>
    <x v="209"/>
    <s v="Aaryahi Varty"/>
    <x v="0"/>
    <n v="34"/>
    <x v="4"/>
    <x v="6"/>
    <s v="Graduate"/>
    <n v="10"/>
    <d v="2024-01-30T00:00:00"/>
    <n v="65508"/>
    <n v="19250"/>
    <n v="2"/>
    <x v="1"/>
    <s v="Delhi"/>
    <x v="1"/>
    <s v="No"/>
    <n v="44"/>
    <n v="6"/>
    <n v="8"/>
    <s v="Promoted"/>
    <s v="Mid-Age"/>
    <s v="High"/>
    <s v="Mid-Level"/>
    <s v="D02"/>
    <s v="D02"/>
    <s v="High"/>
  </r>
  <r>
    <x v="210"/>
    <s v="Shray Shenoy"/>
    <x v="0"/>
    <n v="33"/>
    <x v="4"/>
    <x v="16"/>
    <s v="M.Tech"/>
    <n v="10"/>
    <d v="2018-09-01T00:00:00"/>
    <n v="27872"/>
    <n v="13956"/>
    <n v="2"/>
    <x v="0"/>
    <s v="Bangalore"/>
    <x v="0"/>
    <s v="No"/>
    <n v="42"/>
    <n v="3"/>
    <n v="10"/>
    <s v="Promoted"/>
    <s v="Mid-Age"/>
    <s v="Low"/>
    <s v="Mid-Level"/>
    <s v="D02"/>
    <s v="D02"/>
    <s v="Low"/>
  </r>
  <r>
    <x v="211"/>
    <s v="Baiju Balakrishnan"/>
    <x v="1"/>
    <n v="42"/>
    <x v="2"/>
    <x v="17"/>
    <s v="Post Graduate"/>
    <n v="20"/>
    <d v="2019-10-08T00:00:00"/>
    <n v="120990"/>
    <n v="23808"/>
    <n v="4"/>
    <x v="2"/>
    <s v="Noida"/>
    <x v="0"/>
    <s v="Yes"/>
    <n v="29"/>
    <n v="9"/>
    <n v="8"/>
    <s v="Promoted"/>
    <s v="Senior"/>
    <s v="Executive"/>
    <s v="Senior"/>
    <s v="D03"/>
    <s v="D03"/>
    <s v="Executive"/>
  </r>
  <r>
    <x v="212"/>
    <s v="Jhanvi Mani"/>
    <x v="0"/>
    <n v="40"/>
    <x v="0"/>
    <x v="12"/>
    <s v="Post Graduate"/>
    <n v="18"/>
    <d v="2019-12-29T00:00:00"/>
    <n v="120529"/>
    <n v="21739"/>
    <n v="1"/>
    <x v="1"/>
    <s v="Noida"/>
    <x v="0"/>
    <s v="Yes"/>
    <n v="45"/>
    <n v="18"/>
    <n v="10"/>
    <s v="Not Promoted"/>
    <s v="Mid-Age"/>
    <s v="Executive"/>
    <s v="Senior"/>
    <s v="D06"/>
    <s v="D06"/>
    <s v="Executive"/>
  </r>
  <r>
    <x v="213"/>
    <s v="Aarav Mannan"/>
    <x v="0"/>
    <n v="31"/>
    <x v="3"/>
    <x v="14"/>
    <s v="MBA"/>
    <n v="8"/>
    <d v="2018-11-15T00:00:00"/>
    <n v="56194"/>
    <n v="16635"/>
    <n v="3"/>
    <x v="0"/>
    <s v="Bangalore"/>
    <x v="0"/>
    <s v="Yes"/>
    <n v="20"/>
    <n v="2"/>
    <n v="6"/>
    <s v="Not Promoted"/>
    <s v="Mid-Age"/>
    <s v="Medium"/>
    <s v="Mid-Level"/>
    <s v="D01"/>
    <s v="D01"/>
    <s v="Medium"/>
  </r>
  <r>
    <x v="214"/>
    <s v="Azad Badami"/>
    <x v="1"/>
    <n v="28"/>
    <x v="2"/>
    <x v="17"/>
    <s v="B.Tech"/>
    <n v="2"/>
    <d v="2018-01-06T00:00:00"/>
    <n v="31310"/>
    <n v="14409"/>
    <n v="4"/>
    <x v="1"/>
    <s v="Pune"/>
    <x v="0"/>
    <s v="No"/>
    <n v="11"/>
    <n v="15"/>
    <n v="8"/>
    <s v="Not Promoted"/>
    <s v="Young"/>
    <s v="Medium"/>
    <s v="Fresher"/>
    <s v="D03"/>
    <s v="D03"/>
    <s v="Medium"/>
  </r>
  <r>
    <x v="215"/>
    <s v="Rania Sama"/>
    <x v="0"/>
    <n v="36"/>
    <x v="1"/>
    <x v="1"/>
    <s v="Graduate"/>
    <n v="14"/>
    <d v="2023-01-23T00:00:00"/>
    <n v="34661"/>
    <n v="13200"/>
    <n v="1"/>
    <x v="0"/>
    <s v="Hyderabad"/>
    <x v="1"/>
    <s v="Yes"/>
    <n v="51"/>
    <n v="2"/>
    <n v="5"/>
    <s v="Not Promoted"/>
    <s v="Mid-Age"/>
    <s v="Medium"/>
    <s v="Senior"/>
    <s v="D05"/>
    <s v="D05"/>
    <s v="Medium"/>
  </r>
  <r>
    <x v="216"/>
    <s v="Sahil Lalla"/>
    <x v="1"/>
    <n v="43"/>
    <x v="1"/>
    <x v="13"/>
    <s v="Post Graduate"/>
    <n v="18"/>
    <d v="2023-06-01T00:00:00"/>
    <n v="117340"/>
    <n v="3754"/>
    <n v="1"/>
    <x v="0"/>
    <s v="Bangalore"/>
    <x v="0"/>
    <s v="Yes"/>
    <n v="17"/>
    <n v="13"/>
    <n v="7"/>
    <s v="Promoted"/>
    <s v="Senior"/>
    <s v="Executive"/>
    <s v="Senior"/>
    <s v="D05"/>
    <s v="D05"/>
    <s v="Executive"/>
  </r>
  <r>
    <x v="217"/>
    <s v="Tejas Kumar"/>
    <x v="1"/>
    <n v="38"/>
    <x v="0"/>
    <x v="12"/>
    <s v="Post Graduate"/>
    <n v="12"/>
    <d v="2021-02-27T00:00:00"/>
    <n v="63980"/>
    <n v="3786"/>
    <n v="2"/>
    <x v="1"/>
    <s v="Delhi"/>
    <x v="1"/>
    <s v="No"/>
    <n v="10"/>
    <n v="9"/>
    <n v="2"/>
    <s v="Not Promoted"/>
    <s v="Mid-Age"/>
    <s v="High"/>
    <s v="Senior"/>
    <s v="D06"/>
    <s v="D06"/>
    <s v="High"/>
  </r>
  <r>
    <x v="218"/>
    <s v="Nitara Khalsa"/>
    <x v="1"/>
    <n v="52"/>
    <x v="0"/>
    <x v="12"/>
    <s v="Graduate"/>
    <n v="30"/>
    <d v="2019-02-02T00:00:00"/>
    <n v="28373"/>
    <n v="12104"/>
    <n v="2"/>
    <x v="1"/>
    <s v="Hyderabad"/>
    <x v="0"/>
    <s v="No"/>
    <n v="47"/>
    <n v="8"/>
    <n v="3"/>
    <s v="Not Promoted"/>
    <s v="Senior"/>
    <s v="Low"/>
    <s v="Senior"/>
    <s v="D06"/>
    <s v="D06"/>
    <s v="Low"/>
  </r>
  <r>
    <x v="219"/>
    <s v="Vritika Deshpande"/>
    <x v="1"/>
    <n v="46"/>
    <x v="3"/>
    <x v="8"/>
    <s v="B.Tech"/>
    <n v="24"/>
    <d v="2022-02-28T00:00:00"/>
    <n v="141063"/>
    <n v="10631"/>
    <n v="4"/>
    <x v="0"/>
    <s v="Noida"/>
    <x v="0"/>
    <s v="No"/>
    <n v="41"/>
    <n v="1"/>
    <n v="6"/>
    <s v="Promoted"/>
    <s v="Senior"/>
    <s v="Executive"/>
    <s v="Senior"/>
    <s v="D01"/>
    <s v="D01"/>
    <s v="Executive"/>
  </r>
  <r>
    <x v="220"/>
    <s v="Nirvi Shah"/>
    <x v="0"/>
    <n v="28"/>
    <x v="4"/>
    <x v="6"/>
    <s v="B.Tech"/>
    <n v="7"/>
    <d v="2021-11-09T00:00:00"/>
    <n v="130929"/>
    <n v="19123"/>
    <n v="5"/>
    <x v="1"/>
    <s v="Pune"/>
    <x v="0"/>
    <s v="No"/>
    <n v="41"/>
    <n v="7"/>
    <n v="7"/>
    <s v="Not Promoted"/>
    <s v="Young"/>
    <s v="Executive"/>
    <s v="Mid-Level"/>
    <s v="D02"/>
    <s v="D02"/>
    <s v="Executive"/>
  </r>
  <r>
    <x v="221"/>
    <s v="Vritika Mandal"/>
    <x v="0"/>
    <n v="27"/>
    <x v="5"/>
    <x v="15"/>
    <s v="Graduate"/>
    <n v="3"/>
    <d v="2018-05-23T00:00:00"/>
    <n v="90811"/>
    <n v="16714"/>
    <n v="5"/>
    <x v="0"/>
    <s v="Mumbai"/>
    <x v="0"/>
    <s v="Yes"/>
    <n v="56"/>
    <n v="6"/>
    <n v="9"/>
    <s v="Not Promoted"/>
    <s v="Young"/>
    <s v="Executive"/>
    <s v="Junior"/>
    <s v="D04"/>
    <s v="D04"/>
    <s v="Executive"/>
  </r>
  <r>
    <x v="222"/>
    <s v="Jivin Ganesan"/>
    <x v="0"/>
    <n v="49"/>
    <x v="4"/>
    <x v="5"/>
    <s v="Graduate"/>
    <n v="28"/>
    <d v="2022-11-19T00:00:00"/>
    <n v="51465"/>
    <n v="14717"/>
    <n v="2"/>
    <x v="2"/>
    <s v="Hyderabad"/>
    <x v="0"/>
    <s v="No"/>
    <n v="59"/>
    <n v="8"/>
    <n v="10"/>
    <s v="Not Promoted"/>
    <s v="Senior"/>
    <s v="Medium"/>
    <s v="Senior"/>
    <s v="D02"/>
    <s v="D02"/>
    <s v="Medium"/>
  </r>
  <r>
    <x v="223"/>
    <s v="Mehul Cherian"/>
    <x v="0"/>
    <n v="22"/>
    <x v="1"/>
    <x v="3"/>
    <s v="Graduate"/>
    <n v="0"/>
    <d v="2024-08-03T00:00:00"/>
    <n v="93493"/>
    <n v="20438"/>
    <n v="4"/>
    <x v="0"/>
    <s v="Noida"/>
    <x v="0"/>
    <s v="No"/>
    <n v="60"/>
    <n v="17"/>
    <n v="2"/>
    <s v="Promoted"/>
    <s v="Young"/>
    <s v="Executive"/>
    <s v="Fresher"/>
    <s v="D05"/>
    <s v="D05"/>
    <s v="Executive"/>
  </r>
  <r>
    <x v="224"/>
    <s v="Aarna Ben"/>
    <x v="0"/>
    <n v="38"/>
    <x v="2"/>
    <x v="17"/>
    <s v="M.Tech"/>
    <n v="14"/>
    <d v="2023-06-12T00:00:00"/>
    <n v="99976"/>
    <n v="21944"/>
    <n v="5"/>
    <x v="2"/>
    <s v="Chennai"/>
    <x v="1"/>
    <s v="No"/>
    <n v="7"/>
    <n v="12"/>
    <n v="8"/>
    <s v="Not Promoted"/>
    <s v="Mid-Age"/>
    <s v="Executive"/>
    <s v="Senior"/>
    <s v="D03"/>
    <s v="D03"/>
    <s v="Executive"/>
  </r>
  <r>
    <x v="225"/>
    <s v="Zara Sanghvi"/>
    <x v="1"/>
    <n v="37"/>
    <x v="2"/>
    <x v="7"/>
    <s v="MBA"/>
    <n v="16"/>
    <d v="2023-05-01T00:00:00"/>
    <n v="145695"/>
    <n v="11186"/>
    <n v="3"/>
    <x v="1"/>
    <s v="Noida"/>
    <x v="1"/>
    <s v="Yes"/>
    <n v="60"/>
    <n v="7"/>
    <n v="6"/>
    <s v="Not Promoted"/>
    <s v="Mid-Age"/>
    <s v="Executive"/>
    <s v="Senior"/>
    <s v="D03"/>
    <s v="D03"/>
    <s v="Executive"/>
  </r>
  <r>
    <x v="226"/>
    <s v="Dhruv Bajaj"/>
    <x v="0"/>
    <n v="50"/>
    <x v="4"/>
    <x v="16"/>
    <s v="B.Tech"/>
    <n v="27"/>
    <d v="2021-01-08T00:00:00"/>
    <n v="120525"/>
    <n v="17874"/>
    <n v="4"/>
    <x v="2"/>
    <s v="Noida"/>
    <x v="0"/>
    <s v="No"/>
    <n v="57"/>
    <n v="1"/>
    <n v="10"/>
    <s v="Promoted"/>
    <s v="Senior"/>
    <s v="Executive"/>
    <s v="Senior"/>
    <s v="D02"/>
    <s v="D02"/>
    <s v="Executive"/>
  </r>
  <r>
    <x v="227"/>
    <s v="Hridaan Kulkarni"/>
    <x v="0"/>
    <n v="26"/>
    <x v="1"/>
    <x v="13"/>
    <s v="Post Graduate"/>
    <n v="3"/>
    <d v="2023-09-07T00:00:00"/>
    <n v="77872"/>
    <n v="3888"/>
    <n v="2"/>
    <x v="0"/>
    <s v="Delhi"/>
    <x v="0"/>
    <s v="No"/>
    <n v="8"/>
    <n v="11"/>
    <n v="9"/>
    <s v="Promoted"/>
    <s v="Young"/>
    <s v="High"/>
    <s v="Junior"/>
    <s v="D05"/>
    <s v="D05"/>
    <s v="High"/>
  </r>
  <r>
    <x v="228"/>
    <s v="Zara Chander"/>
    <x v="1"/>
    <n v="39"/>
    <x v="0"/>
    <x v="0"/>
    <s v="M.Tech"/>
    <n v="16"/>
    <d v="2023-03-17T00:00:00"/>
    <n v="91207"/>
    <n v="16617"/>
    <n v="4"/>
    <x v="0"/>
    <s v="Noida"/>
    <x v="0"/>
    <s v="No"/>
    <n v="42"/>
    <n v="17"/>
    <n v="2"/>
    <s v="Not Promoted"/>
    <s v="Mid-Age"/>
    <s v="Executive"/>
    <s v="Senior"/>
    <s v="D06"/>
    <s v="D06"/>
    <s v="Executive"/>
  </r>
  <r>
    <x v="229"/>
    <s v="Adah Lata"/>
    <x v="0"/>
    <n v="32"/>
    <x v="2"/>
    <x v="17"/>
    <s v="Post Graduate"/>
    <n v="9"/>
    <d v="2019-01-06T00:00:00"/>
    <n v="62364"/>
    <n v="23213"/>
    <n v="1"/>
    <x v="0"/>
    <s v="Chennai"/>
    <x v="1"/>
    <s v="Yes"/>
    <n v="22"/>
    <n v="20"/>
    <n v="7"/>
    <s v="Not Promoted"/>
    <s v="Mid-Age"/>
    <s v="High"/>
    <s v="Mid-Level"/>
    <s v="D03"/>
    <s v="D03"/>
    <s v="High"/>
  </r>
  <r>
    <x v="230"/>
    <s v="Sana Gour"/>
    <x v="1"/>
    <n v="23"/>
    <x v="5"/>
    <x v="9"/>
    <s v="M.Tech"/>
    <n v="0"/>
    <d v="2018-02-06T00:00:00"/>
    <n v="87140"/>
    <n v="12009"/>
    <n v="2"/>
    <x v="2"/>
    <s v="Chennai"/>
    <x v="0"/>
    <s v="No"/>
    <n v="32"/>
    <n v="12"/>
    <n v="3"/>
    <s v="Promoted"/>
    <s v="Young"/>
    <s v="High"/>
    <s v="Fresher"/>
    <s v="D04"/>
    <s v="D04"/>
    <s v="High"/>
  </r>
  <r>
    <x v="231"/>
    <s v="Devansh Guha"/>
    <x v="1"/>
    <n v="38"/>
    <x v="2"/>
    <x v="17"/>
    <s v="M.Tech"/>
    <n v="16"/>
    <d v="2023-03-27T00:00:00"/>
    <n v="64602"/>
    <n v="23212"/>
    <n v="5"/>
    <x v="2"/>
    <s v="Pune"/>
    <x v="0"/>
    <s v="No"/>
    <n v="24"/>
    <n v="3"/>
    <n v="10"/>
    <s v="Promoted"/>
    <s v="Mid-Age"/>
    <s v="High"/>
    <s v="Senior"/>
    <s v="D03"/>
    <s v="D03"/>
    <s v="High"/>
  </r>
  <r>
    <x v="232"/>
    <s v="Dhruv Sinha"/>
    <x v="1"/>
    <n v="43"/>
    <x v="5"/>
    <x v="10"/>
    <s v="Post Graduate"/>
    <n v="20"/>
    <d v="2021-08-24T00:00:00"/>
    <n v="137917"/>
    <n v="6912"/>
    <n v="3"/>
    <x v="2"/>
    <s v="Noida"/>
    <x v="0"/>
    <s v="Yes"/>
    <n v="8"/>
    <n v="19"/>
    <n v="5"/>
    <s v="Not Promoted"/>
    <s v="Senior"/>
    <s v="Executive"/>
    <s v="Senior"/>
    <s v="D04"/>
    <s v="D04"/>
    <s v="Executive"/>
  </r>
  <r>
    <x v="233"/>
    <s v="Heer Shenoy"/>
    <x v="1"/>
    <n v="42"/>
    <x v="5"/>
    <x v="9"/>
    <s v="B.Tech"/>
    <n v="16"/>
    <d v="2019-07-28T00:00:00"/>
    <n v="119540"/>
    <n v="14722"/>
    <n v="1"/>
    <x v="2"/>
    <s v="Delhi"/>
    <x v="0"/>
    <s v="Yes"/>
    <n v="26"/>
    <n v="7"/>
    <n v="8"/>
    <s v="Not Promoted"/>
    <s v="Senior"/>
    <s v="Executive"/>
    <s v="Senior"/>
    <s v="D04"/>
    <s v="D04"/>
    <s v="Executive"/>
  </r>
  <r>
    <x v="234"/>
    <s v="Manjari Borde"/>
    <x v="0"/>
    <n v="52"/>
    <x v="0"/>
    <x v="12"/>
    <s v="MBA"/>
    <n v="26"/>
    <d v="2022-01-08T00:00:00"/>
    <n v="91494"/>
    <n v="5198"/>
    <n v="3"/>
    <x v="1"/>
    <s v="Mumbai"/>
    <x v="0"/>
    <s v="No"/>
    <n v="51"/>
    <n v="17"/>
    <n v="3"/>
    <s v="Not Promoted"/>
    <s v="Senior"/>
    <s v="Executive"/>
    <s v="Senior"/>
    <s v="D06"/>
    <s v="D06"/>
    <s v="Executive"/>
  </r>
  <r>
    <x v="235"/>
    <s v="Oorja Kala"/>
    <x v="1"/>
    <n v="43"/>
    <x v="4"/>
    <x v="6"/>
    <s v="MBA"/>
    <n v="17"/>
    <d v="2019-01-01T00:00:00"/>
    <n v="54131"/>
    <n v="10538"/>
    <n v="3"/>
    <x v="2"/>
    <s v="Bangalore"/>
    <x v="0"/>
    <s v="No"/>
    <n v="59"/>
    <n v="3"/>
    <n v="4"/>
    <s v="Not Promoted"/>
    <s v="Senior"/>
    <s v="Medium"/>
    <s v="Senior"/>
    <s v="D02"/>
    <s v="D02"/>
    <s v="Medium"/>
  </r>
  <r>
    <x v="236"/>
    <s v="Bhavin Bahri"/>
    <x v="0"/>
    <n v="26"/>
    <x v="5"/>
    <x v="10"/>
    <s v="Post Graduate"/>
    <n v="2"/>
    <d v="2020-03-07T00:00:00"/>
    <n v="90598"/>
    <n v="8563"/>
    <n v="1"/>
    <x v="1"/>
    <s v="Hyderabad"/>
    <x v="0"/>
    <s v="No"/>
    <n v="14"/>
    <n v="10"/>
    <n v="7"/>
    <s v="Not Promoted"/>
    <s v="Young"/>
    <s v="Executive"/>
    <s v="Fresher"/>
    <s v="D04"/>
    <s v="D04"/>
    <s v="Executive"/>
  </r>
  <r>
    <x v="237"/>
    <s v="Aarna Butala"/>
    <x v="1"/>
    <n v="27"/>
    <x v="0"/>
    <x v="0"/>
    <s v="Post Graduate"/>
    <n v="3"/>
    <d v="2021-09-24T00:00:00"/>
    <n v="107710"/>
    <n v="7524"/>
    <n v="2"/>
    <x v="2"/>
    <s v="Noida"/>
    <x v="0"/>
    <s v="Yes"/>
    <n v="36"/>
    <n v="2"/>
    <n v="6"/>
    <s v="Promoted"/>
    <s v="Young"/>
    <s v="Executive"/>
    <s v="Junior"/>
    <s v="D06"/>
    <s v="D06"/>
    <s v="Executive"/>
  </r>
  <r>
    <x v="238"/>
    <s v="Vanya Buch"/>
    <x v="0"/>
    <n v="49"/>
    <x v="4"/>
    <x v="6"/>
    <s v="MBA"/>
    <n v="23"/>
    <d v="2022-10-25T00:00:00"/>
    <n v="77873"/>
    <n v="2461"/>
    <n v="4"/>
    <x v="1"/>
    <s v="Noida"/>
    <x v="0"/>
    <s v="Yes"/>
    <n v="6"/>
    <n v="0"/>
    <n v="8"/>
    <s v="Promoted"/>
    <s v="Senior"/>
    <s v="High"/>
    <s v="Senior"/>
    <s v="D02"/>
    <s v="D02"/>
    <s v="High"/>
  </r>
  <r>
    <x v="239"/>
    <s v="Emir Vyas"/>
    <x v="0"/>
    <n v="37"/>
    <x v="0"/>
    <x v="12"/>
    <s v="Graduate"/>
    <n v="15"/>
    <d v="2021-11-11T00:00:00"/>
    <n v="65906"/>
    <n v="3498"/>
    <n v="2"/>
    <x v="1"/>
    <s v="Bangalore"/>
    <x v="0"/>
    <s v="No"/>
    <n v="51"/>
    <n v="16"/>
    <n v="2"/>
    <s v="Not Promoted"/>
    <s v="Mid-Age"/>
    <s v="High"/>
    <s v="Senior"/>
    <s v="D06"/>
    <s v="D06"/>
    <s v="High"/>
  </r>
  <r>
    <x v="240"/>
    <s v="Nirvaan Sampath"/>
    <x v="1"/>
    <n v="43"/>
    <x v="1"/>
    <x v="1"/>
    <s v="Graduate"/>
    <n v="19"/>
    <d v="2019-07-03T00:00:00"/>
    <n v="69922"/>
    <n v="9484"/>
    <n v="4"/>
    <x v="0"/>
    <s v="Chennai"/>
    <x v="0"/>
    <s v="Yes"/>
    <n v="18"/>
    <n v="0"/>
    <n v="6"/>
    <s v="Promoted"/>
    <s v="Senior"/>
    <s v="High"/>
    <s v="Senior"/>
    <s v="D05"/>
    <s v="D05"/>
    <s v="High"/>
  </r>
  <r>
    <x v="241"/>
    <s v="Akarsh Sharma"/>
    <x v="0"/>
    <n v="32"/>
    <x v="1"/>
    <x v="1"/>
    <s v="M.Tech"/>
    <n v="11"/>
    <d v="2022-02-10T00:00:00"/>
    <n v="118206"/>
    <n v="3571"/>
    <n v="1"/>
    <x v="2"/>
    <s v="Delhi"/>
    <x v="0"/>
    <s v="Yes"/>
    <n v="8"/>
    <n v="3"/>
    <n v="7"/>
    <s v="Not Promoted"/>
    <s v="Mid-Age"/>
    <s v="Executive"/>
    <s v="Senior"/>
    <s v="D05"/>
    <s v="D05"/>
    <s v="Executive"/>
  </r>
  <r>
    <x v="242"/>
    <s v="Kiaan Bali"/>
    <x v="0"/>
    <n v="46"/>
    <x v="5"/>
    <x v="15"/>
    <s v="MBA"/>
    <n v="25"/>
    <d v="2024-02-20T00:00:00"/>
    <n v="58126"/>
    <n v="15791"/>
    <n v="4"/>
    <x v="2"/>
    <s v="Delhi"/>
    <x v="0"/>
    <s v="No"/>
    <n v="44"/>
    <n v="19"/>
    <n v="3"/>
    <s v="Not Promoted"/>
    <s v="Senior"/>
    <s v="Medium"/>
    <s v="Senior"/>
    <s v="D04"/>
    <s v="D04"/>
    <s v="Medium"/>
  </r>
  <r>
    <x v="243"/>
    <s v="Rania Apte"/>
    <x v="1"/>
    <n v="48"/>
    <x v="0"/>
    <x v="0"/>
    <s v="Post Graduate"/>
    <n v="27"/>
    <d v="2023-09-27T00:00:00"/>
    <n v="119210"/>
    <n v="21955"/>
    <n v="5"/>
    <x v="0"/>
    <s v="Noida"/>
    <x v="0"/>
    <s v="No"/>
    <n v="58"/>
    <n v="16"/>
    <n v="2"/>
    <s v="Not Promoted"/>
    <s v="Senior"/>
    <s v="Executive"/>
    <s v="Senior"/>
    <s v="D06"/>
    <s v="D06"/>
    <s v="Executive"/>
  </r>
  <r>
    <x v="244"/>
    <s v="Biju Khurana"/>
    <x v="1"/>
    <n v="48"/>
    <x v="4"/>
    <x v="16"/>
    <s v="MBA"/>
    <n v="25"/>
    <d v="2019-10-19T00:00:00"/>
    <n v="30164"/>
    <n v="9684"/>
    <n v="5"/>
    <x v="0"/>
    <s v="Delhi"/>
    <x v="0"/>
    <s v="Yes"/>
    <n v="12"/>
    <n v="18"/>
    <n v="8"/>
    <s v="Not Promoted"/>
    <s v="Senior"/>
    <s v="Medium"/>
    <s v="Senior"/>
    <s v="D02"/>
    <s v="D02"/>
    <s v="Medium"/>
  </r>
  <r>
    <x v="245"/>
    <s v="Dhanuk Devan"/>
    <x v="1"/>
    <n v="31"/>
    <x v="0"/>
    <x v="11"/>
    <s v="MBA"/>
    <n v="10"/>
    <d v="2023-09-27T00:00:00"/>
    <n v="34836"/>
    <n v="17213"/>
    <n v="1"/>
    <x v="0"/>
    <s v="Delhi"/>
    <x v="0"/>
    <s v="Yes"/>
    <n v="60"/>
    <n v="1"/>
    <n v="5"/>
    <s v="Not Promoted"/>
    <s v="Mid-Age"/>
    <s v="Medium"/>
    <s v="Mid-Level"/>
    <s v="D06"/>
    <s v="D06"/>
    <s v="Medium"/>
  </r>
  <r>
    <x v="246"/>
    <s v="Arnav Grewal"/>
    <x v="0"/>
    <n v="42"/>
    <x v="2"/>
    <x v="17"/>
    <s v="MBA"/>
    <n v="18"/>
    <d v="2019-04-20T00:00:00"/>
    <n v="37451"/>
    <n v="13715"/>
    <n v="1"/>
    <x v="1"/>
    <s v="Pune"/>
    <x v="0"/>
    <s v="No"/>
    <n v="51"/>
    <n v="2"/>
    <n v="1"/>
    <s v="Not Promoted"/>
    <s v="Senior"/>
    <s v="Medium"/>
    <s v="Senior"/>
    <s v="D03"/>
    <s v="D03"/>
    <s v="Medium"/>
  </r>
  <r>
    <x v="247"/>
    <s v="Shayak Srinivas"/>
    <x v="1"/>
    <n v="33"/>
    <x v="2"/>
    <x v="17"/>
    <s v="B.Tech"/>
    <n v="12"/>
    <d v="2022-06-30T00:00:00"/>
    <n v="77461"/>
    <n v="23261"/>
    <n v="4"/>
    <x v="0"/>
    <s v="Delhi"/>
    <x v="0"/>
    <s v="Yes"/>
    <n v="49"/>
    <n v="1"/>
    <n v="5"/>
    <s v="Not Promoted"/>
    <s v="Mid-Age"/>
    <s v="High"/>
    <s v="Senior"/>
    <s v="D03"/>
    <s v="D03"/>
    <s v="High"/>
  </r>
  <r>
    <x v="248"/>
    <s v="Kimaya Hora"/>
    <x v="1"/>
    <n v="48"/>
    <x v="4"/>
    <x v="5"/>
    <s v="M.Tech"/>
    <n v="23"/>
    <d v="2023-06-01T00:00:00"/>
    <n v="130154"/>
    <n v="2944"/>
    <n v="5"/>
    <x v="2"/>
    <s v="Noida"/>
    <x v="0"/>
    <s v="Yes"/>
    <n v="35"/>
    <n v="15"/>
    <n v="8"/>
    <s v="Not Promoted"/>
    <s v="Senior"/>
    <s v="Executive"/>
    <s v="Senior"/>
    <s v="D02"/>
    <s v="D02"/>
    <s v="Executive"/>
  </r>
  <r>
    <x v="249"/>
    <s v="Jhanvi Apte"/>
    <x v="0"/>
    <n v="50"/>
    <x v="3"/>
    <x v="14"/>
    <s v="MBA"/>
    <n v="29"/>
    <d v="2018-09-17T00:00:00"/>
    <n v="59290"/>
    <n v="19009"/>
    <n v="3"/>
    <x v="2"/>
    <s v="Chennai"/>
    <x v="0"/>
    <s v="Yes"/>
    <n v="32"/>
    <n v="7"/>
    <n v="1"/>
    <s v="Not Promoted"/>
    <s v="Senior"/>
    <s v="Medium"/>
    <s v="Senior"/>
    <s v="D01"/>
    <s v="D01"/>
    <s v="Medium"/>
  </r>
  <r>
    <x v="250"/>
    <s v="Nayantara Chad"/>
    <x v="1"/>
    <n v="46"/>
    <x v="5"/>
    <x v="15"/>
    <s v="B.Tech"/>
    <n v="24"/>
    <d v="2024-04-05T00:00:00"/>
    <n v="141924"/>
    <n v="7419"/>
    <n v="5"/>
    <x v="0"/>
    <s v="Noida"/>
    <x v="1"/>
    <s v="No"/>
    <n v="25"/>
    <n v="7"/>
    <n v="1"/>
    <s v="Not Promoted"/>
    <s v="Senior"/>
    <s v="Executive"/>
    <s v="Senior"/>
    <s v="D04"/>
    <s v="D04"/>
    <s v="Executive"/>
  </r>
  <r>
    <x v="251"/>
    <s v="Khushi Chana"/>
    <x v="1"/>
    <n v="25"/>
    <x v="2"/>
    <x v="17"/>
    <s v="M.Tech"/>
    <n v="0"/>
    <d v="2020-07-01T00:00:00"/>
    <n v="97154"/>
    <n v="16683"/>
    <n v="4"/>
    <x v="0"/>
    <s v="Noida"/>
    <x v="0"/>
    <s v="No"/>
    <n v="33"/>
    <n v="10"/>
    <n v="7"/>
    <s v="Promoted"/>
    <s v="Young"/>
    <s v="Executive"/>
    <s v="Fresher"/>
    <s v="D03"/>
    <s v="D03"/>
    <s v="Executive"/>
  </r>
  <r>
    <x v="252"/>
    <s v="Ira Swaminathan"/>
    <x v="1"/>
    <n v="23"/>
    <x v="3"/>
    <x v="14"/>
    <s v="M.Tech"/>
    <n v="2"/>
    <d v="2022-07-11T00:00:00"/>
    <n v="79046"/>
    <n v="20426"/>
    <n v="1"/>
    <x v="0"/>
    <s v="Chennai"/>
    <x v="0"/>
    <s v="No"/>
    <n v="26"/>
    <n v="11"/>
    <n v="9"/>
    <s v="Not Promoted"/>
    <s v="Young"/>
    <s v="High"/>
    <s v="Fresher"/>
    <s v="D01"/>
    <s v="D01"/>
    <s v="High"/>
  </r>
  <r>
    <x v="253"/>
    <s v="Madhup Golla"/>
    <x v="1"/>
    <n v="51"/>
    <x v="3"/>
    <x v="4"/>
    <s v="Graduate"/>
    <n v="28"/>
    <d v="2024-04-13T00:00:00"/>
    <n v="125586"/>
    <n v="5192"/>
    <n v="5"/>
    <x v="2"/>
    <s v="Mumbai"/>
    <x v="0"/>
    <s v="Yes"/>
    <n v="26"/>
    <n v="11"/>
    <n v="10"/>
    <s v="Not Promoted"/>
    <s v="Senior"/>
    <s v="Executive"/>
    <s v="Senior"/>
    <s v="D01"/>
    <s v="D01"/>
    <s v="Executive"/>
  </r>
  <r>
    <x v="254"/>
    <s v="Miraya Kalla"/>
    <x v="1"/>
    <n v="55"/>
    <x v="0"/>
    <x v="11"/>
    <s v="Graduate"/>
    <n v="32"/>
    <d v="2019-03-12T00:00:00"/>
    <n v="31000"/>
    <n v="10332"/>
    <n v="2"/>
    <x v="2"/>
    <s v="Mumbai"/>
    <x v="1"/>
    <s v="Yes"/>
    <n v="12"/>
    <n v="12"/>
    <n v="8"/>
    <s v="Not Promoted"/>
    <s v="Senior"/>
    <s v="Medium"/>
    <s v="Senior"/>
    <s v="D06"/>
    <s v="D06"/>
    <s v="Medium"/>
  </r>
  <r>
    <x v="255"/>
    <s v="Prisha Kalla"/>
    <x v="0"/>
    <n v="34"/>
    <x v="4"/>
    <x v="16"/>
    <s v="B.Tech"/>
    <n v="8"/>
    <d v="2021-10-16T00:00:00"/>
    <n v="39125"/>
    <n v="16987"/>
    <n v="4"/>
    <x v="2"/>
    <s v="Pune"/>
    <x v="0"/>
    <s v="Yes"/>
    <n v="36"/>
    <n v="0"/>
    <n v="1"/>
    <s v="Not Promoted"/>
    <s v="Mid-Age"/>
    <s v="Medium"/>
    <s v="Mid-Level"/>
    <s v="D02"/>
    <s v="D02"/>
    <s v="Medium"/>
  </r>
  <r>
    <x v="256"/>
    <s v="Sara Chandran"/>
    <x v="0"/>
    <n v="25"/>
    <x v="1"/>
    <x v="1"/>
    <s v="M.Tech"/>
    <n v="0"/>
    <d v="2022-11-08T00:00:00"/>
    <n v="134945"/>
    <n v="7690"/>
    <n v="5"/>
    <x v="2"/>
    <s v="Noida"/>
    <x v="0"/>
    <s v="Yes"/>
    <n v="11"/>
    <n v="12"/>
    <n v="8"/>
    <s v="Not Promoted"/>
    <s v="Young"/>
    <s v="Executive"/>
    <s v="Fresher"/>
    <s v="D05"/>
    <s v="D05"/>
    <s v="Executive"/>
  </r>
  <r>
    <x v="257"/>
    <s v="Dhanush Thaman"/>
    <x v="1"/>
    <n v="42"/>
    <x v="0"/>
    <x v="12"/>
    <s v="B.Tech"/>
    <n v="17"/>
    <d v="2022-04-25T00:00:00"/>
    <n v="79875"/>
    <n v="6370"/>
    <n v="5"/>
    <x v="0"/>
    <s v="Hyderabad"/>
    <x v="0"/>
    <s v="No"/>
    <n v="58"/>
    <n v="17"/>
    <n v="4"/>
    <s v="Not Promoted"/>
    <s v="Senior"/>
    <s v="High"/>
    <s v="Senior"/>
    <s v="D06"/>
    <s v="D06"/>
    <s v="High"/>
  </r>
  <r>
    <x v="258"/>
    <s v="Samaira Dar"/>
    <x v="0"/>
    <n v="35"/>
    <x v="2"/>
    <x v="7"/>
    <s v="M.Tech"/>
    <n v="13"/>
    <d v="2020-05-08T00:00:00"/>
    <n v="106810"/>
    <n v="19776"/>
    <n v="3"/>
    <x v="2"/>
    <s v="Chennai"/>
    <x v="0"/>
    <s v="No"/>
    <n v="50"/>
    <n v="3"/>
    <n v="6"/>
    <s v="Promoted"/>
    <s v="Mid-Age"/>
    <s v="Executive"/>
    <s v="Senior"/>
    <s v="D03"/>
    <s v="D03"/>
    <s v="Executive"/>
  </r>
  <r>
    <x v="259"/>
    <s v="Zoya Wagle"/>
    <x v="0"/>
    <n v="52"/>
    <x v="2"/>
    <x v="7"/>
    <s v="M.Tech"/>
    <n v="27"/>
    <d v="2024-05-26T00:00:00"/>
    <n v="148558"/>
    <n v="5488"/>
    <n v="4"/>
    <x v="0"/>
    <s v="Hyderabad"/>
    <x v="0"/>
    <s v="Yes"/>
    <n v="8"/>
    <n v="1"/>
    <n v="9"/>
    <s v="Not Promoted"/>
    <s v="Senior"/>
    <s v="Executive"/>
    <s v="Senior"/>
    <s v="D03"/>
    <s v="D03"/>
    <s v="Executive"/>
  </r>
  <r>
    <x v="260"/>
    <s v="Veer Ghosh"/>
    <x v="1"/>
    <n v="32"/>
    <x v="4"/>
    <x v="16"/>
    <s v="B.Tech"/>
    <n v="9"/>
    <d v="2020-10-23T00:00:00"/>
    <n v="44192"/>
    <n v="5358"/>
    <n v="1"/>
    <x v="2"/>
    <s v="Noida"/>
    <x v="0"/>
    <s v="Yes"/>
    <n v="52"/>
    <n v="20"/>
    <n v="5"/>
    <s v="Not Promoted"/>
    <s v="Mid-Age"/>
    <s v="Medium"/>
    <s v="Mid-Level"/>
    <s v="D02"/>
    <s v="D02"/>
    <s v="Medium"/>
  </r>
  <r>
    <x v="261"/>
    <s v="Anay Mann"/>
    <x v="1"/>
    <n v="37"/>
    <x v="1"/>
    <x v="3"/>
    <s v="M.Tech"/>
    <n v="12"/>
    <d v="2021-03-24T00:00:00"/>
    <n v="115824"/>
    <n v="3762"/>
    <n v="1"/>
    <x v="0"/>
    <s v="Chennai"/>
    <x v="0"/>
    <s v="No"/>
    <n v="17"/>
    <n v="19"/>
    <n v="7"/>
    <s v="Not Promoted"/>
    <s v="Mid-Age"/>
    <s v="Executive"/>
    <s v="Senior"/>
    <s v="D05"/>
    <s v="D05"/>
    <s v="Executive"/>
  </r>
  <r>
    <x v="262"/>
    <s v="Jiya Manda"/>
    <x v="1"/>
    <n v="45"/>
    <x v="5"/>
    <x v="10"/>
    <s v="B.Tech"/>
    <n v="20"/>
    <d v="2024-02-17T00:00:00"/>
    <n v="121790"/>
    <n v="7813"/>
    <n v="5"/>
    <x v="2"/>
    <s v="Delhi"/>
    <x v="0"/>
    <s v="Yes"/>
    <n v="16"/>
    <n v="16"/>
    <n v="4"/>
    <s v="Not Promoted"/>
    <s v="Senior"/>
    <s v="Executive"/>
    <s v="Senior"/>
    <s v="D04"/>
    <s v="D04"/>
    <s v="Executive"/>
  </r>
  <r>
    <x v="263"/>
    <s v="Sara Das"/>
    <x v="0"/>
    <n v="24"/>
    <x v="3"/>
    <x v="14"/>
    <s v="MBA"/>
    <n v="0"/>
    <d v="2021-02-17T00:00:00"/>
    <n v="97954"/>
    <n v="17280"/>
    <n v="3"/>
    <x v="2"/>
    <s v="Mumbai"/>
    <x v="0"/>
    <s v="Yes"/>
    <n v="14"/>
    <n v="10"/>
    <n v="3"/>
    <s v="Not Promoted"/>
    <s v="Young"/>
    <s v="Executive"/>
    <s v="Fresher"/>
    <s v="D01"/>
    <s v="D01"/>
    <s v="Executive"/>
  </r>
  <r>
    <x v="264"/>
    <s v="Dhanush Choudhury"/>
    <x v="0"/>
    <n v="41"/>
    <x v="1"/>
    <x v="13"/>
    <s v="Post Graduate"/>
    <n v="17"/>
    <d v="2024-06-03T00:00:00"/>
    <n v="97110"/>
    <n v="19059"/>
    <n v="3"/>
    <x v="0"/>
    <s v="Noida"/>
    <x v="0"/>
    <s v="Yes"/>
    <n v="31"/>
    <n v="17"/>
    <n v="2"/>
    <s v="Not Promoted"/>
    <s v="Senior"/>
    <s v="Executive"/>
    <s v="Senior"/>
    <s v="D05"/>
    <s v="D05"/>
    <s v="Executive"/>
  </r>
  <r>
    <x v="265"/>
    <s v="Kismat Bhatt"/>
    <x v="1"/>
    <n v="27"/>
    <x v="1"/>
    <x v="3"/>
    <s v="M.Tech"/>
    <n v="4"/>
    <d v="2020-06-25T00:00:00"/>
    <n v="140788"/>
    <n v="23276"/>
    <n v="2"/>
    <x v="0"/>
    <s v="Delhi"/>
    <x v="0"/>
    <s v="No"/>
    <n v="33"/>
    <n v="7"/>
    <n v="6"/>
    <s v="Not Promoted"/>
    <s v="Young"/>
    <s v="Executive"/>
    <s v="Junior"/>
    <s v="D05"/>
    <s v="D05"/>
    <s v="Executive"/>
  </r>
  <r>
    <x v="266"/>
    <s v="Neysa Dada"/>
    <x v="0"/>
    <n v="37"/>
    <x v="0"/>
    <x v="12"/>
    <s v="M.Tech"/>
    <n v="16"/>
    <d v="2021-08-07T00:00:00"/>
    <n v="74987"/>
    <n v="14286"/>
    <n v="1"/>
    <x v="2"/>
    <s v="Noida"/>
    <x v="0"/>
    <s v="No"/>
    <n v="36"/>
    <n v="1"/>
    <n v="7"/>
    <s v="Not Promoted"/>
    <s v="Mid-Age"/>
    <s v="High"/>
    <s v="Senior"/>
    <s v="D06"/>
    <s v="D06"/>
    <s v="High"/>
  </r>
  <r>
    <x v="267"/>
    <s v="Anvi Kant"/>
    <x v="0"/>
    <n v="34"/>
    <x v="2"/>
    <x v="7"/>
    <s v="Graduate"/>
    <n v="11"/>
    <d v="2023-10-06T00:00:00"/>
    <n v="35793"/>
    <n v="8906"/>
    <n v="1"/>
    <x v="2"/>
    <s v="Chennai"/>
    <x v="0"/>
    <s v="Yes"/>
    <n v="60"/>
    <n v="13"/>
    <n v="3"/>
    <s v="Not Promoted"/>
    <s v="Mid-Age"/>
    <s v="Medium"/>
    <s v="Senior"/>
    <s v="D03"/>
    <s v="D03"/>
    <s v="Medium"/>
  </r>
  <r>
    <x v="268"/>
    <s v="Anahi Sehgal"/>
    <x v="0"/>
    <n v="49"/>
    <x v="3"/>
    <x v="4"/>
    <s v="Graduate"/>
    <n v="23"/>
    <d v="2018-10-23T00:00:00"/>
    <n v="122896"/>
    <n v="3778"/>
    <n v="2"/>
    <x v="0"/>
    <s v="Noida"/>
    <x v="0"/>
    <s v="No"/>
    <n v="40"/>
    <n v="2"/>
    <n v="1"/>
    <s v="Not Promoted"/>
    <s v="Senior"/>
    <s v="Executive"/>
    <s v="Senior"/>
    <s v="D01"/>
    <s v="D01"/>
    <s v="Executive"/>
  </r>
  <r>
    <x v="269"/>
    <s v="Sara Buch"/>
    <x v="0"/>
    <n v="38"/>
    <x v="1"/>
    <x v="13"/>
    <s v="M.Tech"/>
    <n v="14"/>
    <d v="2022-05-09T00:00:00"/>
    <n v="84129"/>
    <n v="2193"/>
    <n v="4"/>
    <x v="2"/>
    <s v="Chennai"/>
    <x v="0"/>
    <s v="Yes"/>
    <n v="53"/>
    <n v="18"/>
    <n v="7"/>
    <s v="Not Promoted"/>
    <s v="Mid-Age"/>
    <s v="High"/>
    <s v="Senior"/>
    <s v="D05"/>
    <s v="D05"/>
    <s v="High"/>
  </r>
  <r>
    <x v="270"/>
    <s v="Dhanuk Konda"/>
    <x v="1"/>
    <n v="26"/>
    <x v="3"/>
    <x v="8"/>
    <s v="B.Tech"/>
    <n v="3"/>
    <d v="2023-08-22T00:00:00"/>
    <n v="38911"/>
    <n v="14947"/>
    <n v="3"/>
    <x v="2"/>
    <s v="Delhi"/>
    <x v="0"/>
    <s v="No"/>
    <n v="15"/>
    <n v="17"/>
    <n v="5"/>
    <s v="Not Promoted"/>
    <s v="Young"/>
    <s v="Medium"/>
    <s v="Junior"/>
    <s v="D01"/>
    <s v="D01"/>
    <s v="Medium"/>
  </r>
  <r>
    <x v="271"/>
    <s v="Vivaan Viswanathan"/>
    <x v="1"/>
    <n v="47"/>
    <x v="4"/>
    <x v="5"/>
    <s v="Graduate"/>
    <n v="22"/>
    <d v="2021-04-23T00:00:00"/>
    <n v="108105"/>
    <n v="20137"/>
    <n v="2"/>
    <x v="2"/>
    <s v="Mumbai"/>
    <x v="0"/>
    <s v="Yes"/>
    <n v="7"/>
    <n v="0"/>
    <n v="5"/>
    <s v="Not Promoted"/>
    <s v="Senior"/>
    <s v="Executive"/>
    <s v="Senior"/>
    <s v="D02"/>
    <s v="D02"/>
    <s v="Executive"/>
  </r>
  <r>
    <x v="272"/>
    <s v="Taran Butala"/>
    <x v="1"/>
    <n v="47"/>
    <x v="1"/>
    <x v="1"/>
    <s v="Post Graduate"/>
    <n v="22"/>
    <d v="2024-02-21T00:00:00"/>
    <n v="149122"/>
    <n v="15521"/>
    <n v="1"/>
    <x v="2"/>
    <s v="Noida"/>
    <x v="0"/>
    <s v="Yes"/>
    <n v="15"/>
    <n v="5"/>
    <n v="5"/>
    <s v="Not Promoted"/>
    <s v="Senior"/>
    <s v="Executive"/>
    <s v="Senior"/>
    <s v="D05"/>
    <s v="D05"/>
    <s v="Executive"/>
  </r>
  <r>
    <x v="273"/>
    <s v="Priyansh Sen"/>
    <x v="1"/>
    <n v="38"/>
    <x v="4"/>
    <x v="6"/>
    <s v="M.Tech"/>
    <n v="16"/>
    <d v="2019-04-15T00:00:00"/>
    <n v="48770"/>
    <n v="4396"/>
    <n v="5"/>
    <x v="1"/>
    <s v="Chennai"/>
    <x v="0"/>
    <s v="Yes"/>
    <n v="21"/>
    <n v="3"/>
    <n v="1"/>
    <s v="Not Promoted"/>
    <s v="Mid-Age"/>
    <s v="Medium"/>
    <s v="Senior"/>
    <s v="D02"/>
    <s v="D02"/>
    <s v="Medium"/>
  </r>
  <r>
    <x v="274"/>
    <s v="Divit Gandhi"/>
    <x v="0"/>
    <n v="53"/>
    <x v="4"/>
    <x v="6"/>
    <s v="MBA"/>
    <n v="30"/>
    <d v="2022-01-02T00:00:00"/>
    <n v="41805"/>
    <n v="17920"/>
    <n v="2"/>
    <x v="1"/>
    <s v="Bangalore"/>
    <x v="0"/>
    <s v="No"/>
    <n v="49"/>
    <n v="18"/>
    <n v="2"/>
    <s v="Promoted"/>
    <s v="Senior"/>
    <s v="Medium"/>
    <s v="Senior"/>
    <s v="D02"/>
    <s v="D02"/>
    <s v="Medium"/>
  </r>
  <r>
    <x v="275"/>
    <s v="Tejas Dhar"/>
    <x v="1"/>
    <n v="45"/>
    <x v="4"/>
    <x v="6"/>
    <s v="MBA"/>
    <n v="22"/>
    <d v="2022-10-21T00:00:00"/>
    <n v="47103"/>
    <n v="13779"/>
    <n v="1"/>
    <x v="0"/>
    <s v="Chennai"/>
    <x v="0"/>
    <s v="No"/>
    <n v="35"/>
    <n v="14"/>
    <n v="6"/>
    <s v="Not Promoted"/>
    <s v="Senior"/>
    <s v="Medium"/>
    <s v="Senior"/>
    <s v="D02"/>
    <s v="D02"/>
    <s v="Medium"/>
  </r>
  <r>
    <x v="276"/>
    <s v="Zara Lata"/>
    <x v="0"/>
    <n v="41"/>
    <x v="5"/>
    <x v="15"/>
    <s v="M.Tech"/>
    <n v="17"/>
    <d v="2024-03-09T00:00:00"/>
    <n v="39264"/>
    <n v="8436"/>
    <n v="2"/>
    <x v="1"/>
    <s v="Chennai"/>
    <x v="1"/>
    <s v="Yes"/>
    <n v="51"/>
    <n v="2"/>
    <n v="10"/>
    <s v="Not Promoted"/>
    <s v="Senior"/>
    <s v="Medium"/>
    <s v="Senior"/>
    <s v="D04"/>
    <s v="D04"/>
    <s v="Medium"/>
  </r>
  <r>
    <x v="277"/>
    <s v="Saira Rastogi"/>
    <x v="1"/>
    <n v="23"/>
    <x v="3"/>
    <x v="8"/>
    <s v="Post Graduate"/>
    <n v="0"/>
    <d v="2024-06-29T00:00:00"/>
    <n v="78101"/>
    <n v="13987"/>
    <n v="5"/>
    <x v="1"/>
    <s v="Mumbai"/>
    <x v="0"/>
    <s v="No"/>
    <n v="13"/>
    <n v="14"/>
    <n v="4"/>
    <s v="Not Promoted"/>
    <s v="Young"/>
    <s v="High"/>
    <s v="Fresher"/>
    <s v="D01"/>
    <s v="D01"/>
    <s v="High"/>
  </r>
  <r>
    <x v="278"/>
    <s v="Kismat D’Alia"/>
    <x v="0"/>
    <n v="27"/>
    <x v="1"/>
    <x v="1"/>
    <s v="M.Tech"/>
    <n v="3"/>
    <d v="2022-01-30T00:00:00"/>
    <n v="90820"/>
    <n v="6599"/>
    <n v="1"/>
    <x v="1"/>
    <s v="Mumbai"/>
    <x v="0"/>
    <s v="Yes"/>
    <n v="41"/>
    <n v="18"/>
    <n v="4"/>
    <s v="Not Promoted"/>
    <s v="Young"/>
    <s v="Executive"/>
    <s v="Junior"/>
    <s v="D05"/>
    <s v="D05"/>
    <s v="Executive"/>
  </r>
  <r>
    <x v="279"/>
    <s v="Vritika Bora"/>
    <x v="0"/>
    <n v="52"/>
    <x v="0"/>
    <x v="0"/>
    <s v="Post Graduate"/>
    <n v="29"/>
    <d v="2018-06-15T00:00:00"/>
    <n v="53681"/>
    <n v="18970"/>
    <n v="4"/>
    <x v="1"/>
    <s v="Hyderabad"/>
    <x v="1"/>
    <s v="No"/>
    <n v="34"/>
    <n v="1"/>
    <n v="4"/>
    <s v="Not Promoted"/>
    <s v="Senior"/>
    <s v="Medium"/>
    <s v="Senior"/>
    <s v="D06"/>
    <s v="D06"/>
    <s v="Medium"/>
  </r>
  <r>
    <x v="280"/>
    <s v="Pari Andra"/>
    <x v="1"/>
    <n v="42"/>
    <x v="3"/>
    <x v="8"/>
    <s v="B.Tech"/>
    <n v="21"/>
    <d v="2023-11-06T00:00:00"/>
    <n v="108042"/>
    <n v="13970"/>
    <n v="3"/>
    <x v="2"/>
    <s v="Chennai"/>
    <x v="0"/>
    <s v="Yes"/>
    <n v="38"/>
    <n v="8"/>
    <n v="5"/>
    <s v="Not Promoted"/>
    <s v="Senior"/>
    <s v="Executive"/>
    <s v="Senior"/>
    <s v="D01"/>
    <s v="D01"/>
    <s v="Executive"/>
  </r>
  <r>
    <x v="281"/>
    <s v="Yuvaan Kothari"/>
    <x v="0"/>
    <n v="55"/>
    <x v="5"/>
    <x v="10"/>
    <s v="M.Tech"/>
    <n v="31"/>
    <d v="2021-12-16T00:00:00"/>
    <n v="132116"/>
    <n v="6553"/>
    <n v="3"/>
    <x v="1"/>
    <s v="Mumbai"/>
    <x v="0"/>
    <s v="Yes"/>
    <n v="9"/>
    <n v="16"/>
    <n v="8"/>
    <s v="Not Promoted"/>
    <s v="Senior"/>
    <s v="Executive"/>
    <s v="Senior"/>
    <s v="D04"/>
    <s v="D04"/>
    <s v="Executive"/>
  </r>
  <r>
    <x v="282"/>
    <s v="Rania Chawla"/>
    <x v="0"/>
    <n v="35"/>
    <x v="0"/>
    <x v="11"/>
    <s v="B.Tech"/>
    <n v="13"/>
    <d v="2020-02-05T00:00:00"/>
    <n v="45625"/>
    <n v="12820"/>
    <n v="3"/>
    <x v="2"/>
    <s v="Delhi"/>
    <x v="0"/>
    <s v="No"/>
    <n v="48"/>
    <n v="15"/>
    <n v="10"/>
    <s v="Promoted"/>
    <s v="Mid-Age"/>
    <s v="Medium"/>
    <s v="Senior"/>
    <s v="D06"/>
    <s v="D06"/>
    <s v="Medium"/>
  </r>
  <r>
    <x v="283"/>
    <s v="Misha Hayre"/>
    <x v="0"/>
    <n v="32"/>
    <x v="5"/>
    <x v="10"/>
    <s v="M.Tech"/>
    <n v="6"/>
    <d v="2022-08-11T00:00:00"/>
    <n v="27942"/>
    <n v="3284"/>
    <n v="2"/>
    <x v="2"/>
    <s v="Mumbai"/>
    <x v="1"/>
    <s v="Yes"/>
    <n v="15"/>
    <n v="8"/>
    <n v="1"/>
    <s v="Not Promoted"/>
    <s v="Mid-Age"/>
    <s v="Low"/>
    <s v="Mid-Level"/>
    <s v="D04"/>
    <s v="D04"/>
    <s v="Low"/>
  </r>
  <r>
    <x v="284"/>
    <s v="Rania Kade"/>
    <x v="1"/>
    <n v="47"/>
    <x v="4"/>
    <x v="6"/>
    <s v="B.Tech"/>
    <n v="22"/>
    <d v="2024-04-27T00:00:00"/>
    <n v="108574"/>
    <n v="7589"/>
    <n v="1"/>
    <x v="0"/>
    <s v="Noida"/>
    <x v="0"/>
    <s v="No"/>
    <n v="43"/>
    <n v="4"/>
    <n v="5"/>
    <s v="Not Promoted"/>
    <s v="Senior"/>
    <s v="Executive"/>
    <s v="Senior"/>
    <s v="D02"/>
    <s v="D02"/>
    <s v="Executive"/>
  </r>
  <r>
    <x v="285"/>
    <s v="Abram Sabharwal"/>
    <x v="1"/>
    <n v="54"/>
    <x v="1"/>
    <x v="13"/>
    <s v="B.Tech"/>
    <n v="31"/>
    <d v="2019-11-18T00:00:00"/>
    <n v="119920"/>
    <n v="6332"/>
    <n v="3"/>
    <x v="0"/>
    <s v="Delhi"/>
    <x v="0"/>
    <s v="Yes"/>
    <n v="38"/>
    <n v="16"/>
    <n v="8"/>
    <s v="Promoted"/>
    <s v="Senior"/>
    <s v="Executive"/>
    <s v="Senior"/>
    <s v="D05"/>
    <s v="D05"/>
    <s v="Executive"/>
  </r>
  <r>
    <x v="286"/>
    <s v="Vritika Kade"/>
    <x v="0"/>
    <n v="31"/>
    <x v="0"/>
    <x v="11"/>
    <s v="Graduate"/>
    <n v="6"/>
    <d v="2019-01-30T00:00:00"/>
    <n v="48255"/>
    <n v="17802"/>
    <n v="4"/>
    <x v="2"/>
    <s v="Mumbai"/>
    <x v="0"/>
    <s v="Yes"/>
    <n v="54"/>
    <n v="20"/>
    <n v="10"/>
    <s v="Not Promoted"/>
    <s v="Mid-Age"/>
    <s v="Medium"/>
    <s v="Mid-Level"/>
    <s v="D06"/>
    <s v="D06"/>
    <s v="Medium"/>
  </r>
  <r>
    <x v="287"/>
    <s v="Rati Rao"/>
    <x v="1"/>
    <n v="48"/>
    <x v="5"/>
    <x v="9"/>
    <s v="MBA"/>
    <n v="25"/>
    <d v="2018-06-27T00:00:00"/>
    <n v="116441"/>
    <n v="21301"/>
    <n v="5"/>
    <x v="2"/>
    <s v="Noida"/>
    <x v="0"/>
    <s v="Yes"/>
    <n v="32"/>
    <n v="4"/>
    <n v="7"/>
    <s v="Not Promoted"/>
    <s v="Senior"/>
    <s v="Executive"/>
    <s v="Senior"/>
    <s v="D04"/>
    <s v="D04"/>
    <s v="Executive"/>
  </r>
  <r>
    <x v="288"/>
    <s v="Shamik Hayre"/>
    <x v="0"/>
    <n v="36"/>
    <x v="2"/>
    <x v="17"/>
    <s v="M.Tech"/>
    <n v="15"/>
    <d v="2021-03-06T00:00:00"/>
    <n v="103419"/>
    <n v="19122"/>
    <n v="5"/>
    <x v="0"/>
    <s v="Pune"/>
    <x v="0"/>
    <s v="Yes"/>
    <n v="29"/>
    <n v="20"/>
    <n v="7"/>
    <s v="Promoted"/>
    <s v="Mid-Age"/>
    <s v="Executive"/>
    <s v="Senior"/>
    <s v="D03"/>
    <s v="D03"/>
    <s v="Executive"/>
  </r>
  <r>
    <x v="289"/>
    <s v="Fateh Karnik"/>
    <x v="1"/>
    <n v="42"/>
    <x v="4"/>
    <x v="6"/>
    <s v="M.Tech"/>
    <n v="18"/>
    <d v="2022-01-23T00:00:00"/>
    <n v="38970"/>
    <n v="13981"/>
    <n v="2"/>
    <x v="2"/>
    <s v="Bangalore"/>
    <x v="0"/>
    <s v="No"/>
    <n v="53"/>
    <n v="6"/>
    <n v="7"/>
    <s v="Not Promoted"/>
    <s v="Senior"/>
    <s v="Medium"/>
    <s v="Senior"/>
    <s v="D02"/>
    <s v="D02"/>
    <s v="Medium"/>
  </r>
  <r>
    <x v="290"/>
    <s v="Mahika Sahni"/>
    <x v="1"/>
    <n v="52"/>
    <x v="5"/>
    <x v="9"/>
    <s v="B.Tech"/>
    <n v="30"/>
    <d v="2022-02-25T00:00:00"/>
    <n v="98281"/>
    <n v="6524"/>
    <n v="5"/>
    <x v="2"/>
    <s v="Delhi"/>
    <x v="0"/>
    <s v="Yes"/>
    <n v="33"/>
    <n v="5"/>
    <n v="8"/>
    <s v="Not Promoted"/>
    <s v="Senior"/>
    <s v="Executive"/>
    <s v="Senior"/>
    <s v="D04"/>
    <s v="D04"/>
    <s v="Executive"/>
  </r>
  <r>
    <x v="291"/>
    <s v="Nayantara Rastogi"/>
    <x v="0"/>
    <n v="54"/>
    <x v="3"/>
    <x v="4"/>
    <s v="B.Tech"/>
    <n v="30"/>
    <d v="2021-10-18T00:00:00"/>
    <n v="129969"/>
    <n v="22836"/>
    <n v="5"/>
    <x v="0"/>
    <s v="Noida"/>
    <x v="0"/>
    <s v="Yes"/>
    <n v="57"/>
    <n v="4"/>
    <n v="10"/>
    <s v="Not Promoted"/>
    <s v="Senior"/>
    <s v="Executive"/>
    <s v="Senior"/>
    <s v="D01"/>
    <s v="D01"/>
    <s v="Executive"/>
  </r>
  <r>
    <x v="292"/>
    <s v="Tarini Hora"/>
    <x v="1"/>
    <n v="49"/>
    <x v="5"/>
    <x v="9"/>
    <s v="B.Tech"/>
    <n v="28"/>
    <d v="2018-09-20T00:00:00"/>
    <n v="59483"/>
    <n v="22118"/>
    <n v="2"/>
    <x v="2"/>
    <s v="Pune"/>
    <x v="1"/>
    <s v="No"/>
    <n v="50"/>
    <n v="19"/>
    <n v="6"/>
    <s v="Promoted"/>
    <s v="Senior"/>
    <s v="Medium"/>
    <s v="Senior"/>
    <s v="D04"/>
    <s v="D04"/>
    <s v="Medium"/>
  </r>
  <r>
    <x v="293"/>
    <s v="Arhaan Kibe"/>
    <x v="0"/>
    <n v="53"/>
    <x v="3"/>
    <x v="4"/>
    <s v="M.Tech"/>
    <n v="29"/>
    <d v="2018-02-13T00:00:00"/>
    <n v="51438"/>
    <n v="7553"/>
    <n v="5"/>
    <x v="2"/>
    <s v="Delhi"/>
    <x v="0"/>
    <s v="No"/>
    <n v="20"/>
    <n v="20"/>
    <n v="5"/>
    <s v="Not Promoted"/>
    <s v="Senior"/>
    <s v="Medium"/>
    <s v="Senior"/>
    <s v="D01"/>
    <s v="D01"/>
    <s v="Medium"/>
  </r>
  <r>
    <x v="294"/>
    <s v="Devansh Mann"/>
    <x v="0"/>
    <n v="27"/>
    <x v="3"/>
    <x v="4"/>
    <s v="Graduate"/>
    <n v="4"/>
    <d v="2022-06-25T00:00:00"/>
    <n v="71285"/>
    <n v="20009"/>
    <n v="4"/>
    <x v="1"/>
    <s v="Chennai"/>
    <x v="0"/>
    <s v="No"/>
    <n v="27"/>
    <n v="8"/>
    <n v="7"/>
    <s v="Not Promoted"/>
    <s v="Young"/>
    <s v="High"/>
    <s v="Junior"/>
    <s v="D01"/>
    <s v="D01"/>
    <s v="High"/>
  </r>
  <r>
    <x v="295"/>
    <s v="Divit Thakkar"/>
    <x v="0"/>
    <n v="34"/>
    <x v="4"/>
    <x v="6"/>
    <s v="M.Tech"/>
    <n v="10"/>
    <d v="2022-07-13T00:00:00"/>
    <n v="100354"/>
    <n v="11642"/>
    <n v="1"/>
    <x v="1"/>
    <s v="Delhi"/>
    <x v="0"/>
    <s v="No"/>
    <n v="39"/>
    <n v="18"/>
    <n v="5"/>
    <s v="Not Promoted"/>
    <s v="Mid-Age"/>
    <s v="Executive"/>
    <s v="Mid-Level"/>
    <s v="D02"/>
    <s v="D02"/>
    <s v="Executive"/>
  </r>
  <r>
    <x v="296"/>
    <s v="Aarav Kulkarni"/>
    <x v="1"/>
    <n v="50"/>
    <x v="2"/>
    <x v="7"/>
    <s v="M.Tech"/>
    <n v="26"/>
    <d v="2024-04-25T00:00:00"/>
    <n v="88390"/>
    <n v="2896"/>
    <n v="2"/>
    <x v="1"/>
    <s v="Delhi"/>
    <x v="0"/>
    <s v="No"/>
    <n v="9"/>
    <n v="12"/>
    <n v="6"/>
    <s v="Not Promoted"/>
    <s v="Senior"/>
    <s v="High"/>
    <s v="Senior"/>
    <s v="D03"/>
    <s v="D03"/>
    <s v="High"/>
  </r>
  <r>
    <x v="297"/>
    <s v="Drishya Chhabra"/>
    <x v="0"/>
    <n v="36"/>
    <x v="0"/>
    <x v="0"/>
    <s v="MBA"/>
    <n v="13"/>
    <d v="2022-08-17T00:00:00"/>
    <n v="71281"/>
    <n v="5047"/>
    <n v="5"/>
    <x v="1"/>
    <s v="Chennai"/>
    <x v="1"/>
    <s v="No"/>
    <n v="9"/>
    <n v="17"/>
    <n v="9"/>
    <s v="Not Promoted"/>
    <s v="Mid-Age"/>
    <s v="High"/>
    <s v="Senior"/>
    <s v="D06"/>
    <s v="D06"/>
    <s v="High"/>
  </r>
  <r>
    <x v="298"/>
    <s v="Miraya Ramakrishnan"/>
    <x v="0"/>
    <n v="42"/>
    <x v="4"/>
    <x v="16"/>
    <s v="B.Tech"/>
    <n v="19"/>
    <d v="2020-06-14T00:00:00"/>
    <n v="142219"/>
    <n v="8542"/>
    <n v="5"/>
    <x v="0"/>
    <s v="Chennai"/>
    <x v="0"/>
    <s v="Yes"/>
    <n v="60"/>
    <n v="8"/>
    <n v="5"/>
    <s v="Not Promoted"/>
    <s v="Senior"/>
    <s v="Executive"/>
    <s v="Senior"/>
    <s v="D02"/>
    <s v="D02"/>
    <s v="Executive"/>
  </r>
  <r>
    <x v="299"/>
    <s v="Renee Raja"/>
    <x v="1"/>
    <n v="34"/>
    <x v="4"/>
    <x v="5"/>
    <s v="M.Tech"/>
    <n v="12"/>
    <d v="2021-12-29T00:00:00"/>
    <n v="45446"/>
    <n v="2217"/>
    <n v="1"/>
    <x v="2"/>
    <s v="Delhi"/>
    <x v="0"/>
    <s v="No"/>
    <n v="28"/>
    <n v="19"/>
    <n v="2"/>
    <s v="Not Promoted"/>
    <s v="Mid-Age"/>
    <s v="Medium"/>
    <s v="Senior"/>
    <s v="D02"/>
    <s v="D02"/>
    <s v="Medium"/>
  </r>
  <r>
    <x v="300"/>
    <s v="Zara Brahmbhatt"/>
    <x v="0"/>
    <n v="39"/>
    <x v="2"/>
    <x v="17"/>
    <s v="Graduate"/>
    <n v="15"/>
    <d v="2020-01-20T00:00:00"/>
    <n v="125173"/>
    <n v="19227"/>
    <n v="5"/>
    <x v="1"/>
    <s v="Hyderabad"/>
    <x v="0"/>
    <s v="Yes"/>
    <n v="37"/>
    <n v="11"/>
    <n v="5"/>
    <s v="Not Promoted"/>
    <s v="Mid-Age"/>
    <s v="Executive"/>
    <s v="Senior"/>
    <s v="D03"/>
    <s v="D03"/>
    <s v="Executive"/>
  </r>
  <r>
    <x v="301"/>
    <s v="Divit Chaudry"/>
    <x v="0"/>
    <n v="33"/>
    <x v="5"/>
    <x v="9"/>
    <s v="B.Tech"/>
    <n v="9"/>
    <d v="2019-05-09T00:00:00"/>
    <n v="116520"/>
    <n v="21038"/>
    <n v="5"/>
    <x v="0"/>
    <s v="Bangalore"/>
    <x v="0"/>
    <s v="No"/>
    <n v="44"/>
    <n v="8"/>
    <n v="8"/>
    <s v="Promoted"/>
    <s v="Mid-Age"/>
    <s v="Executive"/>
    <s v="Mid-Level"/>
    <s v="D04"/>
    <s v="D04"/>
    <s v="Executive"/>
  </r>
  <r>
    <x v="302"/>
    <s v="Azad Bir"/>
    <x v="0"/>
    <n v="38"/>
    <x v="4"/>
    <x v="6"/>
    <s v="B.Tech"/>
    <n v="16"/>
    <d v="2021-01-08T00:00:00"/>
    <n v="86780"/>
    <n v="24960"/>
    <n v="5"/>
    <x v="1"/>
    <s v="Bangalore"/>
    <x v="0"/>
    <s v="No"/>
    <n v="22"/>
    <n v="14"/>
    <n v="6"/>
    <s v="Not Promoted"/>
    <s v="Mid-Age"/>
    <s v="High"/>
    <s v="Senior"/>
    <s v="D02"/>
    <s v="D02"/>
    <s v="High"/>
  </r>
  <r>
    <x v="303"/>
    <s v="Jhanvi Chaudhari"/>
    <x v="1"/>
    <n v="30"/>
    <x v="4"/>
    <x v="6"/>
    <s v="Post Graduate"/>
    <n v="5"/>
    <d v="2020-07-25T00:00:00"/>
    <n v="131717"/>
    <n v="6779"/>
    <n v="1"/>
    <x v="2"/>
    <s v="Mumbai"/>
    <x v="0"/>
    <s v="No"/>
    <n v="56"/>
    <n v="0"/>
    <n v="5"/>
    <s v="Not Promoted"/>
    <s v="Young"/>
    <s v="Executive"/>
    <s v="Junior"/>
    <s v="D02"/>
    <s v="D02"/>
    <s v="Executive"/>
  </r>
  <r>
    <x v="304"/>
    <s v="Jivika Arora"/>
    <x v="0"/>
    <n v="53"/>
    <x v="4"/>
    <x v="16"/>
    <s v="B.Tech"/>
    <n v="31"/>
    <d v="2023-10-19T00:00:00"/>
    <n v="94990"/>
    <n v="5243"/>
    <n v="3"/>
    <x v="2"/>
    <s v="Mumbai"/>
    <x v="0"/>
    <s v="Yes"/>
    <n v="18"/>
    <n v="8"/>
    <n v="8"/>
    <s v="Not Promoted"/>
    <s v="Senior"/>
    <s v="Executive"/>
    <s v="Senior"/>
    <s v="D02"/>
    <s v="D02"/>
    <s v="Executive"/>
  </r>
  <r>
    <x v="305"/>
    <s v="Uthkarsh Lad"/>
    <x v="1"/>
    <n v="28"/>
    <x v="5"/>
    <x v="9"/>
    <s v="MBA"/>
    <n v="4"/>
    <d v="2021-10-02T00:00:00"/>
    <n v="59048"/>
    <n v="2649"/>
    <n v="3"/>
    <x v="1"/>
    <s v="Delhi"/>
    <x v="0"/>
    <s v="No"/>
    <n v="60"/>
    <n v="19"/>
    <n v="6"/>
    <s v="Not Promoted"/>
    <s v="Young"/>
    <s v="Medium"/>
    <s v="Junior"/>
    <s v="D04"/>
    <s v="D04"/>
    <s v="Medium"/>
  </r>
  <r>
    <x v="306"/>
    <s v="Mamooty Saran"/>
    <x v="0"/>
    <n v="33"/>
    <x v="4"/>
    <x v="6"/>
    <s v="B.Tech"/>
    <n v="10"/>
    <d v="2021-12-25T00:00:00"/>
    <n v="67610"/>
    <n v="22108"/>
    <n v="5"/>
    <x v="1"/>
    <s v="Hyderabad"/>
    <x v="0"/>
    <s v="Yes"/>
    <n v="60"/>
    <n v="5"/>
    <n v="8"/>
    <s v="Not Promoted"/>
    <s v="Mid-Age"/>
    <s v="High"/>
    <s v="Mid-Level"/>
    <s v="D02"/>
    <s v="D02"/>
    <s v="High"/>
  </r>
  <r>
    <x v="307"/>
    <s v="Umang Dada"/>
    <x v="1"/>
    <n v="48"/>
    <x v="0"/>
    <x v="11"/>
    <s v="MBA"/>
    <n v="22"/>
    <d v="2024-05-30T00:00:00"/>
    <n v="78054"/>
    <n v="10764"/>
    <n v="1"/>
    <x v="2"/>
    <s v="Chennai"/>
    <x v="0"/>
    <s v="No"/>
    <n v="22"/>
    <n v="14"/>
    <n v="2"/>
    <s v="Not Promoted"/>
    <s v="Senior"/>
    <s v="High"/>
    <s v="Senior"/>
    <s v="D06"/>
    <s v="D06"/>
    <s v="High"/>
  </r>
  <r>
    <x v="308"/>
    <s v="Aradhya Jani"/>
    <x v="1"/>
    <n v="55"/>
    <x v="2"/>
    <x v="7"/>
    <s v="Graduate"/>
    <n v="31"/>
    <d v="2022-08-23T00:00:00"/>
    <n v="46930"/>
    <n v="8900"/>
    <n v="2"/>
    <x v="0"/>
    <s v="Hyderabad"/>
    <x v="1"/>
    <s v="Yes"/>
    <n v="11"/>
    <n v="2"/>
    <n v="1"/>
    <s v="Not Promoted"/>
    <s v="Senior"/>
    <s v="Medium"/>
    <s v="Senior"/>
    <s v="D03"/>
    <s v="D03"/>
    <s v="Medium"/>
  </r>
  <r>
    <x v="309"/>
    <s v="Tejas Mani"/>
    <x v="1"/>
    <n v="25"/>
    <x v="5"/>
    <x v="9"/>
    <s v="MBA"/>
    <n v="4"/>
    <d v="2022-06-15T00:00:00"/>
    <n v="93679"/>
    <n v="9515"/>
    <n v="1"/>
    <x v="0"/>
    <s v="Chennai"/>
    <x v="0"/>
    <s v="No"/>
    <n v="33"/>
    <n v="20"/>
    <n v="2"/>
    <s v="Promoted"/>
    <s v="Young"/>
    <s v="Executive"/>
    <s v="Junior"/>
    <s v="D04"/>
    <s v="D04"/>
    <s v="Executive"/>
  </r>
  <r>
    <x v="310"/>
    <s v="Indrans Bava"/>
    <x v="1"/>
    <n v="55"/>
    <x v="4"/>
    <x v="5"/>
    <s v="M.Tech"/>
    <n v="33"/>
    <d v="2018-04-28T00:00:00"/>
    <n v="29607"/>
    <n v="16576"/>
    <n v="3"/>
    <x v="0"/>
    <s v="Chennai"/>
    <x v="0"/>
    <s v="Yes"/>
    <n v="42"/>
    <n v="19"/>
    <n v="6"/>
    <s v="Not Promoted"/>
    <s v="Senior"/>
    <s v="Low"/>
    <s v="Senior"/>
    <s v="D02"/>
    <s v="D02"/>
    <s v="Low"/>
  </r>
  <r>
    <x v="311"/>
    <s v="Shamik Kashyap"/>
    <x v="1"/>
    <n v="49"/>
    <x v="5"/>
    <x v="9"/>
    <s v="MBA"/>
    <n v="24"/>
    <d v="2023-12-27T00:00:00"/>
    <n v="65587"/>
    <n v="13985"/>
    <n v="3"/>
    <x v="1"/>
    <s v="Bangalore"/>
    <x v="0"/>
    <s v="Yes"/>
    <n v="24"/>
    <n v="0"/>
    <n v="8"/>
    <s v="Not Promoted"/>
    <s v="Senior"/>
    <s v="High"/>
    <s v="Senior"/>
    <s v="D04"/>
    <s v="D04"/>
    <s v="High"/>
  </r>
  <r>
    <x v="312"/>
    <s v="Madhav Chopra"/>
    <x v="1"/>
    <n v="30"/>
    <x v="3"/>
    <x v="8"/>
    <s v="MBA"/>
    <n v="7"/>
    <d v="2021-03-20T00:00:00"/>
    <n v="86498"/>
    <n v="2299"/>
    <n v="5"/>
    <x v="1"/>
    <s v="Noida"/>
    <x v="0"/>
    <s v="No"/>
    <n v="43"/>
    <n v="7"/>
    <n v="1"/>
    <s v="Not Promoted"/>
    <s v="Young"/>
    <s v="High"/>
    <s v="Mid-Level"/>
    <s v="D01"/>
    <s v="D01"/>
    <s v="High"/>
  </r>
  <r>
    <x v="313"/>
    <s v="Kavya Tank"/>
    <x v="1"/>
    <n v="45"/>
    <x v="3"/>
    <x v="8"/>
    <s v="B.Tech"/>
    <n v="23"/>
    <d v="2022-08-14T00:00:00"/>
    <n v="140626"/>
    <n v="9228"/>
    <n v="5"/>
    <x v="1"/>
    <s v="Delhi"/>
    <x v="0"/>
    <s v="No"/>
    <n v="45"/>
    <n v="7"/>
    <n v="7"/>
    <s v="Promoted"/>
    <s v="Senior"/>
    <s v="Executive"/>
    <s v="Senior"/>
    <s v="D01"/>
    <s v="D01"/>
    <s v="Executive"/>
  </r>
  <r>
    <x v="314"/>
    <s v="Yakshit Walia"/>
    <x v="0"/>
    <n v="39"/>
    <x v="1"/>
    <x v="1"/>
    <s v="MBA"/>
    <n v="16"/>
    <d v="2023-12-19T00:00:00"/>
    <n v="131012"/>
    <n v="5616"/>
    <n v="3"/>
    <x v="2"/>
    <s v="Hyderabad"/>
    <x v="0"/>
    <s v="No"/>
    <n v="22"/>
    <n v="19"/>
    <n v="7"/>
    <s v="Promoted"/>
    <s v="Mid-Age"/>
    <s v="Executive"/>
    <s v="Senior"/>
    <s v="D05"/>
    <s v="D05"/>
    <s v="Executive"/>
  </r>
  <r>
    <x v="315"/>
    <s v="Shamik Mani"/>
    <x v="1"/>
    <n v="42"/>
    <x v="5"/>
    <x v="10"/>
    <s v="Post Graduate"/>
    <n v="21"/>
    <d v="2019-09-16T00:00:00"/>
    <n v="31505"/>
    <n v="16366"/>
    <n v="5"/>
    <x v="2"/>
    <s v="Delhi"/>
    <x v="0"/>
    <s v="Yes"/>
    <n v="10"/>
    <n v="4"/>
    <n v="1"/>
    <s v="Promoted"/>
    <s v="Senior"/>
    <s v="Medium"/>
    <s v="Senior"/>
    <s v="D04"/>
    <s v="D04"/>
    <s v="Medium"/>
  </r>
  <r>
    <x v="316"/>
    <s v="Heer Sekhon"/>
    <x v="1"/>
    <n v="35"/>
    <x v="3"/>
    <x v="14"/>
    <s v="Graduate"/>
    <n v="12"/>
    <d v="2022-09-18T00:00:00"/>
    <n v="65838"/>
    <n v="6787"/>
    <n v="4"/>
    <x v="0"/>
    <s v="Bangalore"/>
    <x v="0"/>
    <s v="No"/>
    <n v="9"/>
    <n v="17"/>
    <n v="6"/>
    <s v="Not Promoted"/>
    <s v="Mid-Age"/>
    <s v="High"/>
    <s v="Senior"/>
    <s v="D01"/>
    <s v="D01"/>
    <s v="High"/>
  </r>
  <r>
    <x v="317"/>
    <s v="Aarush Gara"/>
    <x v="1"/>
    <n v="34"/>
    <x v="5"/>
    <x v="10"/>
    <s v="B.Tech"/>
    <n v="11"/>
    <d v="2022-04-12T00:00:00"/>
    <n v="133560"/>
    <n v="10099"/>
    <n v="1"/>
    <x v="2"/>
    <s v="Delhi"/>
    <x v="0"/>
    <s v="Yes"/>
    <n v="34"/>
    <n v="3"/>
    <n v="2"/>
    <s v="Not Promoted"/>
    <s v="Mid-Age"/>
    <s v="Executive"/>
    <s v="Senior"/>
    <s v="D04"/>
    <s v="D04"/>
    <s v="Executive"/>
  </r>
  <r>
    <x v="318"/>
    <s v="Vihaan Wable"/>
    <x v="0"/>
    <n v="35"/>
    <x v="1"/>
    <x v="1"/>
    <s v="MBA"/>
    <n v="11"/>
    <d v="2022-05-13T00:00:00"/>
    <n v="114318"/>
    <n v="17768"/>
    <n v="3"/>
    <x v="2"/>
    <s v="Bangalore"/>
    <x v="0"/>
    <s v="Yes"/>
    <n v="28"/>
    <n v="1"/>
    <n v="6"/>
    <s v="Not Promoted"/>
    <s v="Mid-Age"/>
    <s v="Executive"/>
    <s v="Senior"/>
    <s v="D05"/>
    <s v="D05"/>
    <s v="Executive"/>
  </r>
  <r>
    <x v="319"/>
    <s v="Ira Gole"/>
    <x v="1"/>
    <n v="29"/>
    <x v="0"/>
    <x v="0"/>
    <s v="Post Graduate"/>
    <n v="7"/>
    <d v="2022-11-14T00:00:00"/>
    <n v="67534"/>
    <n v="2292"/>
    <n v="1"/>
    <x v="0"/>
    <s v="Pune"/>
    <x v="0"/>
    <s v="No"/>
    <n v="49"/>
    <n v="19"/>
    <n v="3"/>
    <s v="Not Promoted"/>
    <s v="Young"/>
    <s v="High"/>
    <s v="Mid-Level"/>
    <s v="D06"/>
    <s v="D06"/>
    <s v="High"/>
  </r>
  <r>
    <x v="320"/>
    <s v="Kiara Balasubramanian"/>
    <x v="0"/>
    <n v="27"/>
    <x v="4"/>
    <x v="16"/>
    <s v="Graduate"/>
    <n v="5"/>
    <d v="2019-10-08T00:00:00"/>
    <n v="90525"/>
    <n v="13649"/>
    <n v="1"/>
    <x v="2"/>
    <s v="Mumbai"/>
    <x v="0"/>
    <s v="Yes"/>
    <n v="13"/>
    <n v="15"/>
    <n v="10"/>
    <s v="Not Promoted"/>
    <s v="Young"/>
    <s v="Executive"/>
    <s v="Junior"/>
    <s v="D02"/>
    <s v="D02"/>
    <s v="Executive"/>
  </r>
  <r>
    <x v="321"/>
    <s v="Prerak Goda"/>
    <x v="0"/>
    <n v="44"/>
    <x v="4"/>
    <x v="16"/>
    <s v="B.Tech"/>
    <n v="20"/>
    <d v="2020-03-01T00:00:00"/>
    <n v="27798"/>
    <n v="16336"/>
    <n v="4"/>
    <x v="2"/>
    <s v="Bangalore"/>
    <x v="0"/>
    <s v="No"/>
    <n v="17"/>
    <n v="18"/>
    <n v="6"/>
    <s v="Not Promoted"/>
    <s v="Senior"/>
    <s v="Low"/>
    <s v="Senior"/>
    <s v="D02"/>
    <s v="D02"/>
    <s v="Low"/>
  </r>
  <r>
    <x v="322"/>
    <s v="Mahika Kale"/>
    <x v="1"/>
    <n v="44"/>
    <x v="4"/>
    <x v="6"/>
    <s v="MBA"/>
    <n v="21"/>
    <d v="2023-04-03T00:00:00"/>
    <n v="61087"/>
    <n v="10629"/>
    <n v="5"/>
    <x v="2"/>
    <s v="Bangalore"/>
    <x v="0"/>
    <s v="No"/>
    <n v="5"/>
    <n v="20"/>
    <n v="9"/>
    <s v="Not Promoted"/>
    <s v="Senior"/>
    <s v="High"/>
    <s v="Senior"/>
    <s v="D02"/>
    <s v="D02"/>
    <s v="High"/>
  </r>
  <r>
    <x v="323"/>
    <s v="Indrajit Shukla"/>
    <x v="1"/>
    <n v="33"/>
    <x v="1"/>
    <x v="3"/>
    <s v="Post Graduate"/>
    <n v="12"/>
    <d v="2022-01-31T00:00:00"/>
    <n v="126714"/>
    <n v="19172"/>
    <n v="5"/>
    <x v="2"/>
    <s v="Hyderabad"/>
    <x v="0"/>
    <s v="Yes"/>
    <n v="44"/>
    <n v="9"/>
    <n v="4"/>
    <s v="Promoted"/>
    <s v="Mid-Age"/>
    <s v="Executive"/>
    <s v="Senior"/>
    <s v="D05"/>
    <s v="D05"/>
    <s v="Executive"/>
  </r>
  <r>
    <x v="324"/>
    <s v="Zain Dugal"/>
    <x v="0"/>
    <n v="42"/>
    <x v="2"/>
    <x v="17"/>
    <s v="Post Graduate"/>
    <n v="21"/>
    <d v="2019-01-30T00:00:00"/>
    <n v="93576"/>
    <n v="5507"/>
    <n v="1"/>
    <x v="1"/>
    <s v="Mumbai"/>
    <x v="0"/>
    <s v="Yes"/>
    <n v="7"/>
    <n v="18"/>
    <n v="1"/>
    <s v="Promoted"/>
    <s v="Senior"/>
    <s v="Executive"/>
    <s v="Senior"/>
    <s v="D03"/>
    <s v="D03"/>
    <s v="Executive"/>
  </r>
  <r>
    <x v="325"/>
    <s v="Aradhya Dada"/>
    <x v="0"/>
    <n v="53"/>
    <x v="0"/>
    <x v="11"/>
    <s v="Post Graduate"/>
    <n v="28"/>
    <d v="2024-08-14T00:00:00"/>
    <n v="58546"/>
    <n v="23487"/>
    <n v="1"/>
    <x v="1"/>
    <s v="Noida"/>
    <x v="0"/>
    <s v="Yes"/>
    <n v="34"/>
    <n v="20"/>
    <n v="6"/>
    <s v="Not Promoted"/>
    <s v="Senior"/>
    <s v="Medium"/>
    <s v="Senior"/>
    <s v="D06"/>
    <s v="D06"/>
    <s v="Medium"/>
  </r>
  <r>
    <x v="326"/>
    <s v="Yashvi D’Alia"/>
    <x v="1"/>
    <n v="48"/>
    <x v="3"/>
    <x v="14"/>
    <s v="Graduate"/>
    <n v="25"/>
    <d v="2018-08-27T00:00:00"/>
    <n v="132956"/>
    <n v="9074"/>
    <n v="5"/>
    <x v="2"/>
    <s v="Delhi"/>
    <x v="0"/>
    <s v="Yes"/>
    <n v="51"/>
    <n v="7"/>
    <n v="5"/>
    <s v="Not Promoted"/>
    <s v="Senior"/>
    <s v="Executive"/>
    <s v="Senior"/>
    <s v="D01"/>
    <s v="D01"/>
    <s v="Executive"/>
  </r>
  <r>
    <x v="327"/>
    <s v="Vaibhav Gara"/>
    <x v="1"/>
    <n v="34"/>
    <x v="1"/>
    <x v="3"/>
    <s v="Graduate"/>
    <n v="12"/>
    <d v="2023-11-26T00:00:00"/>
    <n v="111098"/>
    <n v="22926"/>
    <n v="2"/>
    <x v="2"/>
    <s v="Bangalore"/>
    <x v="0"/>
    <s v="No"/>
    <n v="49"/>
    <n v="13"/>
    <n v="10"/>
    <s v="Promoted"/>
    <s v="Mid-Age"/>
    <s v="Executive"/>
    <s v="Senior"/>
    <s v="D05"/>
    <s v="D05"/>
    <s v="Executive"/>
  </r>
  <r>
    <x v="328"/>
    <s v="Riaan Bassi"/>
    <x v="1"/>
    <n v="33"/>
    <x v="3"/>
    <x v="4"/>
    <s v="MBA"/>
    <n v="8"/>
    <d v="2022-07-03T00:00:00"/>
    <n v="91151"/>
    <n v="20025"/>
    <n v="3"/>
    <x v="1"/>
    <s v="Noida"/>
    <x v="0"/>
    <s v="No"/>
    <n v="31"/>
    <n v="20"/>
    <n v="3"/>
    <s v="Not Promoted"/>
    <s v="Mid-Age"/>
    <s v="Executive"/>
    <s v="Mid-Level"/>
    <s v="D01"/>
    <s v="D01"/>
    <s v="Executive"/>
  </r>
  <r>
    <x v="329"/>
    <s v="Lakshit De"/>
    <x v="1"/>
    <n v="42"/>
    <x v="5"/>
    <x v="9"/>
    <s v="MBA"/>
    <n v="17"/>
    <d v="2020-09-12T00:00:00"/>
    <n v="98812"/>
    <n v="16824"/>
    <n v="5"/>
    <x v="1"/>
    <s v="Hyderabad"/>
    <x v="0"/>
    <s v="Yes"/>
    <n v="51"/>
    <n v="1"/>
    <n v="4"/>
    <s v="Not Promoted"/>
    <s v="Senior"/>
    <s v="Executive"/>
    <s v="Senior"/>
    <s v="D04"/>
    <s v="D04"/>
    <s v="Executive"/>
  </r>
  <r>
    <x v="330"/>
    <s v="Indrajit Bhatnagar"/>
    <x v="1"/>
    <n v="23"/>
    <x v="2"/>
    <x v="7"/>
    <s v="Graduate"/>
    <n v="0"/>
    <d v="2019-07-08T00:00:00"/>
    <n v="141696"/>
    <n v="24600"/>
    <n v="3"/>
    <x v="1"/>
    <s v="Pune"/>
    <x v="0"/>
    <s v="Yes"/>
    <n v="11"/>
    <n v="1"/>
    <n v="1"/>
    <s v="Not Promoted"/>
    <s v="Young"/>
    <s v="Executive"/>
    <s v="Fresher"/>
    <s v="D03"/>
    <s v="D03"/>
    <s v="Executive"/>
  </r>
  <r>
    <x v="331"/>
    <s v="Armaan Kunda"/>
    <x v="0"/>
    <n v="31"/>
    <x v="5"/>
    <x v="15"/>
    <s v="M.Tech"/>
    <n v="9"/>
    <d v="2020-12-21T00:00:00"/>
    <n v="73114"/>
    <n v="15100"/>
    <n v="5"/>
    <x v="2"/>
    <s v="Mumbai"/>
    <x v="0"/>
    <s v="Yes"/>
    <n v="51"/>
    <n v="10"/>
    <n v="4"/>
    <s v="Not Promoted"/>
    <s v="Mid-Age"/>
    <s v="High"/>
    <s v="Mid-Level"/>
    <s v="D04"/>
    <s v="D04"/>
    <s v="High"/>
  </r>
  <r>
    <x v="332"/>
    <s v="Baiju Bali"/>
    <x v="1"/>
    <n v="53"/>
    <x v="5"/>
    <x v="10"/>
    <s v="Graduate"/>
    <n v="27"/>
    <d v="2024-06-18T00:00:00"/>
    <n v="132415"/>
    <n v="3832"/>
    <n v="1"/>
    <x v="1"/>
    <s v="Bangalore"/>
    <x v="0"/>
    <s v="No"/>
    <n v="31"/>
    <n v="3"/>
    <n v="10"/>
    <s v="Promoted"/>
    <s v="Senior"/>
    <s v="Executive"/>
    <s v="Senior"/>
    <s v="D04"/>
    <s v="D04"/>
    <s v="Executive"/>
  </r>
  <r>
    <x v="333"/>
    <s v="Alia Ranganathan"/>
    <x v="0"/>
    <n v="22"/>
    <x v="4"/>
    <x v="6"/>
    <s v="MBA"/>
    <n v="0"/>
    <d v="2022-04-16T00:00:00"/>
    <n v="32094"/>
    <n v="18462"/>
    <n v="3"/>
    <x v="2"/>
    <s v="Mumbai"/>
    <x v="1"/>
    <s v="Yes"/>
    <n v="8"/>
    <n v="12"/>
    <n v="9"/>
    <s v="Not Promoted"/>
    <s v="Young"/>
    <s v="Medium"/>
    <s v="Fresher"/>
    <s v="D02"/>
    <s v="D02"/>
    <s v="Medium"/>
  </r>
  <r>
    <x v="334"/>
    <s v="Sahil Banerjee"/>
    <x v="1"/>
    <n v="54"/>
    <x v="5"/>
    <x v="9"/>
    <s v="M.Tech"/>
    <n v="33"/>
    <d v="2020-06-28T00:00:00"/>
    <n v="81614"/>
    <n v="3615"/>
    <n v="3"/>
    <x v="2"/>
    <s v="Hyderabad"/>
    <x v="1"/>
    <s v="No"/>
    <n v="10"/>
    <n v="12"/>
    <n v="7"/>
    <s v="Not Promoted"/>
    <s v="Senior"/>
    <s v="High"/>
    <s v="Senior"/>
    <s v="D04"/>
    <s v="D04"/>
    <s v="High"/>
  </r>
  <r>
    <x v="335"/>
    <s v="Tarini Kapur"/>
    <x v="0"/>
    <n v="30"/>
    <x v="1"/>
    <x v="3"/>
    <s v="Post Graduate"/>
    <n v="8"/>
    <d v="2023-05-24T00:00:00"/>
    <n v="98308"/>
    <n v="4347"/>
    <n v="2"/>
    <x v="1"/>
    <s v="Noida"/>
    <x v="0"/>
    <s v="No"/>
    <n v="25"/>
    <n v="18"/>
    <n v="8"/>
    <s v="Not Promoted"/>
    <s v="Young"/>
    <s v="Executive"/>
    <s v="Mid-Level"/>
    <s v="D05"/>
    <s v="D05"/>
    <s v="Executive"/>
  </r>
  <r>
    <x v="336"/>
    <s v="Tara Gera"/>
    <x v="1"/>
    <n v="48"/>
    <x v="3"/>
    <x v="4"/>
    <s v="Post Graduate"/>
    <n v="24"/>
    <d v="2022-02-05T00:00:00"/>
    <n v="70653"/>
    <n v="13459"/>
    <n v="2"/>
    <x v="2"/>
    <s v="Noida"/>
    <x v="0"/>
    <s v="No"/>
    <n v="44"/>
    <n v="4"/>
    <n v="6"/>
    <s v="Not Promoted"/>
    <s v="Senior"/>
    <s v="High"/>
    <s v="Senior"/>
    <s v="D01"/>
    <s v="D01"/>
    <s v="High"/>
  </r>
  <r>
    <x v="337"/>
    <s v="Arnav Manda"/>
    <x v="0"/>
    <n v="36"/>
    <x v="5"/>
    <x v="10"/>
    <s v="MBA"/>
    <n v="14"/>
    <d v="2022-03-12T00:00:00"/>
    <n v="45446"/>
    <n v="2450"/>
    <n v="1"/>
    <x v="1"/>
    <s v="Chennai"/>
    <x v="0"/>
    <s v="Yes"/>
    <n v="24"/>
    <n v="14"/>
    <n v="2"/>
    <s v="Not Promoted"/>
    <s v="Mid-Age"/>
    <s v="Medium"/>
    <s v="Senior"/>
    <s v="D04"/>
    <s v="D04"/>
    <s v="Medium"/>
  </r>
  <r>
    <x v="338"/>
    <s v="Aarush Sami"/>
    <x v="1"/>
    <n v="43"/>
    <x v="5"/>
    <x v="10"/>
    <s v="M.Tech"/>
    <n v="21"/>
    <d v="2024-01-13T00:00:00"/>
    <n v="52770"/>
    <n v="6631"/>
    <n v="2"/>
    <x v="2"/>
    <s v="Chennai"/>
    <x v="0"/>
    <s v="Yes"/>
    <n v="29"/>
    <n v="18"/>
    <n v="9"/>
    <s v="Not Promoted"/>
    <s v="Senior"/>
    <s v="Medium"/>
    <s v="Senior"/>
    <s v="D04"/>
    <s v="D04"/>
    <s v="Medium"/>
  </r>
  <r>
    <x v="339"/>
    <s v="Romil Tripathi"/>
    <x v="0"/>
    <n v="24"/>
    <x v="0"/>
    <x v="12"/>
    <s v="B.Tech"/>
    <n v="1"/>
    <d v="2019-11-29T00:00:00"/>
    <n v="32878"/>
    <n v="23455"/>
    <n v="3"/>
    <x v="0"/>
    <s v="Delhi"/>
    <x v="0"/>
    <s v="No"/>
    <n v="47"/>
    <n v="8"/>
    <n v="4"/>
    <s v="Not Promoted"/>
    <s v="Young"/>
    <s v="Medium"/>
    <s v="Fresher"/>
    <s v="D06"/>
    <s v="D06"/>
    <s v="Medium"/>
  </r>
  <r>
    <x v="340"/>
    <s v="Samar Sethi"/>
    <x v="0"/>
    <n v="45"/>
    <x v="0"/>
    <x v="12"/>
    <s v="MBA"/>
    <n v="24"/>
    <d v="2018-03-20T00:00:00"/>
    <n v="63337"/>
    <n v="17881"/>
    <n v="4"/>
    <x v="2"/>
    <s v="Pune"/>
    <x v="0"/>
    <s v="Yes"/>
    <n v="16"/>
    <n v="6"/>
    <n v="4"/>
    <s v="Not Promoted"/>
    <s v="Senior"/>
    <s v="High"/>
    <s v="Senior"/>
    <s v="D06"/>
    <s v="D06"/>
    <s v="High"/>
  </r>
  <r>
    <x v="341"/>
    <s v="Shayak Garde"/>
    <x v="0"/>
    <n v="23"/>
    <x v="1"/>
    <x v="3"/>
    <s v="Graduate"/>
    <n v="2"/>
    <d v="2020-10-10T00:00:00"/>
    <n v="145883"/>
    <n v="13363"/>
    <n v="5"/>
    <x v="2"/>
    <s v="Bangalore"/>
    <x v="0"/>
    <s v="No"/>
    <n v="45"/>
    <n v="9"/>
    <n v="5"/>
    <s v="Not Promoted"/>
    <s v="Young"/>
    <s v="Executive"/>
    <s v="Fresher"/>
    <s v="D05"/>
    <s v="D05"/>
    <s v="Executive"/>
  </r>
  <r>
    <x v="342"/>
    <s v="Yashvi Krishnan"/>
    <x v="0"/>
    <n v="39"/>
    <x v="4"/>
    <x v="6"/>
    <s v="Post Graduate"/>
    <n v="18"/>
    <d v="2020-11-21T00:00:00"/>
    <n v="140169"/>
    <n v="13199"/>
    <n v="4"/>
    <x v="1"/>
    <s v="Chennai"/>
    <x v="0"/>
    <s v="Yes"/>
    <n v="10"/>
    <n v="12"/>
    <n v="1"/>
    <s v="Not Promoted"/>
    <s v="Mid-Age"/>
    <s v="Executive"/>
    <s v="Senior"/>
    <s v="D02"/>
    <s v="D02"/>
    <s v="Executive"/>
  </r>
  <r>
    <x v="343"/>
    <s v="Yuvraj  Sinha"/>
    <x v="1"/>
    <n v="36"/>
    <x v="1"/>
    <x v="1"/>
    <s v="B.Tech"/>
    <n v="12"/>
    <d v="2020-09-11T00:00:00"/>
    <n v="100090"/>
    <n v="19767"/>
    <n v="2"/>
    <x v="0"/>
    <s v="Mumbai"/>
    <x v="0"/>
    <s v="Yes"/>
    <n v="42"/>
    <n v="17"/>
    <n v="7"/>
    <s v="Not Promoted"/>
    <s v="Mid-Age"/>
    <s v="Executive"/>
    <s v="Senior"/>
    <s v="D05"/>
    <s v="D05"/>
    <s v="Executive"/>
  </r>
  <r>
    <x v="344"/>
    <s v="Nishith Kota"/>
    <x v="0"/>
    <n v="30"/>
    <x v="0"/>
    <x v="0"/>
    <s v="M.Tech"/>
    <n v="7"/>
    <d v="2023-11-16T00:00:00"/>
    <n v="144218"/>
    <n v="7178"/>
    <n v="2"/>
    <x v="1"/>
    <s v="Delhi"/>
    <x v="0"/>
    <s v="Yes"/>
    <n v="16"/>
    <n v="10"/>
    <n v="7"/>
    <s v="Not Promoted"/>
    <s v="Young"/>
    <s v="Executive"/>
    <s v="Mid-Level"/>
    <s v="D06"/>
    <s v="D06"/>
    <s v="Executive"/>
  </r>
  <r>
    <x v="345"/>
    <s v="Anika Manda"/>
    <x v="1"/>
    <n v="23"/>
    <x v="4"/>
    <x v="6"/>
    <s v="Post Graduate"/>
    <n v="0"/>
    <d v="2022-08-23T00:00:00"/>
    <n v="78903"/>
    <n v="8158"/>
    <n v="3"/>
    <x v="0"/>
    <s v="Mumbai"/>
    <x v="0"/>
    <s v="Yes"/>
    <n v="6"/>
    <n v="19"/>
    <n v="8"/>
    <s v="Not Promoted"/>
    <s v="Young"/>
    <s v="High"/>
    <s v="Fresher"/>
    <s v="D02"/>
    <s v="D02"/>
    <s v="High"/>
  </r>
  <r>
    <x v="346"/>
    <s v="Aradhya Chauhan"/>
    <x v="0"/>
    <n v="36"/>
    <x v="1"/>
    <x v="3"/>
    <s v="M.Tech"/>
    <n v="11"/>
    <d v="2020-08-09T00:00:00"/>
    <n v="55266"/>
    <n v="21815"/>
    <n v="1"/>
    <x v="1"/>
    <s v="Chennai"/>
    <x v="1"/>
    <s v="No"/>
    <n v="16"/>
    <n v="12"/>
    <n v="6"/>
    <s v="Not Promoted"/>
    <s v="Mid-Age"/>
    <s v="Medium"/>
    <s v="Senior"/>
    <s v="D05"/>
    <s v="D05"/>
    <s v="Medium"/>
  </r>
  <r>
    <x v="347"/>
    <s v="Gokul Dube"/>
    <x v="1"/>
    <n v="30"/>
    <x v="5"/>
    <x v="15"/>
    <s v="B.Tech"/>
    <n v="8"/>
    <d v="2020-03-02T00:00:00"/>
    <n v="54658"/>
    <n v="9292"/>
    <n v="1"/>
    <x v="2"/>
    <s v="Chennai"/>
    <x v="0"/>
    <s v="Yes"/>
    <n v="53"/>
    <n v="6"/>
    <n v="7"/>
    <s v="Promoted"/>
    <s v="Young"/>
    <s v="Medium"/>
    <s v="Mid-Level"/>
    <s v="D04"/>
    <s v="D04"/>
    <s v="Medium"/>
  </r>
  <r>
    <x v="348"/>
    <s v="Mohanlal Devan"/>
    <x v="0"/>
    <n v="50"/>
    <x v="3"/>
    <x v="4"/>
    <s v="M.Tech"/>
    <n v="25"/>
    <d v="2023-06-30T00:00:00"/>
    <n v="115159"/>
    <n v="14464"/>
    <n v="3"/>
    <x v="2"/>
    <s v="Bangalore"/>
    <x v="0"/>
    <s v="No"/>
    <n v="44"/>
    <n v="18"/>
    <n v="8"/>
    <s v="Not Promoted"/>
    <s v="Senior"/>
    <s v="Executive"/>
    <s v="Senior"/>
    <s v="D01"/>
    <s v="D01"/>
    <s v="Executive"/>
  </r>
  <r>
    <x v="349"/>
    <s v="Advik Das"/>
    <x v="0"/>
    <n v="55"/>
    <x v="1"/>
    <x v="1"/>
    <s v="M.Tech"/>
    <n v="29"/>
    <d v="2018-06-07T00:00:00"/>
    <n v="93242"/>
    <n v="19624"/>
    <n v="1"/>
    <x v="1"/>
    <s v="Chennai"/>
    <x v="0"/>
    <s v="Yes"/>
    <n v="40"/>
    <n v="12"/>
    <n v="8"/>
    <s v="Not Promoted"/>
    <s v="Senior"/>
    <s v="Executive"/>
    <s v="Senior"/>
    <s v="D05"/>
    <s v="D05"/>
    <s v="Executive"/>
  </r>
  <r>
    <x v="350"/>
    <s v="Yuvraj  Divan"/>
    <x v="0"/>
    <n v="25"/>
    <x v="1"/>
    <x v="1"/>
    <s v="B.Tech"/>
    <n v="3"/>
    <d v="2021-04-07T00:00:00"/>
    <n v="82613"/>
    <n v="11647"/>
    <n v="4"/>
    <x v="2"/>
    <s v="Delhi"/>
    <x v="0"/>
    <s v="Yes"/>
    <n v="34"/>
    <n v="20"/>
    <n v="5"/>
    <s v="Not Promoted"/>
    <s v="Young"/>
    <s v="High"/>
    <s v="Junior"/>
    <s v="D05"/>
    <s v="D05"/>
    <s v="High"/>
  </r>
  <r>
    <x v="351"/>
    <s v="Hunar Tak"/>
    <x v="1"/>
    <n v="54"/>
    <x v="5"/>
    <x v="10"/>
    <s v="Graduate"/>
    <n v="33"/>
    <d v="2020-01-07T00:00:00"/>
    <n v="127069"/>
    <n v="7861"/>
    <n v="5"/>
    <x v="1"/>
    <s v="Pune"/>
    <x v="1"/>
    <s v="Yes"/>
    <n v="34"/>
    <n v="2"/>
    <n v="9"/>
    <s v="Not Promoted"/>
    <s v="Senior"/>
    <s v="Executive"/>
    <s v="Senior"/>
    <s v="D04"/>
    <s v="D04"/>
    <s v="Executive"/>
  </r>
  <r>
    <x v="352"/>
    <s v="Stuvan Sheth"/>
    <x v="1"/>
    <n v="32"/>
    <x v="2"/>
    <x v="17"/>
    <s v="M.Tech"/>
    <n v="6"/>
    <d v="2019-05-22T00:00:00"/>
    <n v="36952"/>
    <n v="22056"/>
    <n v="1"/>
    <x v="0"/>
    <s v="Hyderabad"/>
    <x v="0"/>
    <s v="No"/>
    <n v="7"/>
    <n v="5"/>
    <n v="8"/>
    <s v="Promoted"/>
    <s v="Mid-Age"/>
    <s v="Medium"/>
    <s v="Mid-Level"/>
    <s v="D03"/>
    <s v="D03"/>
    <s v="Medium"/>
  </r>
  <r>
    <x v="353"/>
    <s v="Lavanya Dasgupta"/>
    <x v="1"/>
    <n v="31"/>
    <x v="2"/>
    <x v="7"/>
    <s v="MBA"/>
    <n v="9"/>
    <d v="2019-08-16T00:00:00"/>
    <n v="48444"/>
    <n v="22527"/>
    <n v="1"/>
    <x v="0"/>
    <s v="Delhi"/>
    <x v="0"/>
    <s v="Yes"/>
    <n v="17"/>
    <n v="0"/>
    <n v="7"/>
    <s v="Not Promoted"/>
    <s v="Mid-Age"/>
    <s v="Medium"/>
    <s v="Mid-Level"/>
    <s v="D03"/>
    <s v="D03"/>
    <s v="Medium"/>
  </r>
  <r>
    <x v="354"/>
    <s v="Anaya Lal"/>
    <x v="1"/>
    <n v="22"/>
    <x v="1"/>
    <x v="3"/>
    <s v="Post Graduate"/>
    <n v="0"/>
    <d v="2023-08-01T00:00:00"/>
    <n v="137120"/>
    <n v="9106"/>
    <n v="4"/>
    <x v="2"/>
    <s v="Chennai"/>
    <x v="0"/>
    <s v="No"/>
    <n v="34"/>
    <n v="13"/>
    <n v="9"/>
    <s v="Not Promoted"/>
    <s v="Young"/>
    <s v="Executive"/>
    <s v="Fresher"/>
    <s v="D05"/>
    <s v="D05"/>
    <s v="Executive"/>
  </r>
  <r>
    <x v="355"/>
    <s v="Anay Kari"/>
    <x v="0"/>
    <n v="22"/>
    <x v="5"/>
    <x v="10"/>
    <s v="Post Graduate"/>
    <n v="0"/>
    <d v="2024-02-20T00:00:00"/>
    <n v="61452"/>
    <n v="3804"/>
    <n v="5"/>
    <x v="2"/>
    <s v="Bangalore"/>
    <x v="0"/>
    <s v="Yes"/>
    <n v="14"/>
    <n v="1"/>
    <n v="9"/>
    <s v="Not Promoted"/>
    <s v="Young"/>
    <s v="High"/>
    <s v="Fresher"/>
    <s v="D04"/>
    <s v="D04"/>
    <s v="High"/>
  </r>
  <r>
    <x v="356"/>
    <s v="Dhanuk Rattan"/>
    <x v="1"/>
    <n v="41"/>
    <x v="0"/>
    <x v="12"/>
    <s v="M.Tech"/>
    <n v="18"/>
    <d v="2018-12-26T00:00:00"/>
    <n v="31426"/>
    <n v="23657"/>
    <n v="1"/>
    <x v="2"/>
    <s v="Chennai"/>
    <x v="0"/>
    <s v="Yes"/>
    <n v="34"/>
    <n v="18"/>
    <n v="7"/>
    <s v="Promoted"/>
    <s v="Senior"/>
    <s v="Medium"/>
    <s v="Senior"/>
    <s v="D06"/>
    <s v="D06"/>
    <s v="Medium"/>
  </r>
  <r>
    <x v="357"/>
    <s v="Anvi Raval"/>
    <x v="0"/>
    <n v="27"/>
    <x v="2"/>
    <x v="2"/>
    <s v="MBA"/>
    <n v="4"/>
    <d v="2021-08-15T00:00:00"/>
    <n v="73309"/>
    <n v="17427"/>
    <n v="4"/>
    <x v="0"/>
    <s v="Delhi"/>
    <x v="0"/>
    <s v="No"/>
    <n v="26"/>
    <n v="16"/>
    <n v="2"/>
    <s v="Not Promoted"/>
    <s v="Young"/>
    <s v="High"/>
    <s v="Junior"/>
    <s v="D03"/>
    <s v="D03"/>
    <s v="High"/>
  </r>
  <r>
    <x v="358"/>
    <s v="Indranil Anne"/>
    <x v="0"/>
    <n v="35"/>
    <x v="5"/>
    <x v="9"/>
    <s v="B.Tech"/>
    <n v="9"/>
    <d v="2020-05-06T00:00:00"/>
    <n v="105223"/>
    <n v="24565"/>
    <n v="1"/>
    <x v="2"/>
    <s v="Noida"/>
    <x v="0"/>
    <s v="No"/>
    <n v="32"/>
    <n v="19"/>
    <n v="2"/>
    <s v="Not Promoted"/>
    <s v="Mid-Age"/>
    <s v="Executive"/>
    <s v="Mid-Level"/>
    <s v="D04"/>
    <s v="D04"/>
    <s v="Executive"/>
  </r>
  <r>
    <x v="359"/>
    <s v="Keya Krish"/>
    <x v="1"/>
    <n v="55"/>
    <x v="2"/>
    <x v="17"/>
    <s v="B.Tech"/>
    <n v="30"/>
    <d v="2021-12-20T00:00:00"/>
    <n v="146517"/>
    <n v="7895"/>
    <n v="2"/>
    <x v="2"/>
    <s v="Mumbai"/>
    <x v="0"/>
    <s v="No"/>
    <n v="17"/>
    <n v="0"/>
    <n v="10"/>
    <s v="Not Promoted"/>
    <s v="Senior"/>
    <s v="Executive"/>
    <s v="Senior"/>
    <s v="D03"/>
    <s v="D03"/>
    <s v="Executive"/>
  </r>
  <r>
    <x v="360"/>
    <s v="Bhavin Mane"/>
    <x v="1"/>
    <n v="51"/>
    <x v="3"/>
    <x v="4"/>
    <s v="MBA"/>
    <n v="25"/>
    <d v="2019-04-29T00:00:00"/>
    <n v="121661"/>
    <n v="20363"/>
    <n v="2"/>
    <x v="2"/>
    <s v="Mumbai"/>
    <x v="0"/>
    <s v="Yes"/>
    <n v="45"/>
    <n v="6"/>
    <n v="10"/>
    <s v="Not Promoted"/>
    <s v="Senior"/>
    <s v="Executive"/>
    <s v="Senior"/>
    <s v="D01"/>
    <s v="D01"/>
    <s v="Executive"/>
  </r>
  <r>
    <x v="361"/>
    <s v="Dhanush Sani"/>
    <x v="1"/>
    <n v="38"/>
    <x v="0"/>
    <x v="11"/>
    <s v="MBA"/>
    <n v="17"/>
    <d v="2021-06-14T00:00:00"/>
    <n v="64358"/>
    <n v="14977"/>
    <n v="5"/>
    <x v="2"/>
    <s v="Pune"/>
    <x v="0"/>
    <s v="Yes"/>
    <n v="58"/>
    <n v="5"/>
    <n v="9"/>
    <s v="Promoted"/>
    <s v="Mid-Age"/>
    <s v="High"/>
    <s v="Senior"/>
    <s v="D06"/>
    <s v="D06"/>
    <s v="High"/>
  </r>
  <r>
    <x v="362"/>
    <s v="Shray Doctor"/>
    <x v="1"/>
    <n v="43"/>
    <x v="4"/>
    <x v="16"/>
    <s v="M.Tech"/>
    <n v="17"/>
    <d v="2023-05-17T00:00:00"/>
    <n v="145083"/>
    <n v="12980"/>
    <n v="4"/>
    <x v="1"/>
    <s v="Noida"/>
    <x v="0"/>
    <s v="No"/>
    <n v="52"/>
    <n v="1"/>
    <n v="1"/>
    <s v="Not Promoted"/>
    <s v="Senior"/>
    <s v="Executive"/>
    <s v="Senior"/>
    <s v="D02"/>
    <s v="D02"/>
    <s v="Executive"/>
  </r>
  <r>
    <x v="363"/>
    <s v="Lavanya Krishnan"/>
    <x v="1"/>
    <n v="42"/>
    <x v="1"/>
    <x v="3"/>
    <s v="Graduate"/>
    <n v="17"/>
    <d v="2024-01-04T00:00:00"/>
    <n v="27453"/>
    <n v="6892"/>
    <n v="2"/>
    <x v="1"/>
    <s v="Noida"/>
    <x v="0"/>
    <s v="Yes"/>
    <n v="26"/>
    <n v="12"/>
    <n v="10"/>
    <s v="Not Promoted"/>
    <s v="Senior"/>
    <s v="Low"/>
    <s v="Senior"/>
    <s v="D05"/>
    <s v="D05"/>
    <s v="Low"/>
  </r>
  <r>
    <x v="364"/>
    <s v="Onkar Brahmbhatt"/>
    <x v="1"/>
    <n v="32"/>
    <x v="0"/>
    <x v="12"/>
    <s v="MBA"/>
    <n v="7"/>
    <d v="2024-10-16T00:00:00"/>
    <n v="76061"/>
    <n v="3036"/>
    <n v="2"/>
    <x v="1"/>
    <s v="Hyderabad"/>
    <x v="1"/>
    <s v="Yes"/>
    <n v="36"/>
    <n v="7"/>
    <n v="10"/>
    <s v="Not Promoted"/>
    <s v="Mid-Age"/>
    <s v="High"/>
    <s v="Mid-Level"/>
    <s v="D06"/>
    <s v="D06"/>
    <s v="High"/>
  </r>
  <r>
    <x v="365"/>
    <s v="Tarini Gara"/>
    <x v="0"/>
    <n v="41"/>
    <x v="2"/>
    <x v="17"/>
    <s v="Graduate"/>
    <n v="19"/>
    <d v="2023-11-21T00:00:00"/>
    <n v="64625"/>
    <n v="16541"/>
    <n v="2"/>
    <x v="2"/>
    <s v="Delhi"/>
    <x v="0"/>
    <s v="No"/>
    <n v="37"/>
    <n v="4"/>
    <n v="2"/>
    <s v="Promoted"/>
    <s v="Senior"/>
    <s v="High"/>
    <s v="Senior"/>
    <s v="D03"/>
    <s v="D03"/>
    <s v="High"/>
  </r>
  <r>
    <x v="366"/>
    <s v="Dhruv Gara"/>
    <x v="0"/>
    <n v="52"/>
    <x v="4"/>
    <x v="16"/>
    <s v="Post Graduate"/>
    <n v="26"/>
    <d v="2023-11-15T00:00:00"/>
    <n v="65679"/>
    <n v="3197"/>
    <n v="3"/>
    <x v="1"/>
    <s v="Hyderabad"/>
    <x v="0"/>
    <s v="Yes"/>
    <n v="5"/>
    <n v="9"/>
    <n v="3"/>
    <s v="Promoted"/>
    <s v="Senior"/>
    <s v="High"/>
    <s v="Senior"/>
    <s v="D02"/>
    <s v="D02"/>
    <s v="High"/>
  </r>
  <r>
    <x v="367"/>
    <s v="Alia Bakshi"/>
    <x v="1"/>
    <n v="27"/>
    <x v="3"/>
    <x v="8"/>
    <s v="Graduate"/>
    <n v="4"/>
    <d v="2023-03-28T00:00:00"/>
    <n v="141547"/>
    <n v="20925"/>
    <n v="1"/>
    <x v="1"/>
    <s v="Chennai"/>
    <x v="0"/>
    <s v="Yes"/>
    <n v="25"/>
    <n v="6"/>
    <n v="2"/>
    <s v="Not Promoted"/>
    <s v="Young"/>
    <s v="Executive"/>
    <s v="Junior"/>
    <s v="D01"/>
    <s v="D01"/>
    <s v="Executive"/>
  </r>
  <r>
    <x v="368"/>
    <s v="Divit Chakraborty"/>
    <x v="0"/>
    <n v="39"/>
    <x v="4"/>
    <x v="16"/>
    <s v="Graduate"/>
    <n v="14"/>
    <d v="2021-07-31T00:00:00"/>
    <n v="126290"/>
    <n v="22412"/>
    <n v="4"/>
    <x v="2"/>
    <s v="Pune"/>
    <x v="0"/>
    <s v="Yes"/>
    <n v="18"/>
    <n v="17"/>
    <n v="2"/>
    <s v="Promoted"/>
    <s v="Mid-Age"/>
    <s v="Executive"/>
    <s v="Senior"/>
    <s v="D02"/>
    <s v="D02"/>
    <s v="Executive"/>
  </r>
  <r>
    <x v="369"/>
    <s v="Jiya Ganguly"/>
    <x v="1"/>
    <n v="42"/>
    <x v="2"/>
    <x v="7"/>
    <s v="M.Tech"/>
    <n v="19"/>
    <d v="2019-08-03T00:00:00"/>
    <n v="148637"/>
    <n v="16537"/>
    <n v="3"/>
    <x v="0"/>
    <s v="Mumbai"/>
    <x v="0"/>
    <s v="Yes"/>
    <n v="35"/>
    <n v="1"/>
    <n v="10"/>
    <s v="Promoted"/>
    <s v="Senior"/>
    <s v="Executive"/>
    <s v="Senior"/>
    <s v="D03"/>
    <s v="D03"/>
    <s v="Executive"/>
  </r>
  <r>
    <x v="370"/>
    <s v="Kimaya Shenoy"/>
    <x v="1"/>
    <n v="25"/>
    <x v="3"/>
    <x v="14"/>
    <s v="M.Tech"/>
    <n v="4"/>
    <d v="2022-10-13T00:00:00"/>
    <n v="76369"/>
    <n v="13653"/>
    <n v="2"/>
    <x v="1"/>
    <s v="Bangalore"/>
    <x v="0"/>
    <s v="Yes"/>
    <n v="50"/>
    <n v="17"/>
    <n v="10"/>
    <s v="Not Promoted"/>
    <s v="Young"/>
    <s v="High"/>
    <s v="Junior"/>
    <s v="D01"/>
    <s v="D01"/>
    <s v="High"/>
  </r>
  <r>
    <x v="371"/>
    <s v="Manikya Kata"/>
    <x v="1"/>
    <n v="30"/>
    <x v="3"/>
    <x v="14"/>
    <s v="B.Tech"/>
    <n v="9"/>
    <d v="2023-04-03T00:00:00"/>
    <n v="37748"/>
    <n v="9592"/>
    <n v="4"/>
    <x v="0"/>
    <s v="Mumbai"/>
    <x v="0"/>
    <s v="No"/>
    <n v="28"/>
    <n v="12"/>
    <n v="5"/>
    <s v="Not Promoted"/>
    <s v="Young"/>
    <s v="Medium"/>
    <s v="Mid-Level"/>
    <s v="D01"/>
    <s v="D01"/>
    <s v="Medium"/>
  </r>
  <r>
    <x v="372"/>
    <s v="Vanya Saran"/>
    <x v="1"/>
    <n v="43"/>
    <x v="4"/>
    <x v="6"/>
    <s v="Post Graduate"/>
    <n v="20"/>
    <d v="2023-01-31T00:00:00"/>
    <n v="88898"/>
    <n v="11249"/>
    <n v="1"/>
    <x v="1"/>
    <s v="Pune"/>
    <x v="0"/>
    <s v="Yes"/>
    <n v="37"/>
    <n v="3"/>
    <n v="2"/>
    <s v="Not Promoted"/>
    <s v="Senior"/>
    <s v="High"/>
    <s v="Senior"/>
    <s v="D02"/>
    <s v="D02"/>
    <s v="High"/>
  </r>
  <r>
    <x v="373"/>
    <s v="Rhea Iyengar"/>
    <x v="1"/>
    <n v="28"/>
    <x v="5"/>
    <x v="9"/>
    <s v="Post Graduate"/>
    <n v="5"/>
    <d v="2024-03-27T00:00:00"/>
    <n v="110124"/>
    <n v="22344"/>
    <n v="1"/>
    <x v="0"/>
    <s v="Pune"/>
    <x v="0"/>
    <s v="Yes"/>
    <n v="35"/>
    <n v="12"/>
    <n v="5"/>
    <s v="Not Promoted"/>
    <s v="Young"/>
    <s v="Executive"/>
    <s v="Junior"/>
    <s v="D04"/>
    <s v="D04"/>
    <s v="Executive"/>
  </r>
  <r>
    <x v="374"/>
    <s v="Tanya Ahuja"/>
    <x v="0"/>
    <n v="35"/>
    <x v="3"/>
    <x v="14"/>
    <s v="Post Graduate"/>
    <n v="9"/>
    <d v="2024-08-17T00:00:00"/>
    <n v="81511"/>
    <n v="23712"/>
    <n v="4"/>
    <x v="2"/>
    <s v="Delhi"/>
    <x v="0"/>
    <s v="No"/>
    <n v="12"/>
    <n v="18"/>
    <n v="10"/>
    <s v="Not Promoted"/>
    <s v="Mid-Age"/>
    <s v="High"/>
    <s v="Mid-Level"/>
    <s v="D01"/>
    <s v="D01"/>
    <s v="High"/>
  </r>
  <r>
    <x v="375"/>
    <s v="Sara Kapadia"/>
    <x v="0"/>
    <n v="42"/>
    <x v="1"/>
    <x v="3"/>
    <s v="M.Tech"/>
    <n v="17"/>
    <d v="2019-02-04T00:00:00"/>
    <n v="132744"/>
    <n v="14416"/>
    <n v="4"/>
    <x v="1"/>
    <s v="Hyderabad"/>
    <x v="0"/>
    <s v="Yes"/>
    <n v="10"/>
    <n v="6"/>
    <n v="3"/>
    <s v="Not Promoted"/>
    <s v="Senior"/>
    <s v="Executive"/>
    <s v="Senior"/>
    <s v="D05"/>
    <s v="D05"/>
    <s v="Executive"/>
  </r>
  <r>
    <x v="376"/>
    <s v="Shray Rau"/>
    <x v="0"/>
    <n v="22"/>
    <x v="4"/>
    <x v="6"/>
    <s v="Post Graduate"/>
    <n v="0"/>
    <d v="2019-09-04T00:00:00"/>
    <n v="84372"/>
    <n v="24331"/>
    <n v="5"/>
    <x v="1"/>
    <s v="Bangalore"/>
    <x v="0"/>
    <s v="No"/>
    <n v="32"/>
    <n v="11"/>
    <n v="5"/>
    <s v="Not Promoted"/>
    <s v="Young"/>
    <s v="High"/>
    <s v="Fresher"/>
    <s v="D02"/>
    <s v="D02"/>
    <s v="High"/>
  </r>
  <r>
    <x v="377"/>
    <s v="Sahil Karpe"/>
    <x v="0"/>
    <n v="22"/>
    <x v="3"/>
    <x v="8"/>
    <s v="Graduate"/>
    <n v="0"/>
    <d v="2023-09-22T00:00:00"/>
    <n v="77978"/>
    <n v="20351"/>
    <n v="2"/>
    <x v="1"/>
    <s v="Delhi"/>
    <x v="1"/>
    <s v="No"/>
    <n v="60"/>
    <n v="0"/>
    <n v="5"/>
    <s v="Not Promoted"/>
    <s v="Young"/>
    <s v="High"/>
    <s v="Fresher"/>
    <s v="D01"/>
    <s v="D01"/>
    <s v="High"/>
  </r>
  <r>
    <x v="378"/>
    <s v="Ehsaan Kota"/>
    <x v="0"/>
    <n v="47"/>
    <x v="4"/>
    <x v="16"/>
    <s v="B.Tech"/>
    <n v="21"/>
    <d v="2021-07-27T00:00:00"/>
    <n v="118293"/>
    <n v="6557"/>
    <n v="4"/>
    <x v="0"/>
    <s v="Pune"/>
    <x v="0"/>
    <s v="No"/>
    <n v="58"/>
    <n v="11"/>
    <n v="7"/>
    <s v="Not Promoted"/>
    <s v="Senior"/>
    <s v="Executive"/>
    <s v="Senior"/>
    <s v="D02"/>
    <s v="D02"/>
    <s v="Executive"/>
  </r>
  <r>
    <x v="379"/>
    <s v="Veer Sem"/>
    <x v="1"/>
    <n v="40"/>
    <x v="5"/>
    <x v="10"/>
    <s v="B.Tech"/>
    <n v="14"/>
    <d v="2019-05-30T00:00:00"/>
    <n v="42600"/>
    <n v="6449"/>
    <n v="1"/>
    <x v="0"/>
    <s v="Mumbai"/>
    <x v="0"/>
    <s v="No"/>
    <n v="60"/>
    <n v="14"/>
    <n v="2"/>
    <s v="Promoted"/>
    <s v="Mid-Age"/>
    <s v="Medium"/>
    <s v="Senior"/>
    <s v="D04"/>
    <s v="D04"/>
    <s v="Medium"/>
  </r>
  <r>
    <x v="380"/>
    <s v="Ishaan Bandi"/>
    <x v="1"/>
    <n v="49"/>
    <x v="0"/>
    <x v="12"/>
    <s v="Post Graduate"/>
    <n v="24"/>
    <d v="2020-01-07T00:00:00"/>
    <n v="84558"/>
    <n v="8088"/>
    <n v="5"/>
    <x v="1"/>
    <s v="Pune"/>
    <x v="0"/>
    <s v="Yes"/>
    <n v="41"/>
    <n v="15"/>
    <n v="7"/>
    <s v="Not Promoted"/>
    <s v="Senior"/>
    <s v="High"/>
    <s v="Senior"/>
    <s v="D06"/>
    <s v="D06"/>
    <s v="High"/>
  </r>
  <r>
    <x v="381"/>
    <s v="Sana Sami"/>
    <x v="1"/>
    <n v="54"/>
    <x v="0"/>
    <x v="0"/>
    <s v="MBA"/>
    <n v="31"/>
    <d v="2022-08-10T00:00:00"/>
    <n v="146446"/>
    <n v="5708"/>
    <n v="5"/>
    <x v="2"/>
    <s v="Hyderabad"/>
    <x v="0"/>
    <s v="Yes"/>
    <n v="14"/>
    <n v="16"/>
    <n v="10"/>
    <s v="Not Promoted"/>
    <s v="Senior"/>
    <s v="Executive"/>
    <s v="Senior"/>
    <s v="D06"/>
    <s v="D06"/>
    <s v="Executive"/>
  </r>
  <r>
    <x v="382"/>
    <s v="Pari Jayaraman"/>
    <x v="0"/>
    <n v="55"/>
    <x v="2"/>
    <x v="17"/>
    <s v="M.Tech"/>
    <n v="34"/>
    <d v="2023-11-14T00:00:00"/>
    <n v="141643"/>
    <n v="20993"/>
    <n v="5"/>
    <x v="1"/>
    <s v="Pune"/>
    <x v="0"/>
    <s v="Yes"/>
    <n v="26"/>
    <n v="17"/>
    <n v="2"/>
    <s v="Not Promoted"/>
    <s v="Senior"/>
    <s v="Executive"/>
    <s v="Senior"/>
    <s v="D03"/>
    <s v="D03"/>
    <s v="Executive"/>
  </r>
  <r>
    <x v="383"/>
    <s v="Anika Mandal"/>
    <x v="1"/>
    <n v="51"/>
    <x v="3"/>
    <x v="14"/>
    <s v="MBA"/>
    <n v="26"/>
    <d v="2023-04-06T00:00:00"/>
    <n v="100230"/>
    <n v="7488"/>
    <n v="3"/>
    <x v="0"/>
    <s v="Chennai"/>
    <x v="0"/>
    <s v="No"/>
    <n v="51"/>
    <n v="18"/>
    <n v="7"/>
    <s v="Not Promoted"/>
    <s v="Senior"/>
    <s v="Executive"/>
    <s v="Senior"/>
    <s v="D01"/>
    <s v="D01"/>
    <s v="Executive"/>
  </r>
  <r>
    <x v="384"/>
    <s v="Chirag Sibal"/>
    <x v="1"/>
    <n v="52"/>
    <x v="2"/>
    <x v="2"/>
    <s v="B.Tech"/>
    <n v="27"/>
    <d v="2019-11-24T00:00:00"/>
    <n v="100085"/>
    <n v="4703"/>
    <n v="1"/>
    <x v="0"/>
    <s v="Pune"/>
    <x v="0"/>
    <s v="Yes"/>
    <n v="59"/>
    <n v="8"/>
    <n v="5"/>
    <s v="Not Promoted"/>
    <s v="Senior"/>
    <s v="Executive"/>
    <s v="Senior"/>
    <s v="D03"/>
    <s v="D03"/>
    <s v="Executive"/>
  </r>
  <r>
    <x v="385"/>
    <s v="Darshit Maharaj"/>
    <x v="0"/>
    <n v="39"/>
    <x v="2"/>
    <x v="2"/>
    <s v="B.Tech"/>
    <n v="16"/>
    <d v="2020-11-18T00:00:00"/>
    <n v="26861"/>
    <n v="14116"/>
    <n v="1"/>
    <x v="0"/>
    <s v="Bangalore"/>
    <x v="0"/>
    <s v="Yes"/>
    <n v="36"/>
    <n v="5"/>
    <n v="10"/>
    <s v="Not Promoted"/>
    <s v="Mid-Age"/>
    <s v="Low"/>
    <s v="Senior"/>
    <s v="D03"/>
    <s v="D03"/>
    <s v="Low"/>
  </r>
  <r>
    <x v="386"/>
    <s v="Neysa Balasubramanian"/>
    <x v="1"/>
    <n v="43"/>
    <x v="1"/>
    <x v="13"/>
    <s v="Post Graduate"/>
    <n v="22"/>
    <d v="2019-08-18T00:00:00"/>
    <n v="103059"/>
    <n v="23648"/>
    <n v="2"/>
    <x v="1"/>
    <s v="Chennai"/>
    <x v="0"/>
    <s v="Yes"/>
    <n v="18"/>
    <n v="18"/>
    <n v="8"/>
    <s v="Not Promoted"/>
    <s v="Senior"/>
    <s v="Executive"/>
    <s v="Senior"/>
    <s v="D05"/>
    <s v="D05"/>
    <s v="Executive"/>
  </r>
  <r>
    <x v="387"/>
    <s v="Shray Chaudhary"/>
    <x v="1"/>
    <n v="25"/>
    <x v="0"/>
    <x v="11"/>
    <s v="B.Tech"/>
    <n v="0"/>
    <d v="2020-12-18T00:00:00"/>
    <n v="124022"/>
    <n v="19449"/>
    <n v="1"/>
    <x v="0"/>
    <s v="Hyderabad"/>
    <x v="0"/>
    <s v="No"/>
    <n v="35"/>
    <n v="8"/>
    <n v="1"/>
    <s v="Not Promoted"/>
    <s v="Young"/>
    <s v="Executive"/>
    <s v="Fresher"/>
    <s v="D06"/>
    <s v="D06"/>
    <s v="Executive"/>
  </r>
  <r>
    <x v="388"/>
    <s v="Onkar Chaudry"/>
    <x v="0"/>
    <n v="49"/>
    <x v="4"/>
    <x v="6"/>
    <s v="Graduate"/>
    <n v="28"/>
    <d v="2021-03-28T00:00:00"/>
    <n v="146532"/>
    <n v="19409"/>
    <n v="4"/>
    <x v="2"/>
    <s v="Bangalore"/>
    <x v="0"/>
    <s v="No"/>
    <n v="44"/>
    <n v="20"/>
    <n v="7"/>
    <s v="Not Promoted"/>
    <s v="Senior"/>
    <s v="Executive"/>
    <s v="Senior"/>
    <s v="D02"/>
    <s v="D02"/>
    <s v="Executive"/>
  </r>
  <r>
    <x v="389"/>
    <s v="Samarth Baral"/>
    <x v="0"/>
    <n v="39"/>
    <x v="2"/>
    <x v="17"/>
    <s v="M.Tech"/>
    <n v="16"/>
    <d v="2019-02-07T00:00:00"/>
    <n v="58468"/>
    <n v="8387"/>
    <n v="5"/>
    <x v="2"/>
    <s v="Bangalore"/>
    <x v="0"/>
    <s v="Yes"/>
    <n v="25"/>
    <n v="17"/>
    <n v="7"/>
    <s v="Not Promoted"/>
    <s v="Mid-Age"/>
    <s v="Medium"/>
    <s v="Senior"/>
    <s v="D03"/>
    <s v="D03"/>
    <s v="Medium"/>
  </r>
  <r>
    <x v="390"/>
    <s v="Armaan Mangal"/>
    <x v="0"/>
    <n v="22"/>
    <x v="3"/>
    <x v="8"/>
    <s v="MBA"/>
    <n v="1"/>
    <d v="2018-02-18T00:00:00"/>
    <n v="78903"/>
    <n v="10254"/>
    <n v="1"/>
    <x v="0"/>
    <s v="Delhi"/>
    <x v="1"/>
    <s v="Yes"/>
    <n v="44"/>
    <n v="2"/>
    <n v="9"/>
    <s v="Not Promoted"/>
    <s v="Young"/>
    <s v="High"/>
    <s v="Fresher"/>
    <s v="D01"/>
    <s v="D01"/>
    <s v="High"/>
  </r>
  <r>
    <x v="391"/>
    <s v="Jhanvi Handa"/>
    <x v="0"/>
    <n v="35"/>
    <x v="3"/>
    <x v="8"/>
    <s v="Graduate"/>
    <n v="10"/>
    <d v="2019-05-14T00:00:00"/>
    <n v="117808"/>
    <n v="24795"/>
    <n v="1"/>
    <x v="0"/>
    <s v="Bangalore"/>
    <x v="0"/>
    <s v="No"/>
    <n v="34"/>
    <n v="2"/>
    <n v="2"/>
    <s v="Promoted"/>
    <s v="Mid-Age"/>
    <s v="Executive"/>
    <s v="Mid-Level"/>
    <s v="D01"/>
    <s v="D01"/>
    <s v="Executive"/>
  </r>
  <r>
    <x v="392"/>
    <s v="Badal Contractor"/>
    <x v="1"/>
    <n v="39"/>
    <x v="0"/>
    <x v="11"/>
    <s v="MBA"/>
    <n v="15"/>
    <d v="2021-08-17T00:00:00"/>
    <n v="58729"/>
    <n v="3968"/>
    <n v="2"/>
    <x v="1"/>
    <s v="Noida"/>
    <x v="0"/>
    <s v="No"/>
    <n v="16"/>
    <n v="14"/>
    <n v="2"/>
    <s v="Promoted"/>
    <s v="Mid-Age"/>
    <s v="Medium"/>
    <s v="Senior"/>
    <s v="D06"/>
    <s v="D06"/>
    <s v="Medium"/>
  </r>
  <r>
    <x v="393"/>
    <s v="Purab Gade"/>
    <x v="0"/>
    <n v="34"/>
    <x v="3"/>
    <x v="14"/>
    <s v="M.Tech"/>
    <n v="9"/>
    <d v="2022-05-28T00:00:00"/>
    <n v="48388"/>
    <n v="23080"/>
    <n v="4"/>
    <x v="0"/>
    <s v="Hyderabad"/>
    <x v="1"/>
    <s v="No"/>
    <n v="11"/>
    <n v="1"/>
    <n v="2"/>
    <s v="Not Promoted"/>
    <s v="Mid-Age"/>
    <s v="Medium"/>
    <s v="Mid-Level"/>
    <s v="D01"/>
    <s v="D01"/>
    <s v="Medium"/>
  </r>
  <r>
    <x v="394"/>
    <s v="Advika D’Alia"/>
    <x v="0"/>
    <n v="38"/>
    <x v="3"/>
    <x v="4"/>
    <s v="B.Tech"/>
    <n v="14"/>
    <d v="2018-03-18T00:00:00"/>
    <n v="142507"/>
    <n v="10730"/>
    <n v="4"/>
    <x v="0"/>
    <s v="Chennai"/>
    <x v="0"/>
    <s v="No"/>
    <n v="30"/>
    <n v="18"/>
    <n v="3"/>
    <s v="Promoted"/>
    <s v="Mid-Age"/>
    <s v="Executive"/>
    <s v="Senior"/>
    <s v="D01"/>
    <s v="D01"/>
    <s v="Executive"/>
  </r>
  <r>
    <x v="395"/>
    <s v="Rohan Kar"/>
    <x v="1"/>
    <n v="53"/>
    <x v="3"/>
    <x v="8"/>
    <s v="Graduate"/>
    <n v="29"/>
    <d v="2022-11-22T00:00:00"/>
    <n v="77941"/>
    <n v="20587"/>
    <n v="1"/>
    <x v="2"/>
    <s v="Bangalore"/>
    <x v="0"/>
    <s v="No"/>
    <n v="48"/>
    <n v="9"/>
    <n v="9"/>
    <s v="Not Promoted"/>
    <s v="Senior"/>
    <s v="High"/>
    <s v="Senior"/>
    <s v="D01"/>
    <s v="D01"/>
    <s v="High"/>
  </r>
  <r>
    <x v="396"/>
    <s v="Zoya Yogi"/>
    <x v="1"/>
    <n v="27"/>
    <x v="5"/>
    <x v="10"/>
    <s v="Post Graduate"/>
    <n v="4"/>
    <d v="2023-12-30T00:00:00"/>
    <n v="136849"/>
    <n v="7787"/>
    <n v="3"/>
    <x v="2"/>
    <s v="Delhi"/>
    <x v="0"/>
    <s v="No"/>
    <n v="47"/>
    <n v="6"/>
    <n v="2"/>
    <s v="Not Promoted"/>
    <s v="Young"/>
    <s v="Executive"/>
    <s v="Junior"/>
    <s v="D04"/>
    <s v="D04"/>
    <s v="Executive"/>
  </r>
  <r>
    <x v="397"/>
    <s v="Anahita Kant"/>
    <x v="0"/>
    <n v="46"/>
    <x v="2"/>
    <x v="7"/>
    <s v="Graduate"/>
    <n v="25"/>
    <d v="2022-01-11T00:00:00"/>
    <n v="88766"/>
    <n v="21429"/>
    <n v="1"/>
    <x v="0"/>
    <s v="Hyderabad"/>
    <x v="0"/>
    <s v="No"/>
    <n v="9"/>
    <n v="17"/>
    <n v="8"/>
    <s v="Promoted"/>
    <s v="Senior"/>
    <s v="High"/>
    <s v="Senior"/>
    <s v="D03"/>
    <s v="D03"/>
    <s v="High"/>
  </r>
  <r>
    <x v="398"/>
    <s v="Jhanvi Sarraf"/>
    <x v="0"/>
    <n v="53"/>
    <x v="0"/>
    <x v="11"/>
    <s v="B.Tech"/>
    <n v="28"/>
    <d v="2023-01-15T00:00:00"/>
    <n v="27151"/>
    <n v="5872"/>
    <n v="1"/>
    <x v="0"/>
    <s v="Noida"/>
    <x v="1"/>
    <s v="No"/>
    <n v="48"/>
    <n v="17"/>
    <n v="6"/>
    <s v="Not Promoted"/>
    <s v="Senior"/>
    <s v="Low"/>
    <s v="Senior"/>
    <s v="D06"/>
    <s v="D06"/>
    <s v="Low"/>
  </r>
  <r>
    <x v="399"/>
    <s v="Oorja Wadhwa"/>
    <x v="0"/>
    <n v="36"/>
    <x v="4"/>
    <x v="6"/>
    <s v="Post Graduate"/>
    <n v="15"/>
    <d v="2018-06-01T00:00:00"/>
    <n v="121398"/>
    <n v="24980"/>
    <n v="2"/>
    <x v="2"/>
    <s v="Mumbai"/>
    <x v="0"/>
    <s v="Yes"/>
    <n v="16"/>
    <n v="20"/>
    <n v="8"/>
    <s v="Not Promoted"/>
    <s v="Mid-Age"/>
    <s v="Executive"/>
    <s v="Senior"/>
    <s v="D02"/>
    <s v="D02"/>
    <s v="Executive"/>
  </r>
  <r>
    <x v="400"/>
    <s v="Madhup Shetty"/>
    <x v="1"/>
    <n v="28"/>
    <x v="3"/>
    <x v="14"/>
    <s v="M.Tech"/>
    <n v="4"/>
    <d v="2019-12-01T00:00:00"/>
    <n v="134491"/>
    <n v="22172"/>
    <n v="5"/>
    <x v="0"/>
    <s v="Delhi"/>
    <x v="0"/>
    <s v="Yes"/>
    <n v="32"/>
    <n v="10"/>
    <n v="2"/>
    <s v="Promoted"/>
    <s v="Young"/>
    <s v="Executive"/>
    <s v="Junior"/>
    <s v="D01"/>
    <s v="D01"/>
    <s v="Executive"/>
  </r>
  <r>
    <x v="401"/>
    <s v="Shray Sura"/>
    <x v="0"/>
    <n v="47"/>
    <x v="0"/>
    <x v="12"/>
    <s v="Graduate"/>
    <n v="24"/>
    <d v="2019-05-10T00:00:00"/>
    <n v="114664"/>
    <n v="21434"/>
    <n v="5"/>
    <x v="0"/>
    <s v="Bangalore"/>
    <x v="1"/>
    <s v="Yes"/>
    <n v="12"/>
    <n v="8"/>
    <n v="9"/>
    <s v="Not Promoted"/>
    <s v="Senior"/>
    <s v="Executive"/>
    <s v="Senior"/>
    <s v="D06"/>
    <s v="D06"/>
    <s v="Executive"/>
  </r>
  <r>
    <x v="402"/>
    <s v="Jivika Tandon"/>
    <x v="0"/>
    <n v="32"/>
    <x v="4"/>
    <x v="16"/>
    <s v="Graduate"/>
    <n v="6"/>
    <d v="2022-02-24T00:00:00"/>
    <n v="97536"/>
    <n v="22715"/>
    <n v="2"/>
    <x v="2"/>
    <s v="Hyderabad"/>
    <x v="0"/>
    <s v="Yes"/>
    <n v="6"/>
    <n v="15"/>
    <n v="8"/>
    <s v="Not Promoted"/>
    <s v="Mid-Age"/>
    <s v="Executive"/>
    <s v="Mid-Level"/>
    <s v="D02"/>
    <s v="D02"/>
    <s v="Executive"/>
  </r>
  <r>
    <x v="403"/>
    <s v="Aaina Hayer"/>
    <x v="1"/>
    <n v="22"/>
    <x v="3"/>
    <x v="4"/>
    <s v="Post Graduate"/>
    <n v="0"/>
    <d v="2019-01-01T00:00:00"/>
    <n v="117633"/>
    <n v="8755"/>
    <n v="5"/>
    <x v="0"/>
    <s v="Chennai"/>
    <x v="0"/>
    <s v="No"/>
    <n v="38"/>
    <n v="14"/>
    <n v="5"/>
    <s v="Not Promoted"/>
    <s v="Young"/>
    <s v="Executive"/>
    <s v="Fresher"/>
    <s v="D01"/>
    <s v="D01"/>
    <s v="Executive"/>
  </r>
  <r>
    <x v="404"/>
    <s v="Mannat Chander"/>
    <x v="1"/>
    <n v="33"/>
    <x v="5"/>
    <x v="10"/>
    <s v="MBA"/>
    <n v="8"/>
    <d v="2018-06-04T00:00:00"/>
    <n v="103154"/>
    <n v="15722"/>
    <n v="2"/>
    <x v="0"/>
    <s v="Pune"/>
    <x v="0"/>
    <s v="Yes"/>
    <n v="17"/>
    <n v="3"/>
    <n v="8"/>
    <s v="Promoted"/>
    <s v="Mid-Age"/>
    <s v="Executive"/>
    <s v="Mid-Level"/>
    <s v="D04"/>
    <s v="D04"/>
    <s v="Executive"/>
  </r>
  <r>
    <x v="405"/>
    <s v="Sahil Magar"/>
    <x v="0"/>
    <n v="45"/>
    <x v="1"/>
    <x v="13"/>
    <s v="B.Tech"/>
    <n v="20"/>
    <d v="2023-09-10T00:00:00"/>
    <n v="53740"/>
    <n v="18302"/>
    <n v="4"/>
    <x v="0"/>
    <s v="Mumbai"/>
    <x v="0"/>
    <s v="Yes"/>
    <n v="8"/>
    <n v="20"/>
    <n v="4"/>
    <s v="Promoted"/>
    <s v="Senior"/>
    <s v="Medium"/>
    <s v="Senior"/>
    <s v="D05"/>
    <s v="D05"/>
    <s v="Medium"/>
  </r>
  <r>
    <x v="406"/>
    <s v="Shaan Bora"/>
    <x v="0"/>
    <n v="35"/>
    <x v="2"/>
    <x v="17"/>
    <s v="Post Graduate"/>
    <n v="11"/>
    <d v="2020-10-26T00:00:00"/>
    <n v="68816"/>
    <n v="2952"/>
    <n v="5"/>
    <x v="1"/>
    <s v="Pune"/>
    <x v="1"/>
    <s v="Yes"/>
    <n v="9"/>
    <n v="7"/>
    <n v="8"/>
    <s v="Not Promoted"/>
    <s v="Mid-Age"/>
    <s v="High"/>
    <s v="Senior"/>
    <s v="D03"/>
    <s v="D03"/>
    <s v="High"/>
  </r>
  <r>
    <x v="407"/>
    <s v="Armaan Wadhwa"/>
    <x v="0"/>
    <n v="42"/>
    <x v="0"/>
    <x v="11"/>
    <s v="Post Graduate"/>
    <n v="18"/>
    <d v="2020-03-25T00:00:00"/>
    <n v="122922"/>
    <n v="15519"/>
    <n v="3"/>
    <x v="0"/>
    <s v="Hyderabad"/>
    <x v="0"/>
    <s v="Yes"/>
    <n v="9"/>
    <n v="15"/>
    <n v="4"/>
    <s v="Not Promoted"/>
    <s v="Senior"/>
    <s v="Executive"/>
    <s v="Senior"/>
    <s v="D06"/>
    <s v="D06"/>
    <s v="Executive"/>
  </r>
  <r>
    <x v="408"/>
    <s v="Akarsh Cherian"/>
    <x v="1"/>
    <n v="25"/>
    <x v="1"/>
    <x v="3"/>
    <s v="Post Graduate"/>
    <n v="1"/>
    <d v="2019-08-17T00:00:00"/>
    <n v="53333"/>
    <n v="22710"/>
    <n v="5"/>
    <x v="1"/>
    <s v="Bangalore"/>
    <x v="0"/>
    <s v="Yes"/>
    <n v="26"/>
    <n v="4"/>
    <n v="8"/>
    <s v="Not Promoted"/>
    <s v="Young"/>
    <s v="Medium"/>
    <s v="Fresher"/>
    <s v="D05"/>
    <s v="D05"/>
    <s v="Medium"/>
  </r>
  <r>
    <x v="409"/>
    <s v="Nirvaan Bose"/>
    <x v="0"/>
    <n v="25"/>
    <x v="3"/>
    <x v="8"/>
    <s v="MBA"/>
    <n v="2"/>
    <d v="2019-07-14T00:00:00"/>
    <n v="39563"/>
    <n v="21779"/>
    <n v="4"/>
    <x v="0"/>
    <s v="Noida"/>
    <x v="0"/>
    <s v="Yes"/>
    <n v="41"/>
    <n v="17"/>
    <n v="8"/>
    <s v="Not Promoted"/>
    <s v="Young"/>
    <s v="Medium"/>
    <s v="Fresher"/>
    <s v="D01"/>
    <s v="D01"/>
    <s v="Medium"/>
  </r>
  <r>
    <x v="410"/>
    <s v="Aniruddh Srinivas"/>
    <x v="0"/>
    <n v="48"/>
    <x v="4"/>
    <x v="5"/>
    <s v="B.Tech"/>
    <n v="23"/>
    <d v="2023-06-27T00:00:00"/>
    <n v="138010"/>
    <n v="10082"/>
    <n v="2"/>
    <x v="0"/>
    <s v="Bangalore"/>
    <x v="0"/>
    <s v="No"/>
    <n v="42"/>
    <n v="7"/>
    <n v="10"/>
    <s v="Not Promoted"/>
    <s v="Senior"/>
    <s v="Executive"/>
    <s v="Senior"/>
    <s v="D02"/>
    <s v="D02"/>
    <s v="Executive"/>
  </r>
  <r>
    <x v="411"/>
    <s v="Hridaan Dayal"/>
    <x v="1"/>
    <n v="22"/>
    <x v="1"/>
    <x v="13"/>
    <s v="Graduate"/>
    <n v="0"/>
    <d v="2018-07-01T00:00:00"/>
    <n v="30250"/>
    <n v="16825"/>
    <n v="4"/>
    <x v="1"/>
    <s v="Mumbai"/>
    <x v="1"/>
    <s v="Yes"/>
    <n v="40"/>
    <n v="0"/>
    <n v="9"/>
    <s v="Not Promoted"/>
    <s v="Young"/>
    <s v="Medium"/>
    <s v="Fresher"/>
    <s v="D05"/>
    <s v="D05"/>
    <s v="Medium"/>
  </r>
  <r>
    <x v="412"/>
    <s v="Biju Khatri"/>
    <x v="1"/>
    <n v="48"/>
    <x v="0"/>
    <x v="12"/>
    <s v="MBA"/>
    <n v="26"/>
    <d v="2019-06-28T00:00:00"/>
    <n v="71976"/>
    <n v="7301"/>
    <n v="3"/>
    <x v="2"/>
    <s v="Hyderabad"/>
    <x v="0"/>
    <s v="Yes"/>
    <n v="34"/>
    <n v="14"/>
    <n v="4"/>
    <s v="Promoted"/>
    <s v="Senior"/>
    <s v="High"/>
    <s v="Senior"/>
    <s v="D06"/>
    <s v="D06"/>
    <s v="High"/>
  </r>
  <r>
    <x v="413"/>
    <s v="Samar Hegde"/>
    <x v="1"/>
    <n v="47"/>
    <x v="4"/>
    <x v="6"/>
    <s v="M.Tech"/>
    <n v="25"/>
    <d v="2022-02-26T00:00:00"/>
    <n v="107157"/>
    <n v="3071"/>
    <n v="4"/>
    <x v="1"/>
    <s v="Hyderabad"/>
    <x v="0"/>
    <s v="No"/>
    <n v="49"/>
    <n v="19"/>
    <n v="1"/>
    <s v="Promoted"/>
    <s v="Senior"/>
    <s v="Executive"/>
    <s v="Senior"/>
    <s v="D02"/>
    <s v="D02"/>
    <s v="Executive"/>
  </r>
  <r>
    <x v="414"/>
    <s v="Aarush Chakraborty"/>
    <x v="1"/>
    <n v="35"/>
    <x v="1"/>
    <x v="1"/>
    <s v="Graduate"/>
    <n v="9"/>
    <d v="2018-11-28T00:00:00"/>
    <n v="106324"/>
    <n v="5636"/>
    <n v="3"/>
    <x v="1"/>
    <s v="Bangalore"/>
    <x v="0"/>
    <s v="No"/>
    <n v="44"/>
    <n v="1"/>
    <n v="1"/>
    <s v="Not Promoted"/>
    <s v="Mid-Age"/>
    <s v="Executive"/>
    <s v="Mid-Level"/>
    <s v="D05"/>
    <s v="D05"/>
    <s v="Executive"/>
  </r>
  <r>
    <x v="415"/>
    <s v="Eva Hari"/>
    <x v="1"/>
    <n v="33"/>
    <x v="2"/>
    <x v="17"/>
    <s v="Post Graduate"/>
    <n v="7"/>
    <d v="2024-04-07T00:00:00"/>
    <n v="117389"/>
    <n v="19682"/>
    <n v="1"/>
    <x v="0"/>
    <s v="Chennai"/>
    <x v="0"/>
    <s v="No"/>
    <n v="52"/>
    <n v="18"/>
    <n v="9"/>
    <s v="Not Promoted"/>
    <s v="Mid-Age"/>
    <s v="Executive"/>
    <s v="Mid-Level"/>
    <s v="D03"/>
    <s v="D03"/>
    <s v="Executive"/>
  </r>
  <r>
    <x v="416"/>
    <s v="Raunak Banerjee"/>
    <x v="0"/>
    <n v="36"/>
    <x v="0"/>
    <x v="0"/>
    <s v="MBA"/>
    <n v="13"/>
    <d v="2021-12-15T00:00:00"/>
    <n v="142693"/>
    <n v="13312"/>
    <n v="3"/>
    <x v="1"/>
    <s v="Hyderabad"/>
    <x v="0"/>
    <s v="Yes"/>
    <n v="35"/>
    <n v="17"/>
    <n v="9"/>
    <s v="Not Promoted"/>
    <s v="Mid-Age"/>
    <s v="Executive"/>
    <s v="Senior"/>
    <s v="D06"/>
    <s v="D06"/>
    <s v="Executive"/>
  </r>
  <r>
    <x v="417"/>
    <s v="Zaina Subramaniam"/>
    <x v="0"/>
    <n v="40"/>
    <x v="0"/>
    <x v="12"/>
    <s v="B.Tech"/>
    <n v="16"/>
    <d v="2022-02-16T00:00:00"/>
    <n v="129844"/>
    <n v="7859"/>
    <n v="1"/>
    <x v="1"/>
    <s v="Delhi"/>
    <x v="0"/>
    <s v="Yes"/>
    <n v="15"/>
    <n v="8"/>
    <n v="4"/>
    <s v="Not Promoted"/>
    <s v="Mid-Age"/>
    <s v="Executive"/>
    <s v="Senior"/>
    <s v="D06"/>
    <s v="D06"/>
    <s v="Executive"/>
  </r>
  <r>
    <x v="418"/>
    <s v="Faiyaz Kota"/>
    <x v="1"/>
    <n v="31"/>
    <x v="3"/>
    <x v="8"/>
    <s v="M.Tech"/>
    <n v="7"/>
    <d v="2019-09-09T00:00:00"/>
    <n v="139687"/>
    <n v="6326"/>
    <n v="2"/>
    <x v="1"/>
    <s v="Bangalore"/>
    <x v="0"/>
    <s v="No"/>
    <n v="33"/>
    <n v="20"/>
    <n v="9"/>
    <s v="Promoted"/>
    <s v="Mid-Age"/>
    <s v="Executive"/>
    <s v="Mid-Level"/>
    <s v="D01"/>
    <s v="D01"/>
    <s v="Executive"/>
  </r>
  <r>
    <x v="419"/>
    <s v="Darshit Dani"/>
    <x v="1"/>
    <n v="34"/>
    <x v="3"/>
    <x v="14"/>
    <s v="MBA"/>
    <n v="13"/>
    <d v="2018-04-01T00:00:00"/>
    <n v="139267"/>
    <n v="17930"/>
    <n v="2"/>
    <x v="2"/>
    <s v="Chennai"/>
    <x v="0"/>
    <s v="No"/>
    <n v="34"/>
    <n v="9"/>
    <n v="9"/>
    <s v="Not Promoted"/>
    <s v="Mid-Age"/>
    <s v="Executive"/>
    <s v="Senior"/>
    <s v="D01"/>
    <s v="D01"/>
    <s v="Executive"/>
  </r>
  <r>
    <x v="420"/>
    <s v="Parinaaz Sanghvi"/>
    <x v="0"/>
    <n v="41"/>
    <x v="1"/>
    <x v="13"/>
    <s v="Post Graduate"/>
    <n v="19"/>
    <d v="2020-11-30T00:00:00"/>
    <n v="54724"/>
    <n v="13571"/>
    <n v="4"/>
    <x v="1"/>
    <s v="Hyderabad"/>
    <x v="0"/>
    <s v="Yes"/>
    <n v="44"/>
    <n v="5"/>
    <n v="6"/>
    <s v="Not Promoted"/>
    <s v="Senior"/>
    <s v="Medium"/>
    <s v="Senior"/>
    <s v="D05"/>
    <s v="D05"/>
    <s v="Medium"/>
  </r>
  <r>
    <x v="421"/>
    <s v="Arhaan Kamdar"/>
    <x v="1"/>
    <n v="40"/>
    <x v="0"/>
    <x v="12"/>
    <s v="M.Tech"/>
    <n v="18"/>
    <d v="2019-12-20T00:00:00"/>
    <n v="135012"/>
    <n v="6144"/>
    <n v="2"/>
    <x v="1"/>
    <s v="Bangalore"/>
    <x v="0"/>
    <s v="No"/>
    <n v="16"/>
    <n v="6"/>
    <n v="3"/>
    <s v="Promoted"/>
    <s v="Mid-Age"/>
    <s v="Executive"/>
    <s v="Senior"/>
    <s v="D06"/>
    <s v="D06"/>
    <s v="Executive"/>
  </r>
  <r>
    <x v="422"/>
    <s v="Vedika Agate"/>
    <x v="1"/>
    <n v="24"/>
    <x v="1"/>
    <x v="1"/>
    <s v="Graduate"/>
    <n v="0"/>
    <d v="2021-07-22T00:00:00"/>
    <n v="70068"/>
    <n v="2816"/>
    <n v="2"/>
    <x v="1"/>
    <s v="Hyderabad"/>
    <x v="0"/>
    <s v="Yes"/>
    <n v="34"/>
    <n v="10"/>
    <n v="6"/>
    <s v="Not Promoted"/>
    <s v="Young"/>
    <s v="High"/>
    <s v="Fresher"/>
    <s v="D05"/>
    <s v="D05"/>
    <s v="High"/>
  </r>
  <r>
    <x v="423"/>
    <s v="Madhup Yohannan"/>
    <x v="1"/>
    <n v="54"/>
    <x v="4"/>
    <x v="5"/>
    <s v="MBA"/>
    <n v="31"/>
    <d v="2021-04-25T00:00:00"/>
    <n v="87116"/>
    <n v="24581"/>
    <n v="3"/>
    <x v="0"/>
    <s v="Chennai"/>
    <x v="0"/>
    <s v="No"/>
    <n v="7"/>
    <n v="4"/>
    <n v="10"/>
    <s v="Not Promoted"/>
    <s v="Senior"/>
    <s v="High"/>
    <s v="Senior"/>
    <s v="D02"/>
    <s v="D02"/>
    <s v="High"/>
  </r>
  <r>
    <x v="424"/>
    <s v="Shlok Dass"/>
    <x v="0"/>
    <n v="29"/>
    <x v="0"/>
    <x v="12"/>
    <s v="M.Tech"/>
    <n v="6"/>
    <d v="2018-04-12T00:00:00"/>
    <n v="77642"/>
    <n v="23014"/>
    <n v="5"/>
    <x v="0"/>
    <s v="Pune"/>
    <x v="0"/>
    <s v="Yes"/>
    <n v="55"/>
    <n v="8"/>
    <n v="4"/>
    <s v="Promoted"/>
    <s v="Young"/>
    <s v="High"/>
    <s v="Mid-Level"/>
    <s v="D06"/>
    <s v="D06"/>
    <s v="High"/>
  </r>
  <r>
    <x v="425"/>
    <s v="Rasha Mandal"/>
    <x v="0"/>
    <n v="27"/>
    <x v="4"/>
    <x v="5"/>
    <s v="MBA"/>
    <n v="2"/>
    <d v="2022-12-30T00:00:00"/>
    <n v="113744"/>
    <n v="15027"/>
    <n v="1"/>
    <x v="0"/>
    <s v="Chennai"/>
    <x v="0"/>
    <s v="No"/>
    <n v="28"/>
    <n v="12"/>
    <n v="9"/>
    <s v="Not Promoted"/>
    <s v="Young"/>
    <s v="Executive"/>
    <s v="Fresher"/>
    <s v="D02"/>
    <s v="D02"/>
    <s v="Executive"/>
  </r>
  <r>
    <x v="426"/>
    <s v="Nitara Raman"/>
    <x v="1"/>
    <n v="40"/>
    <x v="2"/>
    <x v="2"/>
    <s v="B.Tech"/>
    <n v="17"/>
    <d v="2021-12-10T00:00:00"/>
    <n v="65381"/>
    <n v="16499"/>
    <n v="4"/>
    <x v="1"/>
    <s v="Mumbai"/>
    <x v="1"/>
    <s v="No"/>
    <n v="51"/>
    <n v="13"/>
    <n v="9"/>
    <s v="Not Promoted"/>
    <s v="Mid-Age"/>
    <s v="High"/>
    <s v="Senior"/>
    <s v="D03"/>
    <s v="D03"/>
    <s v="High"/>
  </r>
  <r>
    <x v="427"/>
    <s v="Zeeshan Chatterjee"/>
    <x v="1"/>
    <n v="27"/>
    <x v="4"/>
    <x v="6"/>
    <s v="Graduate"/>
    <n v="5"/>
    <d v="2020-05-01T00:00:00"/>
    <n v="64745"/>
    <n v="2216"/>
    <n v="4"/>
    <x v="1"/>
    <s v="Chennai"/>
    <x v="0"/>
    <s v="No"/>
    <n v="31"/>
    <n v="5"/>
    <n v="9"/>
    <s v="Promoted"/>
    <s v="Young"/>
    <s v="High"/>
    <s v="Junior"/>
    <s v="D02"/>
    <s v="D02"/>
    <s v="High"/>
  </r>
  <r>
    <x v="428"/>
    <s v="Sumer Tank"/>
    <x v="1"/>
    <n v="30"/>
    <x v="1"/>
    <x v="3"/>
    <s v="M.Tech"/>
    <n v="8"/>
    <d v="2020-02-01T00:00:00"/>
    <n v="134089"/>
    <n v="11958"/>
    <n v="4"/>
    <x v="1"/>
    <s v="Pune"/>
    <x v="0"/>
    <s v="No"/>
    <n v="19"/>
    <n v="0"/>
    <n v="5"/>
    <s v="Promoted"/>
    <s v="Young"/>
    <s v="Executive"/>
    <s v="Mid-Level"/>
    <s v="D05"/>
    <s v="D05"/>
    <s v="Executive"/>
  </r>
  <r>
    <x v="429"/>
    <s v="Ryan Tiwari"/>
    <x v="0"/>
    <n v="38"/>
    <x v="3"/>
    <x v="4"/>
    <s v="Graduate"/>
    <n v="15"/>
    <d v="2023-04-20T00:00:00"/>
    <n v="41276"/>
    <n v="5911"/>
    <n v="3"/>
    <x v="1"/>
    <s v="Hyderabad"/>
    <x v="0"/>
    <s v="Yes"/>
    <n v="43"/>
    <n v="11"/>
    <n v="7"/>
    <s v="Not Promoted"/>
    <s v="Mid-Age"/>
    <s v="Medium"/>
    <s v="Senior"/>
    <s v="D01"/>
    <s v="D01"/>
    <s v="Medium"/>
  </r>
  <r>
    <x v="430"/>
    <s v="Dhanush Garg"/>
    <x v="1"/>
    <n v="49"/>
    <x v="1"/>
    <x v="3"/>
    <s v="Post Graduate"/>
    <n v="26"/>
    <d v="2023-05-04T00:00:00"/>
    <n v="115996"/>
    <n v="21059"/>
    <n v="1"/>
    <x v="0"/>
    <s v="Mumbai"/>
    <x v="0"/>
    <s v="No"/>
    <n v="34"/>
    <n v="4"/>
    <n v="6"/>
    <s v="Not Promoted"/>
    <s v="Senior"/>
    <s v="Executive"/>
    <s v="Senior"/>
    <s v="D05"/>
    <s v="D05"/>
    <s v="Executive"/>
  </r>
  <r>
    <x v="431"/>
    <s v="Myra Dutt"/>
    <x v="0"/>
    <n v="25"/>
    <x v="2"/>
    <x v="2"/>
    <s v="M.Tech"/>
    <n v="2"/>
    <d v="2022-01-19T00:00:00"/>
    <n v="79986"/>
    <n v="8350"/>
    <n v="3"/>
    <x v="2"/>
    <s v="Mumbai"/>
    <x v="0"/>
    <s v="Yes"/>
    <n v="43"/>
    <n v="5"/>
    <n v="1"/>
    <s v="Not Promoted"/>
    <s v="Young"/>
    <s v="High"/>
    <s v="Fresher"/>
    <s v="D03"/>
    <s v="D03"/>
    <s v="High"/>
  </r>
  <r>
    <x v="432"/>
    <s v="Manjari Srivastava"/>
    <x v="0"/>
    <n v="42"/>
    <x v="1"/>
    <x v="3"/>
    <s v="Graduate"/>
    <n v="16"/>
    <d v="2021-05-18T00:00:00"/>
    <n v="60580"/>
    <n v="6487"/>
    <n v="3"/>
    <x v="2"/>
    <s v="Bangalore"/>
    <x v="0"/>
    <s v="No"/>
    <n v="54"/>
    <n v="15"/>
    <n v="2"/>
    <s v="Not Promoted"/>
    <s v="Senior"/>
    <s v="High"/>
    <s v="Senior"/>
    <s v="D05"/>
    <s v="D05"/>
    <s v="High"/>
  </r>
  <r>
    <x v="433"/>
    <s v="Miraya Chandra"/>
    <x v="0"/>
    <n v="32"/>
    <x v="5"/>
    <x v="15"/>
    <s v="B.Tech"/>
    <n v="11"/>
    <d v="2020-06-11T00:00:00"/>
    <n v="45257"/>
    <n v="17089"/>
    <n v="5"/>
    <x v="0"/>
    <s v="Delhi"/>
    <x v="0"/>
    <s v="Yes"/>
    <n v="6"/>
    <n v="15"/>
    <n v="4"/>
    <s v="Not Promoted"/>
    <s v="Mid-Age"/>
    <s v="Medium"/>
    <s v="Senior"/>
    <s v="D04"/>
    <s v="D04"/>
    <s v="Medium"/>
  </r>
  <r>
    <x v="434"/>
    <s v="Piya Raval"/>
    <x v="1"/>
    <n v="45"/>
    <x v="2"/>
    <x v="17"/>
    <s v="Graduate"/>
    <n v="23"/>
    <d v="2022-12-16T00:00:00"/>
    <n v="141618"/>
    <n v="5886"/>
    <n v="5"/>
    <x v="0"/>
    <s v="Mumbai"/>
    <x v="0"/>
    <s v="Yes"/>
    <n v="49"/>
    <n v="7"/>
    <n v="9"/>
    <s v="Not Promoted"/>
    <s v="Senior"/>
    <s v="Executive"/>
    <s v="Senior"/>
    <s v="D03"/>
    <s v="D03"/>
    <s v="Executive"/>
  </r>
  <r>
    <x v="435"/>
    <s v="Oorja Buch"/>
    <x v="1"/>
    <n v="35"/>
    <x v="2"/>
    <x v="2"/>
    <s v="Graduate"/>
    <n v="13"/>
    <d v="2018-11-18T00:00:00"/>
    <n v="80680"/>
    <n v="8434"/>
    <n v="1"/>
    <x v="0"/>
    <s v="Delhi"/>
    <x v="1"/>
    <s v="Yes"/>
    <n v="35"/>
    <n v="3"/>
    <n v="2"/>
    <s v="Not Promoted"/>
    <s v="Mid-Age"/>
    <s v="High"/>
    <s v="Senior"/>
    <s v="D03"/>
    <s v="D03"/>
    <s v="High"/>
  </r>
  <r>
    <x v="436"/>
    <s v="Myra Bobal"/>
    <x v="0"/>
    <n v="26"/>
    <x v="2"/>
    <x v="2"/>
    <s v="Post Graduate"/>
    <n v="3"/>
    <d v="2018-02-12T00:00:00"/>
    <n v="123900"/>
    <n v="23974"/>
    <n v="1"/>
    <x v="1"/>
    <s v="Delhi"/>
    <x v="0"/>
    <s v="Yes"/>
    <n v="14"/>
    <n v="8"/>
    <n v="2"/>
    <s v="Not Promoted"/>
    <s v="Young"/>
    <s v="Executive"/>
    <s v="Junior"/>
    <s v="D03"/>
    <s v="D03"/>
    <s v="Executive"/>
  </r>
  <r>
    <x v="437"/>
    <s v="Hazel Kara"/>
    <x v="0"/>
    <n v="44"/>
    <x v="1"/>
    <x v="3"/>
    <s v="M.Tech"/>
    <n v="22"/>
    <d v="2023-08-13T00:00:00"/>
    <n v="127341"/>
    <n v="9110"/>
    <n v="5"/>
    <x v="2"/>
    <s v="Mumbai"/>
    <x v="0"/>
    <s v="No"/>
    <n v="15"/>
    <n v="17"/>
    <n v="4"/>
    <s v="Promoted"/>
    <s v="Senior"/>
    <s v="Executive"/>
    <s v="Senior"/>
    <s v="D05"/>
    <s v="D05"/>
    <s v="Executive"/>
  </r>
  <r>
    <x v="438"/>
    <s v="Dhanush Sundaram"/>
    <x v="0"/>
    <n v="28"/>
    <x v="3"/>
    <x v="8"/>
    <s v="Post Graduate"/>
    <n v="6"/>
    <d v="2023-08-28T00:00:00"/>
    <n v="136581"/>
    <n v="13626"/>
    <n v="4"/>
    <x v="1"/>
    <s v="Hyderabad"/>
    <x v="0"/>
    <s v="Yes"/>
    <n v="37"/>
    <n v="7"/>
    <n v="6"/>
    <s v="Promoted"/>
    <s v="Young"/>
    <s v="Executive"/>
    <s v="Mid-Level"/>
    <s v="D01"/>
    <s v="D01"/>
    <s v="Executive"/>
  </r>
  <r>
    <x v="439"/>
    <s v="Kiaan Mandal"/>
    <x v="1"/>
    <n v="42"/>
    <x v="5"/>
    <x v="10"/>
    <s v="M.Tech"/>
    <n v="21"/>
    <d v="2023-03-24T00:00:00"/>
    <n v="39459"/>
    <n v="3330"/>
    <n v="5"/>
    <x v="0"/>
    <s v="Bangalore"/>
    <x v="0"/>
    <s v="No"/>
    <n v="12"/>
    <n v="12"/>
    <n v="3"/>
    <s v="Not Promoted"/>
    <s v="Senior"/>
    <s v="Medium"/>
    <s v="Senior"/>
    <s v="D04"/>
    <s v="D04"/>
    <s v="Medium"/>
  </r>
  <r>
    <x v="440"/>
    <s v="Abram Dua"/>
    <x v="0"/>
    <n v="41"/>
    <x v="2"/>
    <x v="17"/>
    <s v="Graduate"/>
    <n v="15"/>
    <d v="2022-12-24T00:00:00"/>
    <n v="54605"/>
    <n v="17586"/>
    <n v="5"/>
    <x v="2"/>
    <s v="Bangalore"/>
    <x v="0"/>
    <s v="Yes"/>
    <n v="5"/>
    <n v="15"/>
    <n v="7"/>
    <s v="Not Promoted"/>
    <s v="Senior"/>
    <s v="Medium"/>
    <s v="Senior"/>
    <s v="D03"/>
    <s v="D03"/>
    <s v="Medium"/>
  </r>
  <r>
    <x v="441"/>
    <s v="Advika Jaggi"/>
    <x v="0"/>
    <n v="47"/>
    <x v="0"/>
    <x v="0"/>
    <s v="Post Graduate"/>
    <n v="23"/>
    <d v="2023-11-11T00:00:00"/>
    <n v="111317"/>
    <n v="4120"/>
    <n v="1"/>
    <x v="1"/>
    <s v="Mumbai"/>
    <x v="1"/>
    <s v="No"/>
    <n v="17"/>
    <n v="19"/>
    <n v="2"/>
    <s v="Not Promoted"/>
    <s v="Senior"/>
    <s v="Executive"/>
    <s v="Senior"/>
    <s v="D06"/>
    <s v="D06"/>
    <s v="Executive"/>
  </r>
  <r>
    <x v="442"/>
    <s v="Azad Saini"/>
    <x v="1"/>
    <n v="36"/>
    <x v="5"/>
    <x v="10"/>
    <s v="MBA"/>
    <n v="12"/>
    <d v="2023-08-07T00:00:00"/>
    <n v="61505"/>
    <n v="17591"/>
    <n v="5"/>
    <x v="2"/>
    <s v="Pune"/>
    <x v="0"/>
    <s v="No"/>
    <n v="36"/>
    <n v="16"/>
    <n v="10"/>
    <s v="Not Promoted"/>
    <s v="Mid-Age"/>
    <s v="High"/>
    <s v="Senior"/>
    <s v="D04"/>
    <s v="D04"/>
    <s v="High"/>
  </r>
  <r>
    <x v="443"/>
    <s v="Jivika Sani"/>
    <x v="0"/>
    <n v="51"/>
    <x v="2"/>
    <x v="2"/>
    <s v="Graduate"/>
    <n v="30"/>
    <d v="2019-05-16T00:00:00"/>
    <n v="57858"/>
    <n v="3731"/>
    <n v="4"/>
    <x v="0"/>
    <s v="Hyderabad"/>
    <x v="0"/>
    <s v="Yes"/>
    <n v="16"/>
    <n v="12"/>
    <n v="8"/>
    <s v="Not Promoted"/>
    <s v="Senior"/>
    <s v="Medium"/>
    <s v="Senior"/>
    <s v="D03"/>
    <s v="D03"/>
    <s v="Medium"/>
  </r>
  <r>
    <x v="444"/>
    <s v="Madhav Lad"/>
    <x v="1"/>
    <n v="42"/>
    <x v="1"/>
    <x v="1"/>
    <s v="B.Tech"/>
    <n v="20"/>
    <d v="2021-05-25T00:00:00"/>
    <n v="106522"/>
    <n v="8616"/>
    <n v="5"/>
    <x v="1"/>
    <s v="Chennai"/>
    <x v="0"/>
    <s v="No"/>
    <n v="36"/>
    <n v="16"/>
    <n v="2"/>
    <s v="Not Promoted"/>
    <s v="Senior"/>
    <s v="Executive"/>
    <s v="Senior"/>
    <s v="D05"/>
    <s v="D05"/>
    <s v="Executive"/>
  </r>
  <r>
    <x v="445"/>
    <s v="Dhruv Majumdar"/>
    <x v="1"/>
    <n v="43"/>
    <x v="2"/>
    <x v="7"/>
    <s v="MBA"/>
    <n v="18"/>
    <d v="2024-02-17T00:00:00"/>
    <n v="27316"/>
    <n v="14331"/>
    <n v="1"/>
    <x v="1"/>
    <s v="Hyderabad"/>
    <x v="0"/>
    <s v="Yes"/>
    <n v="7"/>
    <n v="5"/>
    <n v="7"/>
    <s v="Promoted"/>
    <s v="Senior"/>
    <s v="Low"/>
    <s v="Senior"/>
    <s v="D03"/>
    <s v="D03"/>
    <s v="Low"/>
  </r>
  <r>
    <x v="446"/>
    <s v="Vanya Toor"/>
    <x v="0"/>
    <n v="41"/>
    <x v="1"/>
    <x v="1"/>
    <s v="M.Tech"/>
    <n v="15"/>
    <d v="2019-11-04T00:00:00"/>
    <n v="89419"/>
    <n v="24119"/>
    <n v="4"/>
    <x v="1"/>
    <s v="Chennai"/>
    <x v="0"/>
    <s v="No"/>
    <n v="35"/>
    <n v="17"/>
    <n v="3"/>
    <s v="Not Promoted"/>
    <s v="Senior"/>
    <s v="High"/>
    <s v="Senior"/>
    <s v="D05"/>
    <s v="D05"/>
    <s v="High"/>
  </r>
  <r>
    <x v="447"/>
    <s v="Jivika Mangat"/>
    <x v="1"/>
    <n v="25"/>
    <x v="4"/>
    <x v="6"/>
    <s v="MBA"/>
    <n v="1"/>
    <d v="2020-12-14T00:00:00"/>
    <n v="89840"/>
    <n v="4012"/>
    <n v="5"/>
    <x v="0"/>
    <s v="Pune"/>
    <x v="0"/>
    <s v="Yes"/>
    <n v="13"/>
    <n v="11"/>
    <n v="7"/>
    <s v="Not Promoted"/>
    <s v="Young"/>
    <s v="High"/>
    <s v="Fresher"/>
    <s v="D02"/>
    <s v="D02"/>
    <s v="High"/>
  </r>
  <r>
    <x v="448"/>
    <s v="Divij Guha"/>
    <x v="1"/>
    <n v="23"/>
    <x v="2"/>
    <x v="7"/>
    <s v="Graduate"/>
    <n v="0"/>
    <d v="2021-10-29T00:00:00"/>
    <n v="74882"/>
    <n v="23667"/>
    <n v="1"/>
    <x v="0"/>
    <s v="Mumbai"/>
    <x v="0"/>
    <s v="Yes"/>
    <n v="46"/>
    <n v="9"/>
    <n v="7"/>
    <s v="Not Promoted"/>
    <s v="Young"/>
    <s v="High"/>
    <s v="Fresher"/>
    <s v="D03"/>
    <s v="D03"/>
    <s v="High"/>
  </r>
  <r>
    <x v="449"/>
    <s v="Priyansh Kala"/>
    <x v="1"/>
    <n v="26"/>
    <x v="1"/>
    <x v="13"/>
    <s v="M.Tech"/>
    <n v="3"/>
    <d v="2019-04-14T00:00:00"/>
    <n v="69249"/>
    <n v="18867"/>
    <n v="2"/>
    <x v="1"/>
    <s v="Bangalore"/>
    <x v="0"/>
    <s v="Yes"/>
    <n v="49"/>
    <n v="15"/>
    <n v="1"/>
    <s v="Promoted"/>
    <s v="Young"/>
    <s v="High"/>
    <s v="Junior"/>
    <s v="D05"/>
    <s v="D05"/>
    <s v="High"/>
  </r>
  <r>
    <x v="450"/>
    <s v="Dhruv Gaba"/>
    <x v="0"/>
    <n v="42"/>
    <x v="1"/>
    <x v="13"/>
    <s v="MBA"/>
    <n v="18"/>
    <d v="2024-05-25T00:00:00"/>
    <n v="76157"/>
    <n v="18276"/>
    <n v="3"/>
    <x v="2"/>
    <s v="Noida"/>
    <x v="1"/>
    <s v="No"/>
    <n v="15"/>
    <n v="19"/>
    <n v="10"/>
    <s v="Not Promoted"/>
    <s v="Senior"/>
    <s v="High"/>
    <s v="Senior"/>
    <s v="D05"/>
    <s v="D05"/>
    <s v="High"/>
  </r>
  <r>
    <x v="451"/>
    <s v="Mamooty Buch"/>
    <x v="1"/>
    <n v="49"/>
    <x v="2"/>
    <x v="17"/>
    <s v="M.Tech"/>
    <n v="27"/>
    <d v="2023-07-29T00:00:00"/>
    <n v="108288"/>
    <n v="15173"/>
    <n v="1"/>
    <x v="0"/>
    <s v="Pune"/>
    <x v="0"/>
    <s v="Yes"/>
    <n v="50"/>
    <n v="18"/>
    <n v="9"/>
    <s v="Not Promoted"/>
    <s v="Senior"/>
    <s v="Executive"/>
    <s v="Senior"/>
    <s v="D03"/>
    <s v="D03"/>
    <s v="Executive"/>
  </r>
  <r>
    <x v="452"/>
    <s v="Shanaya Kadakia"/>
    <x v="0"/>
    <n v="43"/>
    <x v="3"/>
    <x v="8"/>
    <s v="MBA"/>
    <n v="20"/>
    <d v="2018-10-03T00:00:00"/>
    <n v="99242"/>
    <n v="18536"/>
    <n v="5"/>
    <x v="1"/>
    <s v="Hyderabad"/>
    <x v="0"/>
    <s v="No"/>
    <n v="17"/>
    <n v="13"/>
    <n v="8"/>
    <s v="Not Promoted"/>
    <s v="Senior"/>
    <s v="Executive"/>
    <s v="Senior"/>
    <s v="D01"/>
    <s v="D01"/>
    <s v="Executive"/>
  </r>
  <r>
    <x v="453"/>
    <s v="Drishya Sarraf"/>
    <x v="0"/>
    <n v="54"/>
    <x v="5"/>
    <x v="15"/>
    <s v="B.Tech"/>
    <n v="30"/>
    <d v="2024-02-21T00:00:00"/>
    <n v="48671"/>
    <n v="10779"/>
    <n v="1"/>
    <x v="2"/>
    <s v="Pune"/>
    <x v="0"/>
    <s v="No"/>
    <n v="41"/>
    <n v="20"/>
    <n v="9"/>
    <s v="Not Promoted"/>
    <s v="Senior"/>
    <s v="Medium"/>
    <s v="Senior"/>
    <s v="D04"/>
    <s v="D04"/>
    <s v="Medium"/>
  </r>
  <r>
    <x v="454"/>
    <s v="Rohan Balay"/>
    <x v="1"/>
    <n v="34"/>
    <x v="3"/>
    <x v="8"/>
    <s v="B.Tech"/>
    <n v="11"/>
    <d v="2023-03-10T00:00:00"/>
    <n v="44365"/>
    <n v="12441"/>
    <n v="2"/>
    <x v="0"/>
    <s v="Chennai"/>
    <x v="0"/>
    <s v="Yes"/>
    <n v="59"/>
    <n v="13"/>
    <n v="3"/>
    <s v="Not Promoted"/>
    <s v="Mid-Age"/>
    <s v="Medium"/>
    <s v="Senior"/>
    <s v="D01"/>
    <s v="D01"/>
    <s v="Medium"/>
  </r>
  <r>
    <x v="455"/>
    <s v="Vardaniya Bajwa"/>
    <x v="0"/>
    <n v="32"/>
    <x v="2"/>
    <x v="17"/>
    <s v="MBA"/>
    <n v="9"/>
    <d v="2024-09-28T00:00:00"/>
    <n v="55950"/>
    <n v="17209"/>
    <n v="4"/>
    <x v="1"/>
    <s v="Pune"/>
    <x v="1"/>
    <s v="No"/>
    <n v="32"/>
    <n v="20"/>
    <n v="4"/>
    <s v="Promoted"/>
    <s v="Mid-Age"/>
    <s v="Medium"/>
    <s v="Mid-Level"/>
    <s v="D03"/>
    <s v="D03"/>
    <s v="Medium"/>
  </r>
  <r>
    <x v="456"/>
    <s v="Keya Sarin"/>
    <x v="0"/>
    <n v="32"/>
    <x v="3"/>
    <x v="4"/>
    <s v="B.Tech"/>
    <n v="9"/>
    <d v="2019-07-13T00:00:00"/>
    <n v="28819"/>
    <n v="2652"/>
    <n v="3"/>
    <x v="0"/>
    <s v="Noida"/>
    <x v="0"/>
    <s v="Yes"/>
    <n v="25"/>
    <n v="19"/>
    <n v="5"/>
    <s v="Promoted"/>
    <s v="Mid-Age"/>
    <s v="Low"/>
    <s v="Mid-Level"/>
    <s v="D01"/>
    <s v="D01"/>
    <s v="Low"/>
  </r>
  <r>
    <x v="457"/>
    <s v="Indrajit Kant"/>
    <x v="0"/>
    <n v="48"/>
    <x v="2"/>
    <x v="2"/>
    <s v="M.Tech"/>
    <n v="25"/>
    <d v="2019-01-05T00:00:00"/>
    <n v="77021"/>
    <n v="23765"/>
    <n v="2"/>
    <x v="2"/>
    <s v="Noida"/>
    <x v="1"/>
    <s v="No"/>
    <n v="36"/>
    <n v="2"/>
    <n v="4"/>
    <s v="Not Promoted"/>
    <s v="Senior"/>
    <s v="High"/>
    <s v="Senior"/>
    <s v="D03"/>
    <s v="D03"/>
    <s v="High"/>
  </r>
  <r>
    <x v="458"/>
    <s v="Suhana Halder"/>
    <x v="1"/>
    <n v="29"/>
    <x v="4"/>
    <x v="6"/>
    <s v="Post Graduate"/>
    <n v="6"/>
    <d v="2021-09-10T00:00:00"/>
    <n v="134095"/>
    <n v="6727"/>
    <n v="5"/>
    <x v="0"/>
    <s v="Mumbai"/>
    <x v="0"/>
    <s v="Yes"/>
    <n v="22"/>
    <n v="14"/>
    <n v="7"/>
    <s v="Not Promoted"/>
    <s v="Young"/>
    <s v="Executive"/>
    <s v="Mid-Level"/>
    <s v="D02"/>
    <s v="D02"/>
    <s v="Executive"/>
  </r>
  <r>
    <x v="459"/>
    <s v="Ayesha Bhattacharyya"/>
    <x v="0"/>
    <n v="25"/>
    <x v="5"/>
    <x v="15"/>
    <s v="MBA"/>
    <n v="1"/>
    <d v="2023-12-26T00:00:00"/>
    <n v="74113"/>
    <n v="6748"/>
    <n v="1"/>
    <x v="1"/>
    <s v="Hyderabad"/>
    <x v="0"/>
    <s v="No"/>
    <n v="57"/>
    <n v="9"/>
    <n v="6"/>
    <s v="Not Promoted"/>
    <s v="Young"/>
    <s v="High"/>
    <s v="Fresher"/>
    <s v="D04"/>
    <s v="D04"/>
    <s v="High"/>
  </r>
  <r>
    <x v="460"/>
    <s v="Anahita Lata"/>
    <x v="1"/>
    <n v="24"/>
    <x v="3"/>
    <x v="8"/>
    <s v="Graduate"/>
    <n v="0"/>
    <d v="2018-08-12T00:00:00"/>
    <n v="115529"/>
    <n v="19527"/>
    <n v="2"/>
    <x v="0"/>
    <s v="Noida"/>
    <x v="0"/>
    <s v="No"/>
    <n v="29"/>
    <n v="0"/>
    <n v="5"/>
    <s v="Not Promoted"/>
    <s v="Young"/>
    <s v="Executive"/>
    <s v="Fresher"/>
    <s v="D01"/>
    <s v="D01"/>
    <s v="Executive"/>
  </r>
  <r>
    <x v="461"/>
    <s v="Sumer Dhar"/>
    <x v="1"/>
    <n v="41"/>
    <x v="5"/>
    <x v="15"/>
    <s v="Graduate"/>
    <n v="20"/>
    <d v="2020-08-22T00:00:00"/>
    <n v="63983"/>
    <n v="10979"/>
    <n v="2"/>
    <x v="0"/>
    <s v="Noida"/>
    <x v="0"/>
    <s v="No"/>
    <n v="35"/>
    <n v="13"/>
    <n v="3"/>
    <s v="Not Promoted"/>
    <s v="Senior"/>
    <s v="High"/>
    <s v="Senior"/>
    <s v="D04"/>
    <s v="D04"/>
    <s v="High"/>
  </r>
  <r>
    <x v="462"/>
    <s v="Ojas Tella"/>
    <x v="1"/>
    <n v="49"/>
    <x v="2"/>
    <x v="7"/>
    <s v="B.Tech"/>
    <n v="28"/>
    <d v="2019-10-19T00:00:00"/>
    <n v="116551"/>
    <n v="24780"/>
    <n v="3"/>
    <x v="0"/>
    <s v="Noida"/>
    <x v="1"/>
    <s v="Yes"/>
    <n v="46"/>
    <n v="20"/>
    <n v="9"/>
    <s v="Not Promoted"/>
    <s v="Senior"/>
    <s v="Executive"/>
    <s v="Senior"/>
    <s v="D03"/>
    <s v="D03"/>
    <s v="Executive"/>
  </r>
  <r>
    <x v="463"/>
    <s v="Nakul Kalla"/>
    <x v="0"/>
    <n v="50"/>
    <x v="4"/>
    <x v="6"/>
    <s v="Graduate"/>
    <n v="24"/>
    <d v="2019-07-12T00:00:00"/>
    <n v="25403"/>
    <n v="7171"/>
    <n v="4"/>
    <x v="0"/>
    <s v="Pune"/>
    <x v="0"/>
    <s v="Yes"/>
    <n v="59"/>
    <n v="19"/>
    <n v="4"/>
    <s v="Not Promoted"/>
    <s v="Senior"/>
    <s v="Low"/>
    <s v="Senior"/>
    <s v="D02"/>
    <s v="D02"/>
    <s v="Low"/>
  </r>
  <r>
    <x v="464"/>
    <s v="Gokul Gour"/>
    <x v="1"/>
    <n v="42"/>
    <x v="0"/>
    <x v="11"/>
    <s v="MBA"/>
    <n v="18"/>
    <d v="2023-05-14T00:00:00"/>
    <n v="139492"/>
    <n v="8509"/>
    <n v="2"/>
    <x v="0"/>
    <s v="Hyderabad"/>
    <x v="0"/>
    <s v="No"/>
    <n v="16"/>
    <n v="12"/>
    <n v="5"/>
    <s v="Not Promoted"/>
    <s v="Senior"/>
    <s v="Executive"/>
    <s v="Senior"/>
    <s v="D06"/>
    <s v="D06"/>
    <s v="Executive"/>
  </r>
  <r>
    <x v="465"/>
    <s v="Hunar Varty"/>
    <x v="1"/>
    <n v="36"/>
    <x v="5"/>
    <x v="9"/>
    <s v="Post Graduate"/>
    <n v="15"/>
    <d v="2018-04-05T00:00:00"/>
    <n v="145994"/>
    <n v="10578"/>
    <n v="5"/>
    <x v="2"/>
    <s v="Noida"/>
    <x v="0"/>
    <s v="Yes"/>
    <n v="8"/>
    <n v="12"/>
    <n v="10"/>
    <s v="Not Promoted"/>
    <s v="Mid-Age"/>
    <s v="Executive"/>
    <s v="Senior"/>
    <s v="D04"/>
    <s v="D04"/>
    <s v="Executive"/>
  </r>
  <r>
    <x v="466"/>
    <s v="Darshit Reddy"/>
    <x v="1"/>
    <n v="38"/>
    <x v="1"/>
    <x v="3"/>
    <s v="B.Tech"/>
    <n v="16"/>
    <d v="2018-12-31T00:00:00"/>
    <n v="73224"/>
    <n v="24072"/>
    <n v="2"/>
    <x v="1"/>
    <s v="Delhi"/>
    <x v="1"/>
    <s v="Yes"/>
    <n v="50"/>
    <n v="6"/>
    <n v="10"/>
    <s v="Not Promoted"/>
    <s v="Mid-Age"/>
    <s v="High"/>
    <s v="Senior"/>
    <s v="D05"/>
    <s v="D05"/>
    <s v="High"/>
  </r>
  <r>
    <x v="467"/>
    <s v="Shalv Kapoor"/>
    <x v="1"/>
    <n v="40"/>
    <x v="4"/>
    <x v="16"/>
    <s v="Post Graduate"/>
    <n v="14"/>
    <d v="2023-07-18T00:00:00"/>
    <n v="75079"/>
    <n v="15707"/>
    <n v="2"/>
    <x v="0"/>
    <s v="Hyderabad"/>
    <x v="0"/>
    <s v="Yes"/>
    <n v="6"/>
    <n v="9"/>
    <n v="7"/>
    <s v="Not Promoted"/>
    <s v="Mid-Age"/>
    <s v="High"/>
    <s v="Senior"/>
    <s v="D02"/>
    <s v="D02"/>
    <s v="High"/>
  </r>
  <r>
    <x v="468"/>
    <s v="Reyansh Bobal"/>
    <x v="1"/>
    <n v="50"/>
    <x v="2"/>
    <x v="2"/>
    <s v="B.Tech"/>
    <n v="28"/>
    <d v="2022-02-23T00:00:00"/>
    <n v="101402"/>
    <n v="24506"/>
    <n v="4"/>
    <x v="0"/>
    <s v="Chennai"/>
    <x v="1"/>
    <s v="No"/>
    <n v="50"/>
    <n v="13"/>
    <n v="2"/>
    <s v="Promoted"/>
    <s v="Senior"/>
    <s v="Executive"/>
    <s v="Senior"/>
    <s v="D03"/>
    <s v="D03"/>
    <s v="Executive"/>
  </r>
  <r>
    <x v="469"/>
    <s v="Uthkarsh Walla"/>
    <x v="1"/>
    <n v="38"/>
    <x v="0"/>
    <x v="12"/>
    <s v="M.Tech"/>
    <n v="17"/>
    <d v="2019-01-26T00:00:00"/>
    <n v="98007"/>
    <n v="23980"/>
    <n v="1"/>
    <x v="2"/>
    <s v="Chennai"/>
    <x v="0"/>
    <s v="Yes"/>
    <n v="5"/>
    <n v="8"/>
    <n v="1"/>
    <s v="Not Promoted"/>
    <s v="Mid-Age"/>
    <s v="Executive"/>
    <s v="Senior"/>
    <s v="D06"/>
    <s v="D06"/>
    <s v="Executive"/>
  </r>
  <r>
    <x v="470"/>
    <s v="Vardaniya Cheema"/>
    <x v="0"/>
    <n v="46"/>
    <x v="1"/>
    <x v="1"/>
    <s v="MBA"/>
    <n v="23"/>
    <d v="2022-06-05T00:00:00"/>
    <n v="112983"/>
    <n v="7566"/>
    <n v="3"/>
    <x v="2"/>
    <s v="Hyderabad"/>
    <x v="0"/>
    <s v="No"/>
    <n v="34"/>
    <n v="4"/>
    <n v="3"/>
    <s v="Not Promoted"/>
    <s v="Senior"/>
    <s v="Executive"/>
    <s v="Senior"/>
    <s v="D05"/>
    <s v="D05"/>
    <s v="Executive"/>
  </r>
  <r>
    <x v="471"/>
    <s v="Onkar Singh"/>
    <x v="1"/>
    <n v="55"/>
    <x v="3"/>
    <x v="14"/>
    <s v="MBA"/>
    <n v="31"/>
    <d v="2019-08-04T00:00:00"/>
    <n v="59131"/>
    <n v="16093"/>
    <n v="1"/>
    <x v="1"/>
    <s v="Bangalore"/>
    <x v="1"/>
    <s v="No"/>
    <n v="38"/>
    <n v="10"/>
    <n v="6"/>
    <s v="Promoted"/>
    <s v="Senior"/>
    <s v="Medium"/>
    <s v="Senior"/>
    <s v="D01"/>
    <s v="D01"/>
    <s v="Medium"/>
  </r>
  <r>
    <x v="472"/>
    <s v="Navya Ganesh"/>
    <x v="1"/>
    <n v="42"/>
    <x v="5"/>
    <x v="10"/>
    <s v="Graduate"/>
    <n v="16"/>
    <d v="2023-07-06T00:00:00"/>
    <n v="125096"/>
    <n v="8190"/>
    <n v="2"/>
    <x v="0"/>
    <s v="Delhi"/>
    <x v="0"/>
    <s v="Yes"/>
    <n v="16"/>
    <n v="1"/>
    <n v="9"/>
    <s v="Not Promoted"/>
    <s v="Senior"/>
    <s v="Executive"/>
    <s v="Senior"/>
    <s v="D04"/>
    <s v="D04"/>
    <s v="Executive"/>
  </r>
  <r>
    <x v="473"/>
    <s v="Gatik Ramakrishnan"/>
    <x v="1"/>
    <n v="32"/>
    <x v="5"/>
    <x v="15"/>
    <s v="B.Tech"/>
    <n v="6"/>
    <d v="2023-03-29T00:00:00"/>
    <n v="82203"/>
    <n v="18154"/>
    <n v="1"/>
    <x v="0"/>
    <s v="Noida"/>
    <x v="1"/>
    <s v="Yes"/>
    <n v="12"/>
    <n v="11"/>
    <n v="8"/>
    <s v="Not Promoted"/>
    <s v="Mid-Age"/>
    <s v="High"/>
    <s v="Mid-Level"/>
    <s v="D04"/>
    <s v="D04"/>
    <s v="High"/>
  </r>
  <r>
    <x v="474"/>
    <s v="Purab Mahajan"/>
    <x v="0"/>
    <n v="40"/>
    <x v="3"/>
    <x v="4"/>
    <s v="M.Tech"/>
    <n v="18"/>
    <d v="2019-11-21T00:00:00"/>
    <n v="123295"/>
    <n v="2135"/>
    <n v="5"/>
    <x v="2"/>
    <s v="Noida"/>
    <x v="0"/>
    <s v="Yes"/>
    <n v="31"/>
    <n v="2"/>
    <n v="5"/>
    <s v="Not Promoted"/>
    <s v="Mid-Age"/>
    <s v="Executive"/>
    <s v="Senior"/>
    <s v="D01"/>
    <s v="D01"/>
    <s v="Executive"/>
  </r>
  <r>
    <x v="475"/>
    <s v="Dharmajan Kanda"/>
    <x v="0"/>
    <n v="28"/>
    <x v="4"/>
    <x v="16"/>
    <s v="MBA"/>
    <n v="5"/>
    <d v="2018-04-17T00:00:00"/>
    <n v="62261"/>
    <n v="7038"/>
    <n v="1"/>
    <x v="0"/>
    <s v="Delhi"/>
    <x v="0"/>
    <s v="No"/>
    <n v="58"/>
    <n v="15"/>
    <n v="7"/>
    <s v="Not Promoted"/>
    <s v="Young"/>
    <s v="High"/>
    <s v="Junior"/>
    <s v="D02"/>
    <s v="D02"/>
    <s v="High"/>
  </r>
  <r>
    <x v="476"/>
    <s v="Eshani Kashyap"/>
    <x v="0"/>
    <n v="39"/>
    <x v="5"/>
    <x v="9"/>
    <s v="Post Graduate"/>
    <n v="14"/>
    <d v="2018-01-24T00:00:00"/>
    <n v="68178"/>
    <n v="3595"/>
    <n v="1"/>
    <x v="2"/>
    <s v="Bangalore"/>
    <x v="0"/>
    <s v="No"/>
    <n v="56"/>
    <n v="1"/>
    <n v="10"/>
    <s v="Not Promoted"/>
    <s v="Mid-Age"/>
    <s v="High"/>
    <s v="Senior"/>
    <s v="D04"/>
    <s v="D04"/>
    <s v="High"/>
  </r>
  <r>
    <x v="477"/>
    <s v="Dishani Biswas"/>
    <x v="0"/>
    <n v="46"/>
    <x v="0"/>
    <x v="0"/>
    <s v="Graduate"/>
    <n v="25"/>
    <d v="2022-06-22T00:00:00"/>
    <n v="58444"/>
    <n v="8823"/>
    <n v="2"/>
    <x v="0"/>
    <s v="Hyderabad"/>
    <x v="0"/>
    <s v="No"/>
    <n v="23"/>
    <n v="20"/>
    <n v="4"/>
    <s v="Not Promoted"/>
    <s v="Senior"/>
    <s v="Medium"/>
    <s v="Senior"/>
    <s v="D06"/>
    <s v="D06"/>
    <s v="Medium"/>
  </r>
  <r>
    <x v="478"/>
    <s v="Zoya Sha"/>
    <x v="1"/>
    <n v="29"/>
    <x v="0"/>
    <x v="0"/>
    <s v="Graduate"/>
    <n v="6"/>
    <d v="2023-07-04T00:00:00"/>
    <n v="130001"/>
    <n v="14040"/>
    <n v="4"/>
    <x v="2"/>
    <s v="Mumbai"/>
    <x v="0"/>
    <s v="No"/>
    <n v="33"/>
    <n v="12"/>
    <n v="5"/>
    <s v="Not Promoted"/>
    <s v="Young"/>
    <s v="Executive"/>
    <s v="Mid-Level"/>
    <s v="D06"/>
    <s v="D06"/>
    <s v="Executive"/>
  </r>
  <r>
    <x v="479"/>
    <s v="Elakshi Butala"/>
    <x v="0"/>
    <n v="49"/>
    <x v="5"/>
    <x v="15"/>
    <s v="Graduate"/>
    <n v="28"/>
    <d v="2022-09-27T00:00:00"/>
    <n v="131298"/>
    <n v="18821"/>
    <n v="3"/>
    <x v="1"/>
    <s v="Hyderabad"/>
    <x v="0"/>
    <s v="Yes"/>
    <n v="46"/>
    <n v="4"/>
    <n v="10"/>
    <s v="Not Promoted"/>
    <s v="Senior"/>
    <s v="Executive"/>
    <s v="Senior"/>
    <s v="D04"/>
    <s v="D04"/>
    <s v="Executive"/>
  </r>
  <r>
    <x v="480"/>
    <s v="Lagan Saxena"/>
    <x v="0"/>
    <n v="55"/>
    <x v="5"/>
    <x v="9"/>
    <s v="Post Graduate"/>
    <n v="34"/>
    <d v="2021-04-05T00:00:00"/>
    <n v="86370"/>
    <n v="24423"/>
    <n v="4"/>
    <x v="1"/>
    <s v="Noida"/>
    <x v="0"/>
    <s v="Yes"/>
    <n v="38"/>
    <n v="13"/>
    <n v="2"/>
    <s v="Not Promoted"/>
    <s v="Senior"/>
    <s v="High"/>
    <s v="Senior"/>
    <s v="D04"/>
    <s v="D04"/>
    <s v="High"/>
  </r>
  <r>
    <x v="481"/>
    <s v="Mannat Sibal"/>
    <x v="0"/>
    <n v="25"/>
    <x v="2"/>
    <x v="7"/>
    <s v="B.Tech"/>
    <n v="0"/>
    <d v="2018-11-10T00:00:00"/>
    <n v="145232"/>
    <n v="23654"/>
    <n v="1"/>
    <x v="2"/>
    <s v="Pune"/>
    <x v="1"/>
    <s v="No"/>
    <n v="27"/>
    <n v="8"/>
    <n v="9"/>
    <s v="Not Promoted"/>
    <s v="Young"/>
    <s v="Executive"/>
    <s v="Fresher"/>
    <s v="D03"/>
    <s v="D03"/>
    <s v="Executive"/>
  </r>
  <r>
    <x v="482"/>
    <s v="Lagan Badami"/>
    <x v="0"/>
    <n v="54"/>
    <x v="1"/>
    <x v="13"/>
    <s v="Graduate"/>
    <n v="33"/>
    <d v="2019-04-12T00:00:00"/>
    <n v="122060"/>
    <n v="15639"/>
    <n v="4"/>
    <x v="2"/>
    <s v="Bangalore"/>
    <x v="0"/>
    <s v="No"/>
    <n v="42"/>
    <n v="14"/>
    <n v="3"/>
    <s v="Not Promoted"/>
    <s v="Senior"/>
    <s v="Executive"/>
    <s v="Senior"/>
    <s v="D05"/>
    <s v="D05"/>
    <s v="Executive"/>
  </r>
  <r>
    <x v="483"/>
    <s v="Vivaan Dara"/>
    <x v="0"/>
    <n v="38"/>
    <x v="0"/>
    <x v="11"/>
    <s v="B.Tech"/>
    <n v="15"/>
    <d v="2020-02-06T00:00:00"/>
    <n v="52665"/>
    <n v="19510"/>
    <n v="2"/>
    <x v="0"/>
    <s v="Delhi"/>
    <x v="0"/>
    <s v="No"/>
    <n v="12"/>
    <n v="0"/>
    <n v="2"/>
    <s v="Not Promoted"/>
    <s v="Mid-Age"/>
    <s v="Medium"/>
    <s v="Senior"/>
    <s v="D06"/>
    <s v="D06"/>
    <s v="Medium"/>
  </r>
  <r>
    <x v="484"/>
    <s v="Prisha Sharma"/>
    <x v="1"/>
    <n v="52"/>
    <x v="4"/>
    <x v="6"/>
    <s v="B.Tech"/>
    <n v="28"/>
    <d v="2022-07-18T00:00:00"/>
    <n v="138872"/>
    <n v="11917"/>
    <n v="5"/>
    <x v="0"/>
    <s v="Mumbai"/>
    <x v="0"/>
    <s v="Yes"/>
    <n v="5"/>
    <n v="6"/>
    <n v="8"/>
    <s v="Not Promoted"/>
    <s v="Senior"/>
    <s v="Executive"/>
    <s v="Senior"/>
    <s v="D02"/>
    <s v="D02"/>
    <s v="Executive"/>
  </r>
  <r>
    <x v="485"/>
    <s v="Amani Gupta"/>
    <x v="0"/>
    <n v="34"/>
    <x v="3"/>
    <x v="4"/>
    <s v="Graduate"/>
    <n v="13"/>
    <d v="2020-05-07T00:00:00"/>
    <n v="88060"/>
    <n v="11860"/>
    <n v="2"/>
    <x v="1"/>
    <s v="Mumbai"/>
    <x v="0"/>
    <s v="No"/>
    <n v="32"/>
    <n v="0"/>
    <n v="4"/>
    <s v="Not Promoted"/>
    <s v="Mid-Age"/>
    <s v="High"/>
    <s v="Senior"/>
    <s v="D01"/>
    <s v="D01"/>
    <s v="High"/>
  </r>
  <r>
    <x v="486"/>
    <s v="Dhanush Bali"/>
    <x v="0"/>
    <n v="31"/>
    <x v="3"/>
    <x v="4"/>
    <s v="MBA"/>
    <n v="5"/>
    <d v="2022-12-29T00:00:00"/>
    <n v="88576"/>
    <n v="20659"/>
    <n v="4"/>
    <x v="1"/>
    <s v="Delhi"/>
    <x v="0"/>
    <s v="No"/>
    <n v="5"/>
    <n v="3"/>
    <n v="1"/>
    <s v="Not Promoted"/>
    <s v="Mid-Age"/>
    <s v="High"/>
    <s v="Junior"/>
    <s v="D01"/>
    <s v="D01"/>
    <s v="High"/>
  </r>
  <r>
    <x v="487"/>
    <s v="Hansh Contractor"/>
    <x v="0"/>
    <n v="49"/>
    <x v="0"/>
    <x v="12"/>
    <s v="B.Tech"/>
    <n v="25"/>
    <d v="2023-07-24T00:00:00"/>
    <n v="121610"/>
    <n v="15096"/>
    <n v="5"/>
    <x v="1"/>
    <s v="Pune"/>
    <x v="0"/>
    <s v="No"/>
    <n v="19"/>
    <n v="1"/>
    <n v="10"/>
    <s v="Not Promoted"/>
    <s v="Senior"/>
    <s v="Executive"/>
    <s v="Senior"/>
    <s v="D06"/>
    <s v="D06"/>
    <s v="Executive"/>
  </r>
  <r>
    <x v="488"/>
    <s v="Vanya Sastry"/>
    <x v="1"/>
    <n v="49"/>
    <x v="1"/>
    <x v="13"/>
    <s v="Graduate"/>
    <n v="24"/>
    <d v="2021-07-17T00:00:00"/>
    <n v="97516"/>
    <n v="18213"/>
    <n v="1"/>
    <x v="2"/>
    <s v="Chennai"/>
    <x v="0"/>
    <s v="No"/>
    <n v="33"/>
    <n v="13"/>
    <n v="5"/>
    <s v="Not Promoted"/>
    <s v="Senior"/>
    <s v="Executive"/>
    <s v="Senior"/>
    <s v="D05"/>
    <s v="D05"/>
    <s v="Executive"/>
  </r>
  <r>
    <x v="489"/>
    <s v="Lakshay Rama"/>
    <x v="1"/>
    <n v="40"/>
    <x v="3"/>
    <x v="4"/>
    <s v="M.Tech"/>
    <n v="14"/>
    <d v="2020-02-27T00:00:00"/>
    <n v="86504"/>
    <n v="23527"/>
    <n v="3"/>
    <x v="1"/>
    <s v="Mumbai"/>
    <x v="0"/>
    <s v="No"/>
    <n v="51"/>
    <n v="12"/>
    <n v="8"/>
    <s v="Not Promoted"/>
    <s v="Mid-Age"/>
    <s v="High"/>
    <s v="Senior"/>
    <s v="D01"/>
    <s v="D01"/>
    <s v="High"/>
  </r>
  <r>
    <x v="490"/>
    <s v="Myra Mani"/>
    <x v="1"/>
    <n v="45"/>
    <x v="5"/>
    <x v="9"/>
    <s v="Post Graduate"/>
    <n v="21"/>
    <d v="2019-10-26T00:00:00"/>
    <n v="106506"/>
    <n v="7678"/>
    <n v="2"/>
    <x v="0"/>
    <s v="Mumbai"/>
    <x v="0"/>
    <s v="No"/>
    <n v="11"/>
    <n v="13"/>
    <n v="5"/>
    <s v="Promoted"/>
    <s v="Senior"/>
    <s v="Executive"/>
    <s v="Senior"/>
    <s v="D04"/>
    <s v="D04"/>
    <s v="Executive"/>
  </r>
  <r>
    <x v="491"/>
    <s v="Aarna Butala"/>
    <x v="0"/>
    <n v="37"/>
    <x v="5"/>
    <x v="15"/>
    <s v="Post Graduate"/>
    <n v="15"/>
    <d v="2024-03-30T00:00:00"/>
    <n v="31166"/>
    <n v="18497"/>
    <n v="1"/>
    <x v="0"/>
    <s v="Noida"/>
    <x v="0"/>
    <s v="Yes"/>
    <n v="26"/>
    <n v="13"/>
    <n v="6"/>
    <s v="Not Promoted"/>
    <s v="Mid-Age"/>
    <s v="Medium"/>
    <s v="Senior"/>
    <s v="D04"/>
    <s v="D04"/>
    <s v="Medium"/>
  </r>
  <r>
    <x v="492"/>
    <s v="Jivin Ramesh"/>
    <x v="0"/>
    <n v="36"/>
    <x v="3"/>
    <x v="8"/>
    <s v="M.Tech"/>
    <n v="15"/>
    <d v="2024-04-20T00:00:00"/>
    <n v="54372"/>
    <n v="10765"/>
    <n v="4"/>
    <x v="0"/>
    <s v="Noida"/>
    <x v="0"/>
    <s v="Yes"/>
    <n v="50"/>
    <n v="1"/>
    <n v="5"/>
    <s v="Not Promoted"/>
    <s v="Mid-Age"/>
    <s v="Medium"/>
    <s v="Senior"/>
    <s v="D01"/>
    <s v="D01"/>
    <s v="Medium"/>
  </r>
  <r>
    <x v="493"/>
    <s v="Zeeshan Varghese"/>
    <x v="0"/>
    <n v="29"/>
    <x v="5"/>
    <x v="15"/>
    <s v="Post Graduate"/>
    <n v="8"/>
    <d v="2024-11-05T00:00:00"/>
    <n v="104908"/>
    <n v="13850"/>
    <n v="1"/>
    <x v="0"/>
    <s v="Chennai"/>
    <x v="1"/>
    <s v="No"/>
    <n v="50"/>
    <n v="14"/>
    <n v="9"/>
    <s v="Promoted"/>
    <s v="Young"/>
    <s v="Executive"/>
    <s v="Mid-Level"/>
    <s v="D04"/>
    <s v="D04"/>
    <s v="Executive"/>
  </r>
  <r>
    <x v="494"/>
    <s v="Miraan Swamy"/>
    <x v="1"/>
    <n v="28"/>
    <x v="1"/>
    <x v="3"/>
    <s v="Graduate"/>
    <n v="6"/>
    <d v="2022-01-29T00:00:00"/>
    <n v="68857"/>
    <n v="10038"/>
    <n v="2"/>
    <x v="1"/>
    <s v="Bangalore"/>
    <x v="0"/>
    <s v="No"/>
    <n v="37"/>
    <n v="5"/>
    <n v="2"/>
    <s v="Not Promoted"/>
    <s v="Young"/>
    <s v="High"/>
    <s v="Mid-Level"/>
    <s v="D05"/>
    <s v="D05"/>
    <s v="High"/>
  </r>
  <r>
    <x v="495"/>
    <s v="Prerak Mallick"/>
    <x v="0"/>
    <n v="45"/>
    <x v="3"/>
    <x v="14"/>
    <s v="Post Graduate"/>
    <n v="19"/>
    <d v="2022-08-27T00:00:00"/>
    <n v="72270"/>
    <n v="16051"/>
    <n v="2"/>
    <x v="1"/>
    <s v="Hyderabad"/>
    <x v="0"/>
    <s v="No"/>
    <n v="59"/>
    <n v="16"/>
    <n v="3"/>
    <s v="Not Promoted"/>
    <s v="Senior"/>
    <s v="High"/>
    <s v="Senior"/>
    <s v="D01"/>
    <s v="D01"/>
    <s v="High"/>
  </r>
  <r>
    <x v="496"/>
    <s v="Akarsh Bora"/>
    <x v="1"/>
    <n v="23"/>
    <x v="0"/>
    <x v="11"/>
    <s v="B.Tech"/>
    <n v="0"/>
    <d v="2019-08-20T00:00:00"/>
    <n v="125945"/>
    <n v="7384"/>
    <n v="1"/>
    <x v="1"/>
    <s v="Delhi"/>
    <x v="0"/>
    <s v="No"/>
    <n v="53"/>
    <n v="1"/>
    <n v="9"/>
    <s v="Promoted"/>
    <s v="Young"/>
    <s v="Executive"/>
    <s v="Fresher"/>
    <s v="D06"/>
    <s v="D06"/>
    <s v="Executive"/>
  </r>
  <r>
    <x v="497"/>
    <s v="Rasha Sood"/>
    <x v="1"/>
    <n v="31"/>
    <x v="0"/>
    <x v="12"/>
    <s v="MBA"/>
    <n v="6"/>
    <d v="2018-08-25T00:00:00"/>
    <n v="107786"/>
    <n v="13277"/>
    <n v="5"/>
    <x v="0"/>
    <s v="Noida"/>
    <x v="0"/>
    <s v="No"/>
    <n v="38"/>
    <n v="19"/>
    <n v="5"/>
    <s v="Not Promoted"/>
    <s v="Mid-Age"/>
    <s v="Executive"/>
    <s v="Mid-Level"/>
    <s v="D06"/>
    <s v="D06"/>
    <s v="Executive"/>
  </r>
  <r>
    <x v="498"/>
    <s v="Ritvik Das"/>
    <x v="1"/>
    <n v="47"/>
    <x v="4"/>
    <x v="6"/>
    <s v="B.Tech"/>
    <n v="23"/>
    <d v="2020-04-20T00:00:00"/>
    <n v="141336"/>
    <n v="8464"/>
    <n v="5"/>
    <x v="1"/>
    <s v="Delhi"/>
    <x v="0"/>
    <s v="Yes"/>
    <n v="39"/>
    <n v="10"/>
    <n v="10"/>
    <s v="Not Promoted"/>
    <s v="Senior"/>
    <s v="Executive"/>
    <s v="Senior"/>
    <s v="D02"/>
    <s v="D02"/>
    <s v="Executive"/>
  </r>
  <r>
    <x v="499"/>
    <s v="Adah Rana"/>
    <x v="1"/>
    <n v="30"/>
    <x v="5"/>
    <x v="9"/>
    <s v="Post Graduate"/>
    <n v="5"/>
    <d v="2024-01-25T00:00:00"/>
    <n v="62214"/>
    <n v="2767"/>
    <n v="2"/>
    <x v="0"/>
    <s v="Noida"/>
    <x v="0"/>
    <s v="No"/>
    <n v="20"/>
    <n v="9"/>
    <n v="2"/>
    <s v="Not Promoted"/>
    <s v="Young"/>
    <s v="High"/>
    <s v="Junior"/>
    <s v="D04"/>
    <s v="D04"/>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19:F26" firstHeaderRow="1" firstDataRow="1" firstDataCol="1"/>
  <pivotFields count="26">
    <pivotField showAll="0"/>
    <pivotField showAll="0"/>
    <pivotField showAll="0">
      <items count="3">
        <item x="1"/>
        <item x="0"/>
        <item t="default"/>
      </items>
    </pivotField>
    <pivotField numFmtId="1" showAll="0"/>
    <pivotField axis="axisRow" showAll="0">
      <items count="7">
        <item x="5"/>
        <item x="3"/>
        <item x="2"/>
        <item x="1"/>
        <item x="0"/>
        <item x="4"/>
        <item t="default"/>
      </items>
    </pivotField>
    <pivotField showAll="0"/>
    <pivotField showAll="0"/>
    <pivotField showAll="0"/>
    <pivotField numFmtId="164" showAll="0"/>
    <pivotField numFmtId="167" showAll="0"/>
    <pivotField numFmtId="167" showAll="0"/>
    <pivotField dataField="1"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Average of Performance_Rating" fld="11" subtotal="average" baseField="4" baseItem="0" numFmtId="177"/>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13:F17" firstHeaderRow="1" firstDataRow="1" firstDataCol="1"/>
  <pivotFields count="26">
    <pivotField dataField="1" showAll="0"/>
    <pivotField showAll="0"/>
    <pivotField showAll="0">
      <items count="3">
        <item x="1"/>
        <item x="0"/>
        <item t="default"/>
      </items>
    </pivotField>
    <pivotField numFmtId="1" showAll="0"/>
    <pivotField showAll="0">
      <items count="7">
        <item x="5"/>
        <item x="3"/>
        <item x="2"/>
        <item x="1"/>
        <item x="0"/>
        <item x="4"/>
        <item t="default"/>
      </items>
    </pivotField>
    <pivotField showAll="0">
      <items count="19">
        <item x="10"/>
        <item x="6"/>
        <item x="3"/>
        <item x="2"/>
        <item x="9"/>
        <item x="15"/>
        <item x="4"/>
        <item x="8"/>
        <item x="1"/>
        <item x="0"/>
        <item x="12"/>
        <item x="14"/>
        <item x="5"/>
        <item x="16"/>
        <item x="13"/>
        <item x="17"/>
        <item x="11"/>
        <item x="7"/>
        <item t="default"/>
      </items>
    </pivotField>
    <pivotField showAll="0"/>
    <pivotField showAll="0"/>
    <pivotField numFmtId="164" showAll="0"/>
    <pivotField numFmtId="167" showAll="0"/>
    <pivotField numFmtId="167" showAll="0"/>
    <pivotField showAll="0"/>
    <pivotField axis="axisRow" showAll="0">
      <items count="4">
        <item x="1"/>
        <item x="2"/>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2:B15" firstHeaderRow="1" firstDataRow="1" firstDataCol="1"/>
  <pivotFields count="26">
    <pivotField dataField="1" showAll="0"/>
    <pivotField showAll="0"/>
    <pivotField axis="axisRow" showAll="0">
      <items count="3">
        <item x="1"/>
        <item x="0"/>
        <item t="default"/>
      </items>
    </pivotField>
    <pivotField numFmtId="1" showAll="0"/>
    <pivotField showAll="0">
      <items count="7">
        <item x="5"/>
        <item x="3"/>
        <item x="2"/>
        <item x="1"/>
        <item x="0"/>
        <item x="4"/>
        <item t="default"/>
      </items>
    </pivotField>
    <pivotField showAll="0"/>
    <pivotField showAll="0"/>
    <pivotField showAll="0"/>
    <pivotField numFmtId="164" showAll="0"/>
    <pivotField numFmtId="167" showAll="0"/>
    <pivotField numFmtId="167"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_ID" fld="0" subtotal="count" baseField="2" baseItem="0"/>
  </dataFields>
  <chartFormats count="4">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 count="1" selected="0">
            <x v="0"/>
          </reference>
        </references>
      </pivotArea>
    </chartFormat>
    <chartFormat chart="8"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G3:H10" firstHeaderRow="1" firstDataRow="1" firstDataCol="1"/>
  <pivotFields count="26">
    <pivotField showAll="0"/>
    <pivotField showAll="0"/>
    <pivotField showAll="0">
      <items count="3">
        <item x="1"/>
        <item x="0"/>
        <item t="default"/>
      </items>
    </pivotField>
    <pivotField numFmtId="1" showAll="0"/>
    <pivotField axis="axisRow" showAll="0">
      <items count="7">
        <item x="5"/>
        <item x="3"/>
        <item x="2"/>
        <item x="1"/>
        <item x="0"/>
        <item x="4"/>
        <item t="default"/>
      </items>
    </pivotField>
    <pivotField showAll="0"/>
    <pivotField showAll="0"/>
    <pivotField showAll="0"/>
    <pivotField numFmtId="164" showAll="0"/>
    <pivotField dataField="1" numFmtId="167" showAll="0"/>
    <pivotField numFmtId="167"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Average of Salary" fld="9" subtotal="average" baseField="4" baseItem="0" numFmtId="166"/>
  </dataFields>
  <formats count="2">
    <format dxfId="2">
      <pivotArea collapsedLevelsAreSubtotals="1" fieldPosition="0">
        <references count="1">
          <reference field="4" count="0"/>
        </references>
      </pivotArea>
    </format>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D3:E10" firstHeaderRow="1" firstDataRow="1" firstDataCol="1" rowPageCount="1" colPageCount="1"/>
  <pivotFields count="26">
    <pivotField showAll="0"/>
    <pivotField showAll="0"/>
    <pivotField showAll="0">
      <items count="3">
        <item x="1"/>
        <item x="0"/>
        <item t="default"/>
      </items>
    </pivotField>
    <pivotField numFmtId="1" showAll="0"/>
    <pivotField axis="axisRow" showAll="0">
      <items count="7">
        <item x="5"/>
        <item x="3"/>
        <item x="2"/>
        <item x="1"/>
        <item x="0"/>
        <item x="4"/>
        <item t="default"/>
      </items>
    </pivotField>
    <pivotField showAll="0"/>
    <pivotField showAll="0"/>
    <pivotField showAll="0"/>
    <pivotField numFmtId="164" showAll="0"/>
    <pivotField numFmtId="167" showAll="0"/>
    <pivotField numFmtId="167" showAll="0"/>
    <pivotField showAll="0"/>
    <pivotField showAll="0">
      <items count="4">
        <item x="1"/>
        <item x="2"/>
        <item x="0"/>
        <item t="default"/>
      </items>
    </pivotField>
    <pivotField showAll="0"/>
    <pivotField axis="axisPage" dataField="1"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pageFields count="1">
    <pageField fld="14" hier="-1"/>
  </pageFields>
  <dataFields count="1">
    <dataField name="Count of Attrition" fld="14"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2:B9" firstHeaderRow="1" firstDataRow="1" firstDataCol="1"/>
  <pivotFields count="2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numFmtId="1" showAll="0"/>
    <pivotField axis="axisRow" showAll="0">
      <items count="7">
        <item x="5"/>
        <item x="3"/>
        <item x="2"/>
        <item x="1"/>
        <item x="0"/>
        <item x="4"/>
        <item t="default"/>
      </items>
    </pivotField>
    <pivotField showAll="0"/>
    <pivotField showAll="0"/>
    <pivotField showAll="0"/>
    <pivotField numFmtId="164" showAll="0"/>
    <pivotField numFmtId="167" showAll="0"/>
    <pivotField numFmtId="167"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Employee_ID" fld="0" subtotal="count" baseField="4"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PivotTable1"/>
    <pivotTable tabId="7" name="PivotTable2"/>
    <pivotTable tabId="7" name="PivotTable3"/>
    <pivotTable tabId="7" name="PivotTable4"/>
    <pivotTable tabId="7" name="PivotTable5"/>
    <pivotTable tabId="7" name="PivotTable6"/>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7" name="PivotTable1"/>
    <pivotTable tabId="7" name="PivotTable2"/>
    <pivotTable tabId="7" name="PivotTable3"/>
    <pivotTable tabId="7" name="PivotTable4"/>
    <pivotTable tabId="7" name="PivotTable5"/>
    <pivotTable tabId="7" name="PivotTable6"/>
  </pivotTables>
  <data>
    <tabular pivotCacheId="1">
      <items count="6">
        <i x="5" s="1"/>
        <i x="3" s="1"/>
        <i x="2"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ork_Mode" sourceName="Work_Mode">
  <pivotTables>
    <pivotTable tabId="7" name="PivotTable1"/>
    <pivotTable tabId="7" name="PivotTable2"/>
    <pivotTable tabId="7" name="PivotTable3"/>
    <pivotTable tabId="7" name="PivotTable4"/>
    <pivotTable tabId="7" name="PivotTable5"/>
    <pivotTable tabId="7" name="PivotTable6"/>
  </pivotTables>
  <data>
    <tabular pivotCacheId="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Job_Role" sourceName="Job_Role">
  <pivotTables>
    <pivotTable tabId="7" name="PivotTable5"/>
  </pivotTables>
  <data>
    <tabular pivotCacheId="1">
      <items count="18">
        <i x="10" s="1"/>
        <i x="6" s="1"/>
        <i x="3" s="1"/>
        <i x="2" s="1"/>
        <i x="9" s="1"/>
        <i x="15" s="1"/>
        <i x="4" s="1"/>
        <i x="8" s="1"/>
        <i x="1" s="1"/>
        <i x="0" s="1"/>
        <i x="12" s="1"/>
        <i x="14" s="1"/>
        <i x="5" s="1"/>
        <i x="16" s="1"/>
        <i x="13" s="1"/>
        <i x="17" s="1"/>
        <i x="11"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7" name="PivotTable5"/>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 name="Department" cache="Slicer_Department" caption="Department" rowHeight="234950"/>
  <slicer name="Work_Mode" cache="Slicer_Work_Mode" caption="Work_Mode" rowHeight="234950"/>
  <slicer name="Job_Role" cache="Slicer_Job_Role" caption="Job_Role" rowHeight="234950"/>
  <slicer name="Attrition" cache="Slicer_Attrition" caption="Attritio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34950"/>
  <slicer name="Department 1" cache="Slicer_Department" caption="Department" rowHeight="234950"/>
  <slicer name="Work_Mode 1" cache="Slicer_Work_Mode" caption="Work_Mode" rowHeight="234950"/>
  <slicer name="Attrition 1" cache="Slicer_Attrition" caption="Attrition" rowHeight="234950"/>
</slicers>
</file>

<file path=xl/tables/table1.xml><?xml version="1.0" encoding="utf-8"?>
<table xmlns="http://schemas.openxmlformats.org/spreadsheetml/2006/main" id="1" name="Employees_Data" displayName="Employees_Data" ref="A1:Z501" totalsRowShown="0">
  <autoFilter ref="A1:Z501">
    <filterColumn colId="14">
      <filters>
        <filter val="Yes"/>
      </filters>
    </filterColumn>
  </autoFilter>
  <sortState ref="A2:W501">
    <sortCondition ref="A1:A501"/>
  </sortState>
  <tableColumns count="26">
    <tableColumn id="1" name="Employee_ID"/>
    <tableColumn id="2" name="Employee_Name"/>
    <tableColumn id="3" name="Gender"/>
    <tableColumn id="4" name="Age" dataDxfId="12"/>
    <tableColumn id="5" name="Department"/>
    <tableColumn id="6" name="Job_Role"/>
    <tableColumn id="7" name="Education"/>
    <tableColumn id="8" name="Experience_Years"/>
    <tableColumn id="9" name="Joining_Date" dataDxfId="11"/>
    <tableColumn id="10" name="Salary" dataDxfId="10"/>
    <tableColumn id="11" name="Bonus" dataDxfId="9"/>
    <tableColumn id="12" name="Performance_Rating"/>
    <tableColumn id="13" name="Work_Mode"/>
    <tableColumn id="14" name="City"/>
    <tableColumn id="15" name="Attrition"/>
    <tableColumn id="16" name="Overtime"/>
    <tableColumn id="17" name="Training_Hours"/>
    <tableColumn id="18" name="Leaves_Taken"/>
    <tableColumn id="19" name="Satisfaction_Score"/>
    <tableColumn id="20" name="Promotion_Status"/>
    <tableColumn id="21" name="Age_Group_Colummn" dataDxfId="8">
      <calculatedColumnFormula>IF(AND(Employees_Data[[#This Row],[Age]]&gt;=20,Employees_Data[[#This Row],[Age]]&lt;=30),"Young",IF(AND(Employees_Data[[#This Row],[Age]]&gt;=31,Employees_Data[[#This Row],[Age]]&lt;=40),"Mid-Age",IF(Employees_Data[[#This Row],[Age]]&gt;=41,"Senior")))</calculatedColumnFormula>
    </tableColumn>
    <tableColumn id="22" name="Salary_Band" dataDxfId="7">
      <calculatedColumnFormula>IF(Employees_Data[[#This Row],[Salary]]&lt;=30000,"Low",IF(AND(Employees_Data[[#This Row],[Salary]]&gt;30000,Employees_Data[[#This Row],[Salary]]&lt;=60000),"Medium",IF(AND(Employees_Data[[#This Row],[Salary]]&gt;60000,Employees_Data[[#This Row],[Salary]]&lt;=90000),"High",IF(Employees_Data[[#This Row],[Salary]]&gt;90000,"Executive"))))</calculatedColumnFormula>
    </tableColumn>
    <tableColumn id="23" name="Experience_Level" dataDxfId="6">
      <calculatedColumnFormula>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calculatedColumnFormula>
    </tableColumn>
    <tableColumn id="24" name="Department_ID (VLOOKUP)" dataDxfId="5">
      <calculatedColumnFormula>VLOOKUP(Employees_Data[[#This Row],[Department]],Departments!$A$2:$B$7,2,FALSE)</calculatedColumnFormula>
    </tableColumn>
    <tableColumn id="25" name="Department_ID(Index+Match)" dataDxfId="4">
      <calculatedColumnFormula>INDEX(Departments!$B$2:$B$7,MATCH(Employees_Data[[#This Row],[Department]],Departments!$A$2:$A$7,0))</calculatedColumnFormula>
    </tableColumn>
    <tableColumn id="26" name="Salary_band(Index+Match)" dataDxfId="3">
      <calculatedColumnFormula>INDEX(Salary_Bands!$C$2:$C$5,MATCH(Employees_Data[[#This Row],[Salary]],Salary_Bands!$A$2:$A$5,1))</calculatedColumnFormula>
    </tableColumn>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974"/>
  <sheetViews>
    <sheetView topLeftCell="J1" zoomScale="97" zoomScaleNormal="70" workbookViewId="0">
      <pane ySplit="1" topLeftCell="A10" activePane="bottomLeft" state="frozen"/>
      <selection pane="bottomLeft" activeCell="Q28" sqref="Q28"/>
    </sheetView>
  </sheetViews>
  <sheetFormatPr defaultRowHeight="14.4" x14ac:dyDescent="0.3"/>
  <cols>
    <col min="1" max="1" width="14.33203125" bestFit="1" customWidth="1"/>
    <col min="2" max="2" width="20.77734375" customWidth="1"/>
    <col min="3" max="3" width="9.33203125" bestFit="1" customWidth="1"/>
    <col min="4" max="4" width="6.44140625" bestFit="1" customWidth="1"/>
    <col min="5" max="5" width="13.33203125" bestFit="1" customWidth="1"/>
    <col min="6" max="6" width="27.88671875" bestFit="1" customWidth="1"/>
    <col min="7" max="7" width="12.6640625" customWidth="1"/>
    <col min="8" max="8" width="17.88671875" bestFit="1" customWidth="1"/>
    <col min="9" max="9" width="14" bestFit="1" customWidth="1"/>
    <col min="10" max="10" width="16.21875" customWidth="1"/>
    <col min="11" max="11" width="16.6640625" customWidth="1"/>
    <col min="12" max="12" width="20.6640625" bestFit="1" customWidth="1"/>
    <col min="13" max="13" width="13.77734375" bestFit="1" customWidth="1"/>
    <col min="14" max="14" width="9.77734375" bestFit="1" customWidth="1"/>
    <col min="15" max="15" width="10.21875" bestFit="1" customWidth="1"/>
    <col min="16" max="16" width="11" bestFit="1" customWidth="1"/>
    <col min="17" max="17" width="16" bestFit="1" customWidth="1"/>
    <col min="18" max="18" width="15" bestFit="1" customWidth="1"/>
    <col min="19" max="19" width="18.77734375" bestFit="1" customWidth="1"/>
    <col min="20" max="20" width="18.5546875" bestFit="1" customWidth="1"/>
    <col min="21" max="21" width="21.6640625" bestFit="1" customWidth="1"/>
    <col min="22" max="22" width="13.33203125" bestFit="1" customWidth="1"/>
    <col min="23" max="23" width="17.44140625" bestFit="1" customWidth="1"/>
    <col min="24" max="24" width="26.44140625" bestFit="1" customWidth="1"/>
    <col min="25" max="25" width="28.88671875" bestFit="1" customWidth="1"/>
    <col min="26" max="26" width="10.77734375" bestFit="1" customWidth="1"/>
    <col min="28" max="28" width="9.6640625" customWidth="1"/>
    <col min="29" max="29" width="20" customWidth="1"/>
    <col min="32" max="32" width="9.6640625" bestFit="1" customWidth="1"/>
  </cols>
  <sheetData>
    <row r="1" spans="1:34" x14ac:dyDescent="0.3">
      <c r="A1" s="3" t="s">
        <v>0</v>
      </c>
      <c r="B1" s="3" t="s">
        <v>1</v>
      </c>
      <c r="C1" s="3" t="s">
        <v>2</v>
      </c>
      <c r="D1" s="11" t="s">
        <v>3</v>
      </c>
      <c r="E1" t="s">
        <v>4</v>
      </c>
      <c r="F1" t="s">
        <v>5</v>
      </c>
      <c r="G1" t="s">
        <v>6</v>
      </c>
      <c r="H1" t="s">
        <v>7</v>
      </c>
      <c r="I1" t="s">
        <v>8</v>
      </c>
      <c r="J1" t="s">
        <v>9</v>
      </c>
      <c r="K1" t="s">
        <v>10</v>
      </c>
      <c r="L1" t="s">
        <v>11</v>
      </c>
      <c r="M1" t="s">
        <v>12</v>
      </c>
      <c r="N1" t="s">
        <v>13</v>
      </c>
      <c r="O1" t="s">
        <v>14</v>
      </c>
      <c r="P1" t="s">
        <v>15</v>
      </c>
      <c r="Q1" t="s">
        <v>16</v>
      </c>
      <c r="R1" t="s">
        <v>17</v>
      </c>
      <c r="S1" t="s">
        <v>18</v>
      </c>
      <c r="T1" t="s">
        <v>19</v>
      </c>
      <c r="U1" t="s">
        <v>1103</v>
      </c>
      <c r="V1" t="s">
        <v>1093</v>
      </c>
      <c r="W1" t="s">
        <v>1104</v>
      </c>
      <c r="X1" s="15" t="s">
        <v>1108</v>
      </c>
      <c r="Y1" t="s">
        <v>1109</v>
      </c>
      <c r="Z1" t="s">
        <v>1110</v>
      </c>
    </row>
    <row r="2" spans="1:34" hidden="1" x14ac:dyDescent="0.3">
      <c r="A2" t="s">
        <v>20</v>
      </c>
      <c r="B2" t="s">
        <v>21</v>
      </c>
      <c r="C2" t="s">
        <v>22</v>
      </c>
      <c r="D2" s="12">
        <v>23</v>
      </c>
      <c r="E2" t="s">
        <v>23</v>
      </c>
      <c r="F2" t="s">
        <v>24</v>
      </c>
      <c r="G2" t="s">
        <v>25</v>
      </c>
      <c r="H2">
        <v>0</v>
      </c>
      <c r="I2" s="1">
        <v>44227</v>
      </c>
      <c r="J2" s="10">
        <v>57098</v>
      </c>
      <c r="K2" s="10">
        <v>15825</v>
      </c>
      <c r="L2">
        <v>2</v>
      </c>
      <c r="M2" t="s">
        <v>26</v>
      </c>
      <c r="N2" t="s">
        <v>27</v>
      </c>
      <c r="O2" t="s">
        <v>28</v>
      </c>
      <c r="P2" t="s">
        <v>29</v>
      </c>
      <c r="Q2">
        <v>18</v>
      </c>
      <c r="R2">
        <v>7</v>
      </c>
      <c r="S2">
        <v>3</v>
      </c>
      <c r="T2" t="s">
        <v>30</v>
      </c>
      <c r="U2" t="str">
        <f>IF(AND(Employees_Data[[#This Row],[Age]]&gt;=20,Employees_Data[[#This Row],[Age]]&lt;=30),"Young",IF(AND(Employees_Data[[#This Row],[Age]]&gt;=31,Employees_Data[[#This Row],[Age]]&lt;=40),"Mid-Age",IF(Employees_Data[[#This Row],[Age]]&gt;=41,"Senior")))</f>
        <v>Young</v>
      </c>
      <c r="V2" t="str">
        <f>IF(Employees_Data[[#This Row],[Salary]]&lt;=30000,"Low",IF(AND(Employees_Data[[#This Row],[Salary]]&gt;30000,Employees_Data[[#This Row],[Salary]]&lt;=60000),"Medium",IF(AND(Employees_Data[[#This Row],[Salary]]&gt;60000,Employees_Data[[#This Row],[Salary]]&lt;=90000),"High",IF(Employees_Data[[#This Row],[Salary]]&gt;90000,"Executive"))))</f>
        <v>Medium</v>
      </c>
      <c r="W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2" s="14" t="str">
        <f>VLOOKUP(Employees_Data[[#This Row],[Department]],Departments!$A$2:$B$7,2,FALSE)</f>
        <v>D06</v>
      </c>
      <c r="Y2" s="14" t="str">
        <f>INDEX(Departments!$B$2:$B$7,MATCH(Employees_Data[[#This Row],[Department]],Departments!$A$2:$A$7,0))</f>
        <v>D06</v>
      </c>
      <c r="Z2" s="14" t="str">
        <f>INDEX(Salary_Bands!$C$2:$C$5,MATCH(Employees_Data[[#This Row],[Salary]],Salary_Bands!$A$2:$A$5,1))</f>
        <v>Medium</v>
      </c>
      <c r="AC2" s="24" t="s">
        <v>1098</v>
      </c>
      <c r="AD2" s="25"/>
      <c r="AF2" s="23"/>
      <c r="AG2" s="23"/>
      <c r="AH2" s="23"/>
    </row>
    <row r="3" spans="1:34" hidden="1" x14ac:dyDescent="0.3">
      <c r="A3" t="s">
        <v>31</v>
      </c>
      <c r="B3" t="s">
        <v>32</v>
      </c>
      <c r="C3" t="s">
        <v>22</v>
      </c>
      <c r="D3" s="12">
        <v>23</v>
      </c>
      <c r="E3" t="s">
        <v>33</v>
      </c>
      <c r="F3" t="s">
        <v>34</v>
      </c>
      <c r="G3" t="s">
        <v>35</v>
      </c>
      <c r="H3">
        <v>0</v>
      </c>
      <c r="I3" s="1">
        <v>43915</v>
      </c>
      <c r="J3" s="10">
        <v>118850</v>
      </c>
      <c r="K3" s="10">
        <v>24876</v>
      </c>
      <c r="L3">
        <v>5</v>
      </c>
      <c r="M3" t="s">
        <v>36</v>
      </c>
      <c r="N3" t="s">
        <v>37</v>
      </c>
      <c r="O3" t="s">
        <v>28</v>
      </c>
      <c r="P3" t="s">
        <v>28</v>
      </c>
      <c r="Q3">
        <v>14</v>
      </c>
      <c r="R3">
        <v>6</v>
      </c>
      <c r="S3">
        <v>7</v>
      </c>
      <c r="T3" t="s">
        <v>30</v>
      </c>
      <c r="U3" t="str">
        <f>IF(AND(Employees_Data[[#This Row],[Age]]&gt;=20,Employees_Data[[#This Row],[Age]]&lt;=30),"Young",IF(AND(Employees_Data[[#This Row],[Age]]&gt;=31,Employees_Data[[#This Row],[Age]]&lt;=40),"Mid-Age",IF(Employees_Data[[#This Row],[Age]]&gt;=41,"Senior")))</f>
        <v>Young</v>
      </c>
      <c r="V3" t="str">
        <f>IF(Employees_Data[[#This Row],[Salary]]&lt;=30000,"Low",IF(AND(Employees_Data[[#This Row],[Salary]]&gt;30000,Employees_Data[[#This Row],[Salary]]&lt;=60000),"Medium",IF(AND(Employees_Data[[#This Row],[Salary]]&gt;60000,Employees_Data[[#This Row],[Salary]]&lt;=90000),"High",IF(Employees_Data[[#This Row],[Salary]]&gt;90000,"Executive"))))</f>
        <v>Executive</v>
      </c>
      <c r="W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 s="14" t="str">
        <f>VLOOKUP(Employees_Data[[#This Row],[Department]],Departments!$A$2:$B$7,2,FALSE)</f>
        <v>D05</v>
      </c>
      <c r="Y3" s="14" t="str">
        <f>INDEX(Departments!$B$2:$B$7,MATCH(Employees_Data[[#This Row],[Department]],Departments!$A$2:$A$7,0))</f>
        <v>D05</v>
      </c>
      <c r="Z3" s="14" t="str">
        <f>INDEX(Salary_Bands!$C$2:$C$5,MATCH(Employees_Data[[#This Row],[Salary]],Salary_Bands!$A$2:$A$5,1))</f>
        <v>Executive</v>
      </c>
      <c r="AC3" s="4" t="s">
        <v>87</v>
      </c>
      <c r="AD3" s="4">
        <f>COUNTIF(Employees_Data[Department],AC3)</f>
        <v>81</v>
      </c>
    </row>
    <row r="4" spans="1:34" hidden="1" x14ac:dyDescent="0.3">
      <c r="A4" t="s">
        <v>38</v>
      </c>
      <c r="B4" t="s">
        <v>39</v>
      </c>
      <c r="C4" t="s">
        <v>40</v>
      </c>
      <c r="D4" s="12">
        <v>27</v>
      </c>
      <c r="E4" t="s">
        <v>41</v>
      </c>
      <c r="F4" t="s">
        <v>42</v>
      </c>
      <c r="G4" t="s">
        <v>25</v>
      </c>
      <c r="H4">
        <v>3</v>
      </c>
      <c r="I4" s="1">
        <v>43497</v>
      </c>
      <c r="J4" s="10">
        <v>72052</v>
      </c>
      <c r="K4" s="10">
        <v>6090</v>
      </c>
      <c r="L4">
        <v>3</v>
      </c>
      <c r="M4" t="s">
        <v>36</v>
      </c>
      <c r="N4" t="s">
        <v>27</v>
      </c>
      <c r="O4" t="s">
        <v>28</v>
      </c>
      <c r="P4" t="s">
        <v>28</v>
      </c>
      <c r="Q4">
        <v>58</v>
      </c>
      <c r="R4">
        <v>20</v>
      </c>
      <c r="S4">
        <v>10</v>
      </c>
      <c r="T4" t="s">
        <v>43</v>
      </c>
      <c r="U4" t="str">
        <f>IF(AND(Employees_Data[[#This Row],[Age]]&gt;=20,Employees_Data[[#This Row],[Age]]&lt;=30),"Young",IF(AND(Employees_Data[[#This Row],[Age]]&gt;=31,Employees_Data[[#This Row],[Age]]&lt;=40),"Mid-Age",IF(Employees_Data[[#This Row],[Age]]&gt;=41,"Senior")))</f>
        <v>Young</v>
      </c>
      <c r="V4" t="str">
        <f>IF(Employees_Data[[#This Row],[Salary]]&lt;=30000,"Low",IF(AND(Employees_Data[[#This Row],[Salary]]&gt;30000,Employees_Data[[#This Row],[Salary]]&lt;=60000),"Medium",IF(AND(Employees_Data[[#This Row],[Salary]]&gt;60000,Employees_Data[[#This Row],[Salary]]&lt;=90000),"High",IF(Employees_Data[[#This Row],[Salary]]&gt;90000,"Executive"))))</f>
        <v>High</v>
      </c>
      <c r="W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4" s="14" t="str">
        <f>VLOOKUP(Employees_Data[[#This Row],[Department]],Departments!$A$2:$B$7,2,FALSE)</f>
        <v>D03</v>
      </c>
      <c r="Y4" s="14" t="str">
        <f>INDEX(Departments!$B$2:$B$7,MATCH(Employees_Data[[#This Row],[Department]],Departments!$A$2:$A$7,0))</f>
        <v>D03</v>
      </c>
      <c r="Z4" s="14" t="str">
        <f>INDEX(Salary_Bands!$C$2:$C$5,MATCH(Employees_Data[[#This Row],[Salary]],Salary_Bands!$A$2:$A$5,1))</f>
        <v>High</v>
      </c>
      <c r="AC4" s="4" t="s">
        <v>56</v>
      </c>
      <c r="AD4" s="4">
        <f>COUNTIF(Employees_Data[Department],AC4)</f>
        <v>83</v>
      </c>
    </row>
    <row r="5" spans="1:34" hidden="1" x14ac:dyDescent="0.3">
      <c r="A5" t="s">
        <v>44</v>
      </c>
      <c r="B5" t="s">
        <v>45</v>
      </c>
      <c r="C5" t="s">
        <v>22</v>
      </c>
      <c r="D5" s="12">
        <v>34</v>
      </c>
      <c r="E5" t="s">
        <v>33</v>
      </c>
      <c r="F5" t="s">
        <v>46</v>
      </c>
      <c r="G5" t="s">
        <v>47</v>
      </c>
      <c r="H5">
        <v>8</v>
      </c>
      <c r="I5" s="1">
        <v>43385</v>
      </c>
      <c r="J5" s="10">
        <v>31006</v>
      </c>
      <c r="K5" s="10">
        <v>11108</v>
      </c>
      <c r="L5">
        <v>2</v>
      </c>
      <c r="M5" t="s">
        <v>36</v>
      </c>
      <c r="N5" t="s">
        <v>48</v>
      </c>
      <c r="O5" t="s">
        <v>28</v>
      </c>
      <c r="P5" t="s">
        <v>28</v>
      </c>
      <c r="Q5">
        <v>15</v>
      </c>
      <c r="R5">
        <v>11</v>
      </c>
      <c r="S5">
        <v>5</v>
      </c>
      <c r="T5" t="s">
        <v>30</v>
      </c>
      <c r="U5" t="str">
        <f>IF(AND(Employees_Data[[#This Row],[Age]]&gt;=20,Employees_Data[[#This Row],[Age]]&lt;=30),"Young",IF(AND(Employees_Data[[#This Row],[Age]]&gt;=31,Employees_Data[[#This Row],[Age]]&lt;=40),"Mid-Age",IF(Employees_Data[[#This Row],[Age]]&gt;=41,"Senior")))</f>
        <v>Mid-Age</v>
      </c>
      <c r="V5" t="str">
        <f>IF(Employees_Data[[#This Row],[Salary]]&lt;=30000,"Low",IF(AND(Employees_Data[[#This Row],[Salary]]&gt;30000,Employees_Data[[#This Row],[Salary]]&lt;=60000),"Medium",IF(AND(Employees_Data[[#This Row],[Salary]]&gt;60000,Employees_Data[[#This Row],[Salary]]&lt;=90000),"High",IF(Employees_Data[[#This Row],[Salary]]&gt;90000,"Executive"))))</f>
        <v>Medium</v>
      </c>
      <c r="W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5" s="14" t="str">
        <f>VLOOKUP(Employees_Data[[#This Row],[Department]],Departments!$A$2:$B$7,2,FALSE)</f>
        <v>D05</v>
      </c>
      <c r="Y5" s="14" t="str">
        <f>INDEX(Departments!$B$2:$B$7,MATCH(Employees_Data[[#This Row],[Department]],Departments!$A$2:$A$7,0))</f>
        <v>D05</v>
      </c>
      <c r="Z5" s="14" t="str">
        <f>INDEX(Salary_Bands!$C$2:$C$5,MATCH(Employees_Data[[#This Row],[Salary]],Salary_Bands!$A$2:$A$5,1))</f>
        <v>Medium</v>
      </c>
      <c r="AC5" s="4" t="s">
        <v>41</v>
      </c>
      <c r="AD5" s="4">
        <f>COUNTIF(Employees_Data[Department],AC5)</f>
        <v>86</v>
      </c>
    </row>
    <row r="6" spans="1:34" hidden="1" x14ac:dyDescent="0.3">
      <c r="A6" t="s">
        <v>49</v>
      </c>
      <c r="B6" t="s">
        <v>50</v>
      </c>
      <c r="C6" t="s">
        <v>40</v>
      </c>
      <c r="D6" s="12">
        <v>39</v>
      </c>
      <c r="E6" t="s">
        <v>41</v>
      </c>
      <c r="F6" t="s">
        <v>42</v>
      </c>
      <c r="G6" t="s">
        <v>51</v>
      </c>
      <c r="H6">
        <v>13</v>
      </c>
      <c r="I6" s="1">
        <v>43393</v>
      </c>
      <c r="J6" s="10">
        <v>104840</v>
      </c>
      <c r="K6" s="10">
        <v>22971</v>
      </c>
      <c r="L6">
        <v>2</v>
      </c>
      <c r="M6" t="s">
        <v>52</v>
      </c>
      <c r="N6" t="s">
        <v>53</v>
      </c>
      <c r="O6" t="s">
        <v>28</v>
      </c>
      <c r="P6" t="s">
        <v>29</v>
      </c>
      <c r="Q6">
        <v>48</v>
      </c>
      <c r="R6">
        <v>10</v>
      </c>
      <c r="S6">
        <v>9</v>
      </c>
      <c r="T6" t="s">
        <v>43</v>
      </c>
      <c r="U6" t="str">
        <f>IF(AND(Employees_Data[[#This Row],[Age]]&gt;=20,Employees_Data[[#This Row],[Age]]&lt;=30),"Young",IF(AND(Employees_Data[[#This Row],[Age]]&gt;=31,Employees_Data[[#This Row],[Age]]&lt;=40),"Mid-Age",IF(Employees_Data[[#This Row],[Age]]&gt;=41,"Senior")))</f>
        <v>Mid-Age</v>
      </c>
      <c r="V6" t="str">
        <f>IF(Employees_Data[[#This Row],[Salary]]&lt;=30000,"Low",IF(AND(Employees_Data[[#This Row],[Salary]]&gt;30000,Employees_Data[[#This Row],[Salary]]&lt;=60000),"Medium",IF(AND(Employees_Data[[#This Row],[Salary]]&gt;60000,Employees_Data[[#This Row],[Salary]]&lt;=90000),"High",IF(Employees_Data[[#This Row],[Salary]]&gt;90000,"Executive"))))</f>
        <v>Executive</v>
      </c>
      <c r="W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6" s="14" t="str">
        <f>VLOOKUP(Employees_Data[[#This Row],[Department]],Departments!$A$2:$B$7,2,FALSE)</f>
        <v>D03</v>
      </c>
      <c r="Y6" s="14" t="str">
        <f>INDEX(Departments!$B$2:$B$7,MATCH(Employees_Data[[#This Row],[Department]],Departments!$A$2:$A$7,0))</f>
        <v>D03</v>
      </c>
      <c r="Z6" s="14" t="str">
        <f>INDEX(Salary_Bands!$C$2:$C$5,MATCH(Employees_Data[[#This Row],[Salary]],Salary_Bands!$A$2:$A$5,1))</f>
        <v>Executive</v>
      </c>
      <c r="AC6" s="4" t="s">
        <v>33</v>
      </c>
      <c r="AD6" s="4">
        <f>COUNTIF(Employees_Data[Department],AC6)</f>
        <v>86</v>
      </c>
    </row>
    <row r="7" spans="1:34" hidden="1" x14ac:dyDescent="0.3">
      <c r="A7" t="s">
        <v>54</v>
      </c>
      <c r="B7" t="s">
        <v>55</v>
      </c>
      <c r="C7" t="s">
        <v>40</v>
      </c>
      <c r="D7" s="12">
        <v>24</v>
      </c>
      <c r="E7" t="s">
        <v>56</v>
      </c>
      <c r="F7" t="s">
        <v>57</v>
      </c>
      <c r="G7" t="s">
        <v>35</v>
      </c>
      <c r="H7">
        <v>1</v>
      </c>
      <c r="I7" s="1">
        <v>44744</v>
      </c>
      <c r="J7" s="10">
        <v>60093</v>
      </c>
      <c r="K7" s="10">
        <v>23477</v>
      </c>
      <c r="L7">
        <v>1</v>
      </c>
      <c r="M7" t="s">
        <v>36</v>
      </c>
      <c r="N7" t="s">
        <v>58</v>
      </c>
      <c r="O7" t="s">
        <v>28</v>
      </c>
      <c r="P7" t="s">
        <v>28</v>
      </c>
      <c r="Q7">
        <v>14</v>
      </c>
      <c r="R7">
        <v>8</v>
      </c>
      <c r="S7">
        <v>4</v>
      </c>
      <c r="T7" t="s">
        <v>30</v>
      </c>
      <c r="U7" t="str">
        <f>IF(AND(Employees_Data[[#This Row],[Age]]&gt;=20,Employees_Data[[#This Row],[Age]]&lt;=30),"Young",IF(AND(Employees_Data[[#This Row],[Age]]&gt;=31,Employees_Data[[#This Row],[Age]]&lt;=40),"Mid-Age",IF(Employees_Data[[#This Row],[Age]]&gt;=41,"Senior")))</f>
        <v>Young</v>
      </c>
      <c r="V7" t="str">
        <f>IF(Employees_Data[[#This Row],[Salary]]&lt;=30000,"Low",IF(AND(Employees_Data[[#This Row],[Salary]]&gt;30000,Employees_Data[[#This Row],[Salary]]&lt;=60000),"Medium",IF(AND(Employees_Data[[#This Row],[Salary]]&gt;60000,Employees_Data[[#This Row],[Salary]]&lt;=90000),"High",IF(Employees_Data[[#This Row],[Salary]]&gt;90000,"Executive"))))</f>
        <v>High</v>
      </c>
      <c r="W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7" s="14" t="str">
        <f>VLOOKUP(Employees_Data[[#This Row],[Department]],Departments!$A$2:$B$7,2,FALSE)</f>
        <v>D01</v>
      </c>
      <c r="Y7" s="14" t="str">
        <f>INDEX(Departments!$B$2:$B$7,MATCH(Employees_Data[[#This Row],[Department]],Departments!$A$2:$A$7,0))</f>
        <v>D01</v>
      </c>
      <c r="Z7" s="14" t="str">
        <f>INDEX(Salary_Bands!$C$2:$C$5,MATCH(Employees_Data[[#This Row],[Salary]],Salary_Bands!$A$2:$A$5,1))</f>
        <v>High</v>
      </c>
      <c r="AC7" s="4" t="s">
        <v>23</v>
      </c>
      <c r="AD7" s="4">
        <f>COUNTIF(Employees_Data[Department],AC7)</f>
        <v>85</v>
      </c>
    </row>
    <row r="8" spans="1:34" hidden="1" x14ac:dyDescent="0.3">
      <c r="A8" t="s">
        <v>59</v>
      </c>
      <c r="B8" t="s">
        <v>60</v>
      </c>
      <c r="C8" t="s">
        <v>22</v>
      </c>
      <c r="D8" s="12">
        <v>38</v>
      </c>
      <c r="E8" t="s">
        <v>61</v>
      </c>
      <c r="F8" t="s">
        <v>62</v>
      </c>
      <c r="G8" t="s">
        <v>25</v>
      </c>
      <c r="H8">
        <v>12</v>
      </c>
      <c r="I8" s="1">
        <v>45495</v>
      </c>
      <c r="J8" s="10">
        <v>81155</v>
      </c>
      <c r="K8" s="10">
        <v>18171</v>
      </c>
      <c r="L8">
        <v>5</v>
      </c>
      <c r="M8" t="s">
        <v>26</v>
      </c>
      <c r="N8" t="s">
        <v>63</v>
      </c>
      <c r="O8" t="s">
        <v>28</v>
      </c>
      <c r="P8" t="s">
        <v>29</v>
      </c>
      <c r="Q8">
        <v>60</v>
      </c>
      <c r="R8">
        <v>3</v>
      </c>
      <c r="S8">
        <v>7</v>
      </c>
      <c r="T8" t="s">
        <v>30</v>
      </c>
      <c r="U8" t="str">
        <f>IF(AND(Employees_Data[[#This Row],[Age]]&gt;=20,Employees_Data[[#This Row],[Age]]&lt;=30),"Young",IF(AND(Employees_Data[[#This Row],[Age]]&gt;=31,Employees_Data[[#This Row],[Age]]&lt;=40),"Mid-Age",IF(Employees_Data[[#This Row],[Age]]&gt;=41,"Senior")))</f>
        <v>Mid-Age</v>
      </c>
      <c r="V8" t="str">
        <f>IF(Employees_Data[[#This Row],[Salary]]&lt;=30000,"Low",IF(AND(Employees_Data[[#This Row],[Salary]]&gt;30000,Employees_Data[[#This Row],[Salary]]&lt;=60000),"Medium",IF(AND(Employees_Data[[#This Row],[Salary]]&gt;60000,Employees_Data[[#This Row],[Salary]]&lt;=90000),"High",IF(Employees_Data[[#This Row],[Salary]]&gt;90000,"Executive"))))</f>
        <v>High</v>
      </c>
      <c r="W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8" s="14" t="str">
        <f>VLOOKUP(Employees_Data[[#This Row],[Department]],Departments!$A$2:$B$7,2,FALSE)</f>
        <v>D02</v>
      </c>
      <c r="Y8" s="14" t="str">
        <f>INDEX(Departments!$B$2:$B$7,MATCH(Employees_Data[[#This Row],[Department]],Departments!$A$2:$A$7,0))</f>
        <v>D02</v>
      </c>
      <c r="Z8" s="14" t="str">
        <f>INDEX(Salary_Bands!$C$2:$C$5,MATCH(Employees_Data[[#This Row],[Salary]],Salary_Bands!$A$2:$A$5,1))</f>
        <v>High</v>
      </c>
      <c r="AC8" s="4" t="s">
        <v>61</v>
      </c>
      <c r="AD8" s="4">
        <f>COUNTIF(Employees_Data[Department],AC8)</f>
        <v>79</v>
      </c>
    </row>
    <row r="9" spans="1:34" hidden="1" x14ac:dyDescent="0.3">
      <c r="A9" t="s">
        <v>64</v>
      </c>
      <c r="B9" t="s">
        <v>65</v>
      </c>
      <c r="C9" t="s">
        <v>40</v>
      </c>
      <c r="D9" s="12">
        <v>32</v>
      </c>
      <c r="E9" t="s">
        <v>61</v>
      </c>
      <c r="F9" t="s">
        <v>66</v>
      </c>
      <c r="G9" t="s">
        <v>25</v>
      </c>
      <c r="H9">
        <v>6</v>
      </c>
      <c r="I9" s="1">
        <v>44830</v>
      </c>
      <c r="J9" s="10">
        <v>103172</v>
      </c>
      <c r="K9" s="10">
        <v>2376</v>
      </c>
      <c r="L9">
        <v>1</v>
      </c>
      <c r="M9" t="s">
        <v>52</v>
      </c>
      <c r="N9" t="s">
        <v>48</v>
      </c>
      <c r="O9" t="s">
        <v>28</v>
      </c>
      <c r="P9" t="s">
        <v>29</v>
      </c>
      <c r="Q9">
        <v>48</v>
      </c>
      <c r="R9">
        <v>17</v>
      </c>
      <c r="S9">
        <v>7</v>
      </c>
      <c r="T9" t="s">
        <v>30</v>
      </c>
      <c r="U9" t="str">
        <f>IF(AND(Employees_Data[[#This Row],[Age]]&gt;=20,Employees_Data[[#This Row],[Age]]&lt;=30),"Young",IF(AND(Employees_Data[[#This Row],[Age]]&gt;=31,Employees_Data[[#This Row],[Age]]&lt;=40),"Mid-Age",IF(Employees_Data[[#This Row],[Age]]&gt;=41,"Senior")))</f>
        <v>Mid-Age</v>
      </c>
      <c r="V9" t="str">
        <f>IF(Employees_Data[[#This Row],[Salary]]&lt;=30000,"Low",IF(AND(Employees_Data[[#This Row],[Salary]]&gt;30000,Employees_Data[[#This Row],[Salary]]&lt;=60000),"Medium",IF(AND(Employees_Data[[#This Row],[Salary]]&gt;60000,Employees_Data[[#This Row],[Salary]]&lt;=90000),"High",IF(Employees_Data[[#This Row],[Salary]]&gt;90000,"Executive"))))</f>
        <v>Executive</v>
      </c>
      <c r="W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9" s="14" t="str">
        <f>VLOOKUP(Employees_Data[[#This Row],[Department]],Departments!$A$2:$B$7,2,FALSE)</f>
        <v>D02</v>
      </c>
      <c r="Y9" s="14" t="str">
        <f>INDEX(Departments!$B$2:$B$7,MATCH(Employees_Data[[#This Row],[Department]],Departments!$A$2:$A$7,0))</f>
        <v>D02</v>
      </c>
      <c r="Z9" s="14" t="str">
        <f>INDEX(Salary_Bands!$C$2:$C$5,MATCH(Employees_Data[[#This Row],[Salary]],Salary_Bands!$A$2:$A$5,1))</f>
        <v>Executive</v>
      </c>
    </row>
    <row r="10" spans="1:34" x14ac:dyDescent="0.3">
      <c r="A10" t="s">
        <v>67</v>
      </c>
      <c r="B10" t="s">
        <v>68</v>
      </c>
      <c r="C10" t="s">
        <v>40</v>
      </c>
      <c r="D10" s="12">
        <v>43</v>
      </c>
      <c r="E10" t="s">
        <v>41</v>
      </c>
      <c r="F10" t="s">
        <v>69</v>
      </c>
      <c r="G10" t="s">
        <v>25</v>
      </c>
      <c r="H10">
        <v>22</v>
      </c>
      <c r="I10" s="1">
        <v>44303</v>
      </c>
      <c r="J10" s="10">
        <v>81985</v>
      </c>
      <c r="K10" s="10">
        <v>7854</v>
      </c>
      <c r="L10">
        <v>2</v>
      </c>
      <c r="M10" t="s">
        <v>52</v>
      </c>
      <c r="N10" t="s">
        <v>27</v>
      </c>
      <c r="O10" s="5" t="s">
        <v>29</v>
      </c>
      <c r="P10" t="s">
        <v>28</v>
      </c>
      <c r="Q10">
        <v>58</v>
      </c>
      <c r="R10">
        <v>20</v>
      </c>
      <c r="S10">
        <v>8</v>
      </c>
      <c r="T10" t="s">
        <v>30</v>
      </c>
      <c r="U10" t="str">
        <f>IF(AND(Employees_Data[[#This Row],[Age]]&gt;=20,Employees_Data[[#This Row],[Age]]&lt;=30),"Young",IF(AND(Employees_Data[[#This Row],[Age]]&gt;=31,Employees_Data[[#This Row],[Age]]&lt;=40),"Mid-Age",IF(Employees_Data[[#This Row],[Age]]&gt;=41,"Senior")))</f>
        <v>Senior</v>
      </c>
      <c r="V10" t="str">
        <f>IF(Employees_Data[[#This Row],[Salary]]&lt;=30000,"Low",IF(AND(Employees_Data[[#This Row],[Salary]]&gt;30000,Employees_Data[[#This Row],[Salary]]&lt;=60000),"Medium",IF(AND(Employees_Data[[#This Row],[Salary]]&gt;60000,Employees_Data[[#This Row],[Salary]]&lt;=90000),"High",IF(Employees_Data[[#This Row],[Salary]]&gt;90000,"Executive"))))</f>
        <v>High</v>
      </c>
      <c r="W1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0" s="14" t="str">
        <f>VLOOKUP(Employees_Data[[#This Row],[Department]],Departments!$A$2:$B$7,2,FALSE)</f>
        <v>D03</v>
      </c>
      <c r="Y10" s="14" t="str">
        <f>INDEX(Departments!$B$2:$B$7,MATCH(Employees_Data[[#This Row],[Department]],Departments!$A$2:$A$7,0))</f>
        <v>D03</v>
      </c>
      <c r="Z10" s="14" t="str">
        <f>INDEX(Salary_Bands!$C$2:$C$5,MATCH(Employees_Data[[#This Row],[Salary]],Salary_Bands!$A$2:$A$5,1))</f>
        <v>High</v>
      </c>
      <c r="AC10" s="6" t="s">
        <v>1099</v>
      </c>
      <c r="AD10" s="5">
        <f>MAX(Employees_Data[Salary])</f>
        <v>149122</v>
      </c>
    </row>
    <row r="11" spans="1:34" hidden="1" x14ac:dyDescent="0.3">
      <c r="A11" t="s">
        <v>70</v>
      </c>
      <c r="B11" t="s">
        <v>71</v>
      </c>
      <c r="C11" t="s">
        <v>22</v>
      </c>
      <c r="D11" s="12">
        <v>34</v>
      </c>
      <c r="E11" t="s">
        <v>33</v>
      </c>
      <c r="F11" t="s">
        <v>34</v>
      </c>
      <c r="G11" t="s">
        <v>25</v>
      </c>
      <c r="H11">
        <v>12</v>
      </c>
      <c r="I11" s="1">
        <v>44632</v>
      </c>
      <c r="J11" s="10">
        <v>124943</v>
      </c>
      <c r="K11" s="10">
        <v>12621</v>
      </c>
      <c r="L11" s="13">
        <v>2</v>
      </c>
      <c r="M11" t="s">
        <v>36</v>
      </c>
      <c r="N11" t="s">
        <v>27</v>
      </c>
      <c r="O11" t="s">
        <v>28</v>
      </c>
      <c r="P11" t="s">
        <v>29</v>
      </c>
      <c r="Q11">
        <v>28</v>
      </c>
      <c r="R11">
        <v>9</v>
      </c>
      <c r="S11">
        <v>9</v>
      </c>
      <c r="T11" t="s">
        <v>30</v>
      </c>
      <c r="U11" t="str">
        <f>IF(AND(Employees_Data[[#This Row],[Age]]&gt;=20,Employees_Data[[#This Row],[Age]]&lt;=30),"Young",IF(AND(Employees_Data[[#This Row],[Age]]&gt;=31,Employees_Data[[#This Row],[Age]]&lt;=40),"Mid-Age",IF(Employees_Data[[#This Row],[Age]]&gt;=41,"Senior")))</f>
        <v>Mid-Age</v>
      </c>
      <c r="V11" t="str">
        <f>IF(Employees_Data[[#This Row],[Salary]]&lt;=30000,"Low",IF(AND(Employees_Data[[#This Row],[Salary]]&gt;30000,Employees_Data[[#This Row],[Salary]]&lt;=60000),"Medium",IF(AND(Employees_Data[[#This Row],[Salary]]&gt;60000,Employees_Data[[#This Row],[Salary]]&lt;=90000),"High",IF(Employees_Data[[#This Row],[Salary]]&gt;90000,"Executive"))))</f>
        <v>Executive</v>
      </c>
      <c r="W1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1" s="14" t="str">
        <f>VLOOKUP(Employees_Data[[#This Row],[Department]],Departments!$A$2:$B$7,2,FALSE)</f>
        <v>D05</v>
      </c>
      <c r="Y11" s="14" t="str">
        <f>INDEX(Departments!$B$2:$B$7,MATCH(Employees_Data[[#This Row],[Department]],Departments!$A$2:$A$7,0))</f>
        <v>D05</v>
      </c>
      <c r="Z11" s="14" t="str">
        <f>INDEX(Salary_Bands!$C$2:$C$5,MATCH(Employees_Data[[#This Row],[Salary]],Salary_Bands!$A$2:$A$5,1))</f>
        <v>Executive</v>
      </c>
    </row>
    <row r="12" spans="1:34" hidden="1" x14ac:dyDescent="0.3">
      <c r="A12" t="s">
        <v>72</v>
      </c>
      <c r="B12" t="s">
        <v>73</v>
      </c>
      <c r="C12" t="s">
        <v>22</v>
      </c>
      <c r="D12" s="12">
        <v>37</v>
      </c>
      <c r="E12" t="s">
        <v>61</v>
      </c>
      <c r="F12" t="s">
        <v>62</v>
      </c>
      <c r="G12" t="s">
        <v>35</v>
      </c>
      <c r="H12">
        <v>12</v>
      </c>
      <c r="I12" s="1">
        <v>43423</v>
      </c>
      <c r="J12" s="10">
        <v>36226</v>
      </c>
      <c r="K12" s="10">
        <v>23618</v>
      </c>
      <c r="L12">
        <v>4</v>
      </c>
      <c r="M12" t="s">
        <v>36</v>
      </c>
      <c r="N12" t="s">
        <v>53</v>
      </c>
      <c r="O12" t="s">
        <v>28</v>
      </c>
      <c r="P12" t="s">
        <v>29</v>
      </c>
      <c r="Q12">
        <v>21</v>
      </c>
      <c r="R12">
        <v>16</v>
      </c>
      <c r="S12">
        <v>2</v>
      </c>
      <c r="T12" t="s">
        <v>30</v>
      </c>
      <c r="U12" t="str">
        <f>IF(AND(Employees_Data[[#This Row],[Age]]&gt;=20,Employees_Data[[#This Row],[Age]]&lt;=30),"Young",IF(AND(Employees_Data[[#This Row],[Age]]&gt;=31,Employees_Data[[#This Row],[Age]]&lt;=40),"Mid-Age",IF(Employees_Data[[#This Row],[Age]]&gt;=41,"Senior")))</f>
        <v>Mid-Age</v>
      </c>
      <c r="V12" t="str">
        <f>IF(Employees_Data[[#This Row],[Salary]]&lt;=30000,"Low",IF(AND(Employees_Data[[#This Row],[Salary]]&gt;30000,Employees_Data[[#This Row],[Salary]]&lt;=60000),"Medium",IF(AND(Employees_Data[[#This Row],[Salary]]&gt;60000,Employees_Data[[#This Row],[Salary]]&lt;=90000),"High",IF(Employees_Data[[#This Row],[Salary]]&gt;90000,"Executive"))))</f>
        <v>Medium</v>
      </c>
      <c r="W1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2" s="14" t="str">
        <f>VLOOKUP(Employees_Data[[#This Row],[Department]],Departments!$A$2:$B$7,2,FALSE)</f>
        <v>D02</v>
      </c>
      <c r="Y12" s="14" t="str">
        <f>INDEX(Departments!$B$2:$B$7,MATCH(Employees_Data[[#This Row],[Department]],Departments!$A$2:$A$7,0))</f>
        <v>D02</v>
      </c>
      <c r="Z12" s="14" t="str">
        <f>INDEX(Salary_Bands!$C$2:$C$5,MATCH(Employees_Data[[#This Row],[Salary]],Salary_Bands!$A$2:$A$5,1))</f>
        <v>Medium</v>
      </c>
      <c r="AC12" s="6" t="s">
        <v>1100</v>
      </c>
      <c r="AD12" s="5">
        <f>MIN(Employees_Data[Salary])</f>
        <v>25142</v>
      </c>
    </row>
    <row r="13" spans="1:34" hidden="1" x14ac:dyDescent="0.3">
      <c r="A13" t="s">
        <v>74</v>
      </c>
      <c r="B13" t="s">
        <v>75</v>
      </c>
      <c r="C13" t="s">
        <v>40</v>
      </c>
      <c r="D13" s="12">
        <v>35</v>
      </c>
      <c r="E13" t="s">
        <v>33</v>
      </c>
      <c r="F13" t="s">
        <v>46</v>
      </c>
      <c r="G13" t="s">
        <v>25</v>
      </c>
      <c r="H13">
        <v>10</v>
      </c>
      <c r="I13" s="1">
        <v>43924</v>
      </c>
      <c r="J13" s="10">
        <v>118447</v>
      </c>
      <c r="K13" s="10">
        <v>16794</v>
      </c>
      <c r="L13">
        <v>3</v>
      </c>
      <c r="M13" t="s">
        <v>26</v>
      </c>
      <c r="N13" t="s">
        <v>76</v>
      </c>
      <c r="O13" t="s">
        <v>28</v>
      </c>
      <c r="P13" t="s">
        <v>29</v>
      </c>
      <c r="Q13">
        <v>9</v>
      </c>
      <c r="R13">
        <v>10</v>
      </c>
      <c r="S13">
        <v>7</v>
      </c>
      <c r="T13" t="s">
        <v>30</v>
      </c>
      <c r="U13" t="str">
        <f>IF(AND(Employees_Data[[#This Row],[Age]]&gt;=20,Employees_Data[[#This Row],[Age]]&lt;=30),"Young",IF(AND(Employees_Data[[#This Row],[Age]]&gt;=31,Employees_Data[[#This Row],[Age]]&lt;=40),"Mid-Age",IF(Employees_Data[[#This Row],[Age]]&gt;=41,"Senior")))</f>
        <v>Mid-Age</v>
      </c>
      <c r="V13" t="str">
        <f>IF(Employees_Data[[#This Row],[Salary]]&lt;=30000,"Low",IF(AND(Employees_Data[[#This Row],[Salary]]&gt;30000,Employees_Data[[#This Row],[Salary]]&lt;=60000),"Medium",IF(AND(Employees_Data[[#This Row],[Salary]]&gt;60000,Employees_Data[[#This Row],[Salary]]&lt;=90000),"High",IF(Employees_Data[[#This Row],[Salary]]&gt;90000,"Executive"))))</f>
        <v>Executive</v>
      </c>
      <c r="W1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3" s="14" t="str">
        <f>VLOOKUP(Employees_Data[[#This Row],[Department]],Departments!$A$2:$B$7,2,FALSE)</f>
        <v>D05</v>
      </c>
      <c r="Y13" s="14" t="str">
        <f>INDEX(Departments!$B$2:$B$7,MATCH(Employees_Data[[#This Row],[Department]],Departments!$A$2:$A$7,0))</f>
        <v>D05</v>
      </c>
      <c r="Z13" s="14" t="str">
        <f>INDEX(Salary_Bands!$C$2:$C$5,MATCH(Employees_Data[[#This Row],[Salary]],Salary_Bands!$A$2:$A$5,1))</f>
        <v>Executive</v>
      </c>
    </row>
    <row r="14" spans="1:34" hidden="1" x14ac:dyDescent="0.3">
      <c r="A14" t="s">
        <v>77</v>
      </c>
      <c r="B14" t="s">
        <v>78</v>
      </c>
      <c r="C14" t="s">
        <v>40</v>
      </c>
      <c r="D14" s="12">
        <v>36</v>
      </c>
      <c r="E14" t="s">
        <v>56</v>
      </c>
      <c r="F14" t="s">
        <v>79</v>
      </c>
      <c r="G14" t="s">
        <v>80</v>
      </c>
      <c r="H14">
        <v>11</v>
      </c>
      <c r="I14" s="1">
        <v>44003</v>
      </c>
      <c r="J14" s="10">
        <v>25942</v>
      </c>
      <c r="K14" s="10">
        <v>18847</v>
      </c>
      <c r="L14">
        <v>1</v>
      </c>
      <c r="M14" t="s">
        <v>26</v>
      </c>
      <c r="N14" t="s">
        <v>37</v>
      </c>
      <c r="O14" t="s">
        <v>28</v>
      </c>
      <c r="P14" t="s">
        <v>28</v>
      </c>
      <c r="Q14">
        <v>18</v>
      </c>
      <c r="R14">
        <v>17</v>
      </c>
      <c r="S14">
        <v>1</v>
      </c>
      <c r="T14" t="s">
        <v>30</v>
      </c>
      <c r="U14" t="str">
        <f>IF(AND(Employees_Data[[#This Row],[Age]]&gt;=20,Employees_Data[[#This Row],[Age]]&lt;=30),"Young",IF(AND(Employees_Data[[#This Row],[Age]]&gt;=31,Employees_Data[[#This Row],[Age]]&lt;=40),"Mid-Age",IF(Employees_Data[[#This Row],[Age]]&gt;=41,"Senior")))</f>
        <v>Mid-Age</v>
      </c>
      <c r="V14" t="str">
        <f>IF(Employees_Data[[#This Row],[Salary]]&lt;=30000,"Low",IF(AND(Employees_Data[[#This Row],[Salary]]&gt;30000,Employees_Data[[#This Row],[Salary]]&lt;=60000),"Medium",IF(AND(Employees_Data[[#This Row],[Salary]]&gt;60000,Employees_Data[[#This Row],[Salary]]&lt;=90000),"High",IF(Employees_Data[[#This Row],[Salary]]&gt;90000,"Executive"))))</f>
        <v>Low</v>
      </c>
      <c r="W1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4" s="14" t="str">
        <f>VLOOKUP(Employees_Data[[#This Row],[Department]],Departments!$A$2:$B$7,2,FALSE)</f>
        <v>D01</v>
      </c>
      <c r="Y14" s="14" t="str">
        <f>INDEX(Departments!$B$2:$B$7,MATCH(Employees_Data[[#This Row],[Department]],Departments!$A$2:$A$7,0))</f>
        <v>D01</v>
      </c>
      <c r="Z14" s="14" t="str">
        <f>INDEX(Salary_Bands!$C$2:$C$5,MATCH(Employees_Data[[#This Row],[Salary]],Salary_Bands!$A$2:$A$5,1))</f>
        <v>Low</v>
      </c>
      <c r="AC14" s="24" t="s">
        <v>1101</v>
      </c>
      <c r="AD14" s="25"/>
    </row>
    <row r="15" spans="1:34" x14ac:dyDescent="0.3">
      <c r="A15" t="s">
        <v>81</v>
      </c>
      <c r="B15" t="s">
        <v>82</v>
      </c>
      <c r="C15" t="s">
        <v>40</v>
      </c>
      <c r="D15" s="12">
        <v>52</v>
      </c>
      <c r="E15" t="s">
        <v>61</v>
      </c>
      <c r="F15" t="s">
        <v>66</v>
      </c>
      <c r="G15" t="s">
        <v>47</v>
      </c>
      <c r="H15">
        <v>30</v>
      </c>
      <c r="I15" s="1">
        <v>45038</v>
      </c>
      <c r="J15" s="10">
        <v>130840</v>
      </c>
      <c r="K15" s="10">
        <v>15470</v>
      </c>
      <c r="L15">
        <v>4</v>
      </c>
      <c r="M15" t="s">
        <v>36</v>
      </c>
      <c r="N15" t="s">
        <v>63</v>
      </c>
      <c r="O15" s="5" t="s">
        <v>29</v>
      </c>
      <c r="P15" t="s">
        <v>29</v>
      </c>
      <c r="Q15">
        <v>48</v>
      </c>
      <c r="R15">
        <v>20</v>
      </c>
      <c r="S15">
        <v>4</v>
      </c>
      <c r="T15" t="s">
        <v>30</v>
      </c>
      <c r="U15" t="str">
        <f>IF(AND(Employees_Data[[#This Row],[Age]]&gt;=20,Employees_Data[[#This Row],[Age]]&lt;=30),"Young",IF(AND(Employees_Data[[#This Row],[Age]]&gt;=31,Employees_Data[[#This Row],[Age]]&lt;=40),"Mid-Age",IF(Employees_Data[[#This Row],[Age]]&gt;=41,"Senior")))</f>
        <v>Senior</v>
      </c>
      <c r="V15" t="str">
        <f>IF(Employees_Data[[#This Row],[Salary]]&lt;=30000,"Low",IF(AND(Employees_Data[[#This Row],[Salary]]&gt;30000,Employees_Data[[#This Row],[Salary]]&lt;=60000),"Medium",IF(AND(Employees_Data[[#This Row],[Salary]]&gt;60000,Employees_Data[[#This Row],[Salary]]&lt;=90000),"High",IF(Employees_Data[[#This Row],[Salary]]&gt;90000,"Executive"))))</f>
        <v>Executive</v>
      </c>
      <c r="W1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5" s="14" t="str">
        <f>VLOOKUP(Employees_Data[[#This Row],[Department]],Departments!$A$2:$B$7,2,FALSE)</f>
        <v>D02</v>
      </c>
      <c r="Y15" s="14" t="str">
        <f>INDEX(Departments!$B$2:$B$7,MATCH(Employees_Data[[#This Row],[Department]],Departments!$A$2:$A$7,0))</f>
        <v>D02</v>
      </c>
      <c r="Z15" s="14" t="str">
        <f>INDEX(Salary_Bands!$C$2:$C$5,MATCH(Employees_Data[[#This Row],[Salary]],Salary_Bands!$A$2:$A$5,1))</f>
        <v>Executive</v>
      </c>
      <c r="AC15" s="26">
        <f>COUNTIF(Employees_Data[Attrition],"Yes")</f>
        <v>74</v>
      </c>
      <c r="AD15" s="26"/>
    </row>
    <row r="16" spans="1:34" hidden="1" x14ac:dyDescent="0.3">
      <c r="A16" t="s">
        <v>83</v>
      </c>
      <c r="B16" t="s">
        <v>84</v>
      </c>
      <c r="C16" t="s">
        <v>22</v>
      </c>
      <c r="D16" s="12">
        <v>25</v>
      </c>
      <c r="E16" t="s">
        <v>23</v>
      </c>
      <c r="F16" t="s">
        <v>24</v>
      </c>
      <c r="G16" t="s">
        <v>47</v>
      </c>
      <c r="H16">
        <v>1</v>
      </c>
      <c r="I16" s="1">
        <v>44490</v>
      </c>
      <c r="J16" s="10">
        <v>129935</v>
      </c>
      <c r="K16" s="10">
        <v>8012</v>
      </c>
      <c r="L16">
        <v>1</v>
      </c>
      <c r="M16" t="s">
        <v>36</v>
      </c>
      <c r="N16" t="s">
        <v>58</v>
      </c>
      <c r="O16" t="s">
        <v>28</v>
      </c>
      <c r="P16" t="s">
        <v>29</v>
      </c>
      <c r="Q16">
        <v>60</v>
      </c>
      <c r="R16">
        <v>2</v>
      </c>
      <c r="S16">
        <v>4</v>
      </c>
      <c r="T16" t="s">
        <v>30</v>
      </c>
      <c r="U16" t="str">
        <f>IF(AND(Employees_Data[[#This Row],[Age]]&gt;=20,Employees_Data[[#This Row],[Age]]&lt;=30),"Young",IF(AND(Employees_Data[[#This Row],[Age]]&gt;=31,Employees_Data[[#This Row],[Age]]&lt;=40),"Mid-Age",IF(Employees_Data[[#This Row],[Age]]&gt;=41,"Senior")))</f>
        <v>Young</v>
      </c>
      <c r="V16" t="str">
        <f>IF(Employees_Data[[#This Row],[Salary]]&lt;=30000,"Low",IF(AND(Employees_Data[[#This Row],[Salary]]&gt;30000,Employees_Data[[#This Row],[Salary]]&lt;=60000),"Medium",IF(AND(Employees_Data[[#This Row],[Salary]]&gt;60000,Employees_Data[[#This Row],[Salary]]&lt;=90000),"High",IF(Employees_Data[[#This Row],[Salary]]&gt;90000,"Executive"))))</f>
        <v>Executive</v>
      </c>
      <c r="W1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6" s="14" t="str">
        <f>VLOOKUP(Employees_Data[[#This Row],[Department]],Departments!$A$2:$B$7,2,FALSE)</f>
        <v>D06</v>
      </c>
      <c r="Y16" s="14" t="str">
        <f>INDEX(Departments!$B$2:$B$7,MATCH(Employees_Data[[#This Row],[Department]],Departments!$A$2:$A$7,0))</f>
        <v>D06</v>
      </c>
      <c r="Z16" s="14" t="str">
        <f>INDEX(Salary_Bands!$C$2:$C$5,MATCH(Employees_Data[[#This Row],[Salary]],Salary_Bands!$A$2:$A$5,1))</f>
        <v>Executive</v>
      </c>
    </row>
    <row r="17" spans="1:30" hidden="1" x14ac:dyDescent="0.3">
      <c r="A17" t="s">
        <v>85</v>
      </c>
      <c r="B17" t="s">
        <v>86</v>
      </c>
      <c r="C17" t="s">
        <v>22</v>
      </c>
      <c r="D17" s="12">
        <v>28</v>
      </c>
      <c r="E17" t="s">
        <v>87</v>
      </c>
      <c r="F17" t="s">
        <v>88</v>
      </c>
      <c r="G17" t="s">
        <v>47</v>
      </c>
      <c r="H17">
        <v>7</v>
      </c>
      <c r="I17" s="1">
        <v>45315</v>
      </c>
      <c r="J17" s="10">
        <v>134579</v>
      </c>
      <c r="K17" s="10">
        <v>17913</v>
      </c>
      <c r="L17">
        <v>1</v>
      </c>
      <c r="M17" t="s">
        <v>36</v>
      </c>
      <c r="N17" t="s">
        <v>76</v>
      </c>
      <c r="O17" t="s">
        <v>28</v>
      </c>
      <c r="P17" t="s">
        <v>28</v>
      </c>
      <c r="Q17">
        <v>8</v>
      </c>
      <c r="R17">
        <v>5</v>
      </c>
      <c r="S17">
        <v>2</v>
      </c>
      <c r="T17" t="s">
        <v>30</v>
      </c>
      <c r="U17" t="str">
        <f>IF(AND(Employees_Data[[#This Row],[Age]]&gt;=20,Employees_Data[[#This Row],[Age]]&lt;=30),"Young",IF(AND(Employees_Data[[#This Row],[Age]]&gt;=31,Employees_Data[[#This Row],[Age]]&lt;=40),"Mid-Age",IF(Employees_Data[[#This Row],[Age]]&gt;=41,"Senior")))</f>
        <v>Young</v>
      </c>
      <c r="V17" t="str">
        <f>IF(Employees_Data[[#This Row],[Salary]]&lt;=30000,"Low",IF(AND(Employees_Data[[#This Row],[Salary]]&gt;30000,Employees_Data[[#This Row],[Salary]]&lt;=60000),"Medium",IF(AND(Employees_Data[[#This Row],[Salary]]&gt;60000,Employees_Data[[#This Row],[Salary]]&lt;=90000),"High",IF(Employees_Data[[#This Row],[Salary]]&gt;90000,"Executive"))))</f>
        <v>Executive</v>
      </c>
      <c r="W1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7" s="14" t="str">
        <f>VLOOKUP(Employees_Data[[#This Row],[Department]],Departments!$A$2:$B$7,2,FALSE)</f>
        <v>D04</v>
      </c>
      <c r="Y17" s="14" t="str">
        <f>INDEX(Departments!$B$2:$B$7,MATCH(Employees_Data[[#This Row],[Department]],Departments!$A$2:$A$7,0))</f>
        <v>D04</v>
      </c>
      <c r="Z17" s="14" t="str">
        <f>INDEX(Salary_Bands!$C$2:$C$5,MATCH(Employees_Data[[#This Row],[Salary]],Salary_Bands!$A$2:$A$5,1))</f>
        <v>Executive</v>
      </c>
      <c r="AC17" s="21" t="s">
        <v>1102</v>
      </c>
      <c r="AD17" s="21"/>
    </row>
    <row r="18" spans="1:30" hidden="1" x14ac:dyDescent="0.3">
      <c r="A18" t="s">
        <v>89</v>
      </c>
      <c r="B18" t="s">
        <v>90</v>
      </c>
      <c r="C18" t="s">
        <v>22</v>
      </c>
      <c r="D18" s="12">
        <v>46</v>
      </c>
      <c r="E18" t="s">
        <v>87</v>
      </c>
      <c r="F18" t="s">
        <v>91</v>
      </c>
      <c r="G18" t="s">
        <v>51</v>
      </c>
      <c r="H18">
        <v>23</v>
      </c>
      <c r="I18" s="1">
        <v>44964</v>
      </c>
      <c r="J18" s="10">
        <v>62388</v>
      </c>
      <c r="K18" s="10">
        <v>9133</v>
      </c>
      <c r="L18">
        <v>4</v>
      </c>
      <c r="M18" t="s">
        <v>26</v>
      </c>
      <c r="N18" t="s">
        <v>53</v>
      </c>
      <c r="O18" t="s">
        <v>28</v>
      </c>
      <c r="P18" t="s">
        <v>29</v>
      </c>
      <c r="Q18">
        <v>52</v>
      </c>
      <c r="R18">
        <v>10</v>
      </c>
      <c r="S18">
        <v>9</v>
      </c>
      <c r="T18" t="s">
        <v>30</v>
      </c>
      <c r="U18" t="str">
        <f>IF(AND(Employees_Data[[#This Row],[Age]]&gt;=20,Employees_Data[[#This Row],[Age]]&lt;=30),"Young",IF(AND(Employees_Data[[#This Row],[Age]]&gt;=31,Employees_Data[[#This Row],[Age]]&lt;=40),"Mid-Age",IF(Employees_Data[[#This Row],[Age]]&gt;=41,"Senior")))</f>
        <v>Senior</v>
      </c>
      <c r="V18" t="str">
        <f>IF(Employees_Data[[#This Row],[Salary]]&lt;=30000,"Low",IF(AND(Employees_Data[[#This Row],[Salary]]&gt;30000,Employees_Data[[#This Row],[Salary]]&lt;=60000),"Medium",IF(AND(Employees_Data[[#This Row],[Salary]]&gt;60000,Employees_Data[[#This Row],[Salary]]&lt;=90000),"High",IF(Employees_Data[[#This Row],[Salary]]&gt;90000,"Executive"))))</f>
        <v>High</v>
      </c>
      <c r="W1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8" s="14" t="str">
        <f>VLOOKUP(Employees_Data[[#This Row],[Department]],Departments!$A$2:$B$7,2,FALSE)</f>
        <v>D04</v>
      </c>
      <c r="Y18" s="14" t="str">
        <f>INDEX(Departments!$B$2:$B$7,MATCH(Employees_Data[[#This Row],[Department]],Departments!$A$2:$A$7,0))</f>
        <v>D04</v>
      </c>
      <c r="Z18" s="14" t="str">
        <f>INDEX(Salary_Bands!$C$2:$C$5,MATCH(Employees_Data[[#This Row],[Salary]],Salary_Bands!$A$2:$A$5,1))</f>
        <v>High</v>
      </c>
      <c r="AC18" s="7" t="s">
        <v>48</v>
      </c>
      <c r="AD18" s="5">
        <f>COUNTIF(Employees_Data[City],AC18)</f>
        <v>74</v>
      </c>
    </row>
    <row r="19" spans="1:30" x14ac:dyDescent="0.3">
      <c r="A19" t="s">
        <v>92</v>
      </c>
      <c r="B19" t="s">
        <v>93</v>
      </c>
      <c r="C19" t="s">
        <v>22</v>
      </c>
      <c r="D19" s="12">
        <v>52</v>
      </c>
      <c r="E19" t="s">
        <v>56</v>
      </c>
      <c r="F19" t="s">
        <v>57</v>
      </c>
      <c r="G19" t="s">
        <v>35</v>
      </c>
      <c r="H19">
        <v>27</v>
      </c>
      <c r="I19" s="1">
        <v>45276</v>
      </c>
      <c r="J19" s="10">
        <v>45635</v>
      </c>
      <c r="K19" s="10">
        <v>15230</v>
      </c>
      <c r="L19">
        <v>1</v>
      </c>
      <c r="M19" t="s">
        <v>26</v>
      </c>
      <c r="N19" t="s">
        <v>53</v>
      </c>
      <c r="O19" s="5" t="s">
        <v>29</v>
      </c>
      <c r="P19" t="s">
        <v>29</v>
      </c>
      <c r="Q19">
        <v>42</v>
      </c>
      <c r="R19">
        <v>19</v>
      </c>
      <c r="S19">
        <v>9</v>
      </c>
      <c r="T19" t="s">
        <v>43</v>
      </c>
      <c r="U19" t="str">
        <f>IF(AND(Employees_Data[[#This Row],[Age]]&gt;=20,Employees_Data[[#This Row],[Age]]&lt;=30),"Young",IF(AND(Employees_Data[[#This Row],[Age]]&gt;=31,Employees_Data[[#This Row],[Age]]&lt;=40),"Mid-Age",IF(Employees_Data[[#This Row],[Age]]&gt;=41,"Senior")))</f>
        <v>Senior</v>
      </c>
      <c r="V19" t="str">
        <f>IF(Employees_Data[[#This Row],[Salary]]&lt;=30000,"Low",IF(AND(Employees_Data[[#This Row],[Salary]]&gt;30000,Employees_Data[[#This Row],[Salary]]&lt;=60000),"Medium",IF(AND(Employees_Data[[#This Row],[Salary]]&gt;60000,Employees_Data[[#This Row],[Salary]]&lt;=90000),"High",IF(Employees_Data[[#This Row],[Salary]]&gt;90000,"Executive"))))</f>
        <v>Medium</v>
      </c>
      <c r="W1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9" s="14" t="str">
        <f>VLOOKUP(Employees_Data[[#This Row],[Department]],Departments!$A$2:$B$7,2,FALSE)</f>
        <v>D01</v>
      </c>
      <c r="Y19" s="14" t="str">
        <f>INDEX(Departments!$B$2:$B$7,MATCH(Employees_Data[[#This Row],[Department]],Departments!$A$2:$A$7,0))</f>
        <v>D01</v>
      </c>
      <c r="Z19" s="14" t="str">
        <f>INDEX(Salary_Bands!$C$2:$C$5,MATCH(Employees_Data[[#This Row],[Salary]],Salary_Bands!$A$2:$A$5,1))</f>
        <v>Medium</v>
      </c>
      <c r="AC19" s="8" t="s">
        <v>53</v>
      </c>
      <c r="AD19" s="5">
        <f>COUNTIF(Employees_Data[City],AC19)</f>
        <v>56</v>
      </c>
    </row>
    <row r="20" spans="1:30" hidden="1" x14ac:dyDescent="0.3">
      <c r="A20" t="s">
        <v>94</v>
      </c>
      <c r="B20" t="s">
        <v>95</v>
      </c>
      <c r="C20" t="s">
        <v>40</v>
      </c>
      <c r="D20" s="12">
        <v>27</v>
      </c>
      <c r="E20" t="s">
        <v>56</v>
      </c>
      <c r="F20" t="s">
        <v>79</v>
      </c>
      <c r="G20" t="s">
        <v>35</v>
      </c>
      <c r="H20">
        <v>3</v>
      </c>
      <c r="I20" s="1">
        <v>45491</v>
      </c>
      <c r="J20" s="10">
        <v>99085</v>
      </c>
      <c r="K20" s="10">
        <v>10703</v>
      </c>
      <c r="L20">
        <v>5</v>
      </c>
      <c r="M20" t="s">
        <v>36</v>
      </c>
      <c r="N20" t="s">
        <v>76</v>
      </c>
      <c r="O20" t="s">
        <v>28</v>
      </c>
      <c r="P20" t="s">
        <v>28</v>
      </c>
      <c r="Q20">
        <v>34</v>
      </c>
      <c r="R20">
        <v>10</v>
      </c>
      <c r="S20">
        <v>6</v>
      </c>
      <c r="T20" t="s">
        <v>30</v>
      </c>
      <c r="U20" t="str">
        <f>IF(AND(Employees_Data[[#This Row],[Age]]&gt;=20,Employees_Data[[#This Row],[Age]]&lt;=30),"Young",IF(AND(Employees_Data[[#This Row],[Age]]&gt;=31,Employees_Data[[#This Row],[Age]]&lt;=40),"Mid-Age",IF(Employees_Data[[#This Row],[Age]]&gt;=41,"Senior")))</f>
        <v>Young</v>
      </c>
      <c r="V20" t="str">
        <f>IF(Employees_Data[[#This Row],[Salary]]&lt;=30000,"Low",IF(AND(Employees_Data[[#This Row],[Salary]]&gt;30000,Employees_Data[[#This Row],[Salary]]&lt;=60000),"Medium",IF(AND(Employees_Data[[#This Row],[Salary]]&gt;60000,Employees_Data[[#This Row],[Salary]]&lt;=90000),"High",IF(Employees_Data[[#This Row],[Salary]]&gt;90000,"Executive"))))</f>
        <v>Executive</v>
      </c>
      <c r="W2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20" s="14" t="str">
        <f>VLOOKUP(Employees_Data[[#This Row],[Department]],Departments!$A$2:$B$7,2,FALSE)</f>
        <v>D01</v>
      </c>
      <c r="Y20" s="14" t="str">
        <f>INDEX(Departments!$B$2:$B$7,MATCH(Employees_Data[[#This Row],[Department]],Departments!$A$2:$A$7,0))</f>
        <v>D01</v>
      </c>
      <c r="Z20" s="14" t="str">
        <f>INDEX(Salary_Bands!$C$2:$C$5,MATCH(Employees_Data[[#This Row],[Salary]],Salary_Bands!$A$2:$A$5,1))</f>
        <v>Executive</v>
      </c>
      <c r="AC20" s="7" t="s">
        <v>58</v>
      </c>
      <c r="AD20" s="5">
        <f>COUNTIF(Employees_Data[City],AC20)</f>
        <v>75</v>
      </c>
    </row>
    <row r="21" spans="1:30" hidden="1" x14ac:dyDescent="0.3">
      <c r="A21" t="s">
        <v>96</v>
      </c>
      <c r="B21" t="s">
        <v>97</v>
      </c>
      <c r="C21" t="s">
        <v>40</v>
      </c>
      <c r="D21" s="12">
        <v>51</v>
      </c>
      <c r="E21" t="s">
        <v>56</v>
      </c>
      <c r="F21" t="s">
        <v>57</v>
      </c>
      <c r="G21" t="s">
        <v>80</v>
      </c>
      <c r="H21">
        <v>26</v>
      </c>
      <c r="I21" s="1">
        <v>45407</v>
      </c>
      <c r="J21" s="10">
        <v>38104</v>
      </c>
      <c r="K21" s="10">
        <v>10004</v>
      </c>
      <c r="L21">
        <v>1</v>
      </c>
      <c r="M21" t="s">
        <v>36</v>
      </c>
      <c r="N21" t="s">
        <v>37</v>
      </c>
      <c r="O21" t="s">
        <v>28</v>
      </c>
      <c r="P21" t="s">
        <v>29</v>
      </c>
      <c r="Q21">
        <v>33</v>
      </c>
      <c r="R21">
        <v>17</v>
      </c>
      <c r="S21">
        <v>9</v>
      </c>
      <c r="T21" t="s">
        <v>30</v>
      </c>
      <c r="U21" t="str">
        <f>IF(AND(Employees_Data[[#This Row],[Age]]&gt;=20,Employees_Data[[#This Row],[Age]]&lt;=30),"Young",IF(AND(Employees_Data[[#This Row],[Age]]&gt;=31,Employees_Data[[#This Row],[Age]]&lt;=40),"Mid-Age",IF(Employees_Data[[#This Row],[Age]]&gt;=41,"Senior")))</f>
        <v>Senior</v>
      </c>
      <c r="V21" t="str">
        <f>IF(Employees_Data[[#This Row],[Salary]]&lt;=30000,"Low",IF(AND(Employees_Data[[#This Row],[Salary]]&gt;30000,Employees_Data[[#This Row],[Salary]]&lt;=60000),"Medium",IF(AND(Employees_Data[[#This Row],[Salary]]&gt;60000,Employees_Data[[#This Row],[Salary]]&lt;=90000),"High",IF(Employees_Data[[#This Row],[Salary]]&gt;90000,"Executive"))))</f>
        <v>Medium</v>
      </c>
      <c r="W2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1" s="14" t="str">
        <f>VLOOKUP(Employees_Data[[#This Row],[Department]],Departments!$A$2:$B$7,2,FALSE)</f>
        <v>D01</v>
      </c>
      <c r="Y21" s="14" t="str">
        <f>INDEX(Departments!$B$2:$B$7,MATCH(Employees_Data[[#This Row],[Department]],Departments!$A$2:$A$7,0))</f>
        <v>D01</v>
      </c>
      <c r="Z21" s="14" t="str">
        <f>INDEX(Salary_Bands!$C$2:$C$5,MATCH(Employees_Data[[#This Row],[Salary]],Salary_Bands!$A$2:$A$5,1))</f>
        <v>Medium</v>
      </c>
      <c r="AC21" s="8" t="s">
        <v>63</v>
      </c>
      <c r="AD21" s="5">
        <f>COUNTIF(Employees_Data[City],AC21)</f>
        <v>81</v>
      </c>
    </row>
    <row r="22" spans="1:30" hidden="1" x14ac:dyDescent="0.3">
      <c r="A22" t="s">
        <v>98</v>
      </c>
      <c r="B22" t="s">
        <v>99</v>
      </c>
      <c r="C22" t="s">
        <v>22</v>
      </c>
      <c r="D22" s="12">
        <v>55</v>
      </c>
      <c r="E22" t="s">
        <v>23</v>
      </c>
      <c r="F22" t="s">
        <v>100</v>
      </c>
      <c r="G22" t="s">
        <v>51</v>
      </c>
      <c r="H22">
        <v>34</v>
      </c>
      <c r="I22" s="1">
        <v>45372</v>
      </c>
      <c r="J22" s="10">
        <v>64240</v>
      </c>
      <c r="K22" s="10">
        <v>11232</v>
      </c>
      <c r="L22">
        <v>1</v>
      </c>
      <c r="M22" t="s">
        <v>52</v>
      </c>
      <c r="N22" t="s">
        <v>76</v>
      </c>
      <c r="O22" t="s">
        <v>28</v>
      </c>
      <c r="P22" t="s">
        <v>28</v>
      </c>
      <c r="Q22">
        <v>18</v>
      </c>
      <c r="R22">
        <v>20</v>
      </c>
      <c r="S22">
        <v>3</v>
      </c>
      <c r="T22" t="s">
        <v>30</v>
      </c>
      <c r="U22" t="str">
        <f>IF(AND(Employees_Data[[#This Row],[Age]]&gt;=20,Employees_Data[[#This Row],[Age]]&lt;=30),"Young",IF(AND(Employees_Data[[#This Row],[Age]]&gt;=31,Employees_Data[[#This Row],[Age]]&lt;=40),"Mid-Age",IF(Employees_Data[[#This Row],[Age]]&gt;=41,"Senior")))</f>
        <v>Senior</v>
      </c>
      <c r="V22" t="str">
        <f>IF(Employees_Data[[#This Row],[Salary]]&lt;=30000,"Low",IF(AND(Employees_Data[[#This Row],[Salary]]&gt;30000,Employees_Data[[#This Row],[Salary]]&lt;=60000),"Medium",IF(AND(Employees_Data[[#This Row],[Salary]]&gt;60000,Employees_Data[[#This Row],[Salary]]&lt;=90000),"High",IF(Employees_Data[[#This Row],[Salary]]&gt;90000,"Executive"))))</f>
        <v>High</v>
      </c>
      <c r="W2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2" s="14" t="str">
        <f>VLOOKUP(Employees_Data[[#This Row],[Department]],Departments!$A$2:$B$7,2,FALSE)</f>
        <v>D06</v>
      </c>
      <c r="Y22" s="14" t="str">
        <f>INDEX(Departments!$B$2:$B$7,MATCH(Employees_Data[[#This Row],[Department]],Departments!$A$2:$A$7,0))</f>
        <v>D06</v>
      </c>
      <c r="Z22" s="14" t="str">
        <f>INDEX(Salary_Bands!$C$2:$C$5,MATCH(Employees_Data[[#This Row],[Salary]],Salary_Bands!$A$2:$A$5,1))</f>
        <v>High</v>
      </c>
      <c r="AC22" s="7" t="s">
        <v>76</v>
      </c>
      <c r="AD22" s="5">
        <f>COUNTIF(Employees_Data[City],AC22)</f>
        <v>68</v>
      </c>
    </row>
    <row r="23" spans="1:30" x14ac:dyDescent="0.3">
      <c r="A23" t="s">
        <v>101</v>
      </c>
      <c r="B23" t="s">
        <v>102</v>
      </c>
      <c r="C23" t="s">
        <v>22</v>
      </c>
      <c r="D23" s="12">
        <v>53</v>
      </c>
      <c r="E23" t="s">
        <v>41</v>
      </c>
      <c r="F23" t="s">
        <v>69</v>
      </c>
      <c r="G23" t="s">
        <v>51</v>
      </c>
      <c r="H23">
        <v>30</v>
      </c>
      <c r="I23" s="1">
        <v>43309</v>
      </c>
      <c r="J23" s="10">
        <v>37097</v>
      </c>
      <c r="K23" s="10">
        <v>7294</v>
      </c>
      <c r="L23">
        <v>4</v>
      </c>
      <c r="M23" t="s">
        <v>52</v>
      </c>
      <c r="N23" t="s">
        <v>58</v>
      </c>
      <c r="O23" s="5" t="s">
        <v>29</v>
      </c>
      <c r="P23" t="s">
        <v>28</v>
      </c>
      <c r="Q23">
        <v>40</v>
      </c>
      <c r="R23">
        <v>0</v>
      </c>
      <c r="S23">
        <v>5</v>
      </c>
      <c r="T23" t="s">
        <v>30</v>
      </c>
      <c r="U23" t="str">
        <f>IF(AND(Employees_Data[[#This Row],[Age]]&gt;=20,Employees_Data[[#This Row],[Age]]&lt;=30),"Young",IF(AND(Employees_Data[[#This Row],[Age]]&gt;=31,Employees_Data[[#This Row],[Age]]&lt;=40),"Mid-Age",IF(Employees_Data[[#This Row],[Age]]&gt;=41,"Senior")))</f>
        <v>Senior</v>
      </c>
      <c r="V23" t="str">
        <f>IF(Employees_Data[[#This Row],[Salary]]&lt;=30000,"Low",IF(AND(Employees_Data[[#This Row],[Salary]]&gt;30000,Employees_Data[[#This Row],[Salary]]&lt;=60000),"Medium",IF(AND(Employees_Data[[#This Row],[Salary]]&gt;60000,Employees_Data[[#This Row],[Salary]]&lt;=90000),"High",IF(Employees_Data[[#This Row],[Salary]]&gt;90000,"Executive"))))</f>
        <v>Medium</v>
      </c>
      <c r="W2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3" s="14" t="str">
        <f>VLOOKUP(Employees_Data[[#This Row],[Department]],Departments!$A$2:$B$7,2,FALSE)</f>
        <v>D03</v>
      </c>
      <c r="Y23" s="14" t="str">
        <f>INDEX(Departments!$B$2:$B$7,MATCH(Employees_Data[[#This Row],[Department]],Departments!$A$2:$A$7,0))</f>
        <v>D03</v>
      </c>
      <c r="Z23" s="14" t="str">
        <f>INDEX(Salary_Bands!$C$2:$C$5,MATCH(Employees_Data[[#This Row],[Salary]],Salary_Bands!$A$2:$A$5,1))</f>
        <v>Medium</v>
      </c>
      <c r="AC23" s="7" t="s">
        <v>37</v>
      </c>
      <c r="AD23" s="5">
        <f>COUNTIF(Employees_Data[City],AC23)</f>
        <v>76</v>
      </c>
    </row>
    <row r="24" spans="1:30" hidden="1" x14ac:dyDescent="0.3">
      <c r="A24" t="s">
        <v>103</v>
      </c>
      <c r="B24" t="s">
        <v>104</v>
      </c>
      <c r="C24" t="s">
        <v>22</v>
      </c>
      <c r="D24" s="12">
        <v>31</v>
      </c>
      <c r="E24" t="s">
        <v>56</v>
      </c>
      <c r="F24" t="s">
        <v>57</v>
      </c>
      <c r="G24" t="s">
        <v>51</v>
      </c>
      <c r="H24">
        <v>6</v>
      </c>
      <c r="I24" s="1">
        <v>43248</v>
      </c>
      <c r="J24" s="10">
        <v>134392</v>
      </c>
      <c r="K24" s="10">
        <v>13948</v>
      </c>
      <c r="L24">
        <v>3</v>
      </c>
      <c r="M24" t="s">
        <v>26</v>
      </c>
      <c r="N24" t="s">
        <v>37</v>
      </c>
      <c r="O24" t="s">
        <v>28</v>
      </c>
      <c r="P24" t="s">
        <v>29</v>
      </c>
      <c r="Q24">
        <v>48</v>
      </c>
      <c r="R24">
        <v>7</v>
      </c>
      <c r="S24">
        <v>10</v>
      </c>
      <c r="T24" t="s">
        <v>30</v>
      </c>
      <c r="U24" t="str">
        <f>IF(AND(Employees_Data[[#This Row],[Age]]&gt;=20,Employees_Data[[#This Row],[Age]]&lt;=30),"Young",IF(AND(Employees_Data[[#This Row],[Age]]&gt;=31,Employees_Data[[#This Row],[Age]]&lt;=40),"Mid-Age",IF(Employees_Data[[#This Row],[Age]]&gt;=41,"Senior")))</f>
        <v>Mid-Age</v>
      </c>
      <c r="V24" t="str">
        <f>IF(Employees_Data[[#This Row],[Salary]]&lt;=30000,"Low",IF(AND(Employees_Data[[#This Row],[Salary]]&gt;30000,Employees_Data[[#This Row],[Salary]]&lt;=60000),"Medium",IF(AND(Employees_Data[[#This Row],[Salary]]&gt;60000,Employees_Data[[#This Row],[Salary]]&lt;=90000),"High",IF(Employees_Data[[#This Row],[Salary]]&gt;90000,"Executive"))))</f>
        <v>Executive</v>
      </c>
      <c r="W2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24" s="14" t="str">
        <f>VLOOKUP(Employees_Data[[#This Row],[Department]],Departments!$A$2:$B$7,2,FALSE)</f>
        <v>D01</v>
      </c>
      <c r="Y24" s="14" t="str">
        <f>INDEX(Departments!$B$2:$B$7,MATCH(Employees_Data[[#This Row],[Department]],Departments!$A$2:$A$7,0))</f>
        <v>D01</v>
      </c>
      <c r="Z24" s="14" t="str">
        <f>INDEX(Salary_Bands!$C$2:$C$5,MATCH(Employees_Data[[#This Row],[Salary]],Salary_Bands!$A$2:$A$5,1))</f>
        <v>Executive</v>
      </c>
      <c r="AC24" s="8" t="s">
        <v>27</v>
      </c>
      <c r="AD24" s="5">
        <f>COUNTIF(Employees_Data[City],AC24)</f>
        <v>70</v>
      </c>
    </row>
    <row r="25" spans="1:30" hidden="1" x14ac:dyDescent="0.3">
      <c r="A25" t="s">
        <v>105</v>
      </c>
      <c r="B25" t="s">
        <v>106</v>
      </c>
      <c r="C25" t="s">
        <v>22</v>
      </c>
      <c r="D25" s="12">
        <v>44</v>
      </c>
      <c r="E25" t="s">
        <v>23</v>
      </c>
      <c r="F25" t="s">
        <v>24</v>
      </c>
      <c r="G25" t="s">
        <v>47</v>
      </c>
      <c r="H25">
        <v>19</v>
      </c>
      <c r="I25" s="1">
        <v>44765</v>
      </c>
      <c r="J25" s="10">
        <v>106351</v>
      </c>
      <c r="K25" s="10">
        <v>2812</v>
      </c>
      <c r="L25">
        <v>2</v>
      </c>
      <c r="M25" t="s">
        <v>26</v>
      </c>
      <c r="N25" t="s">
        <v>48</v>
      </c>
      <c r="O25" t="s">
        <v>28</v>
      </c>
      <c r="P25" t="s">
        <v>28</v>
      </c>
      <c r="Q25">
        <v>55</v>
      </c>
      <c r="R25">
        <v>13</v>
      </c>
      <c r="S25">
        <v>4</v>
      </c>
      <c r="T25" t="s">
        <v>30</v>
      </c>
      <c r="U25" t="str">
        <f>IF(AND(Employees_Data[[#This Row],[Age]]&gt;=20,Employees_Data[[#This Row],[Age]]&lt;=30),"Young",IF(AND(Employees_Data[[#This Row],[Age]]&gt;=31,Employees_Data[[#This Row],[Age]]&lt;=40),"Mid-Age",IF(Employees_Data[[#This Row],[Age]]&gt;=41,"Senior")))</f>
        <v>Senior</v>
      </c>
      <c r="V25" t="str">
        <f>IF(Employees_Data[[#This Row],[Salary]]&lt;=30000,"Low",IF(AND(Employees_Data[[#This Row],[Salary]]&gt;30000,Employees_Data[[#This Row],[Salary]]&lt;=60000),"Medium",IF(AND(Employees_Data[[#This Row],[Salary]]&gt;60000,Employees_Data[[#This Row],[Salary]]&lt;=90000),"High",IF(Employees_Data[[#This Row],[Salary]]&gt;90000,"Executive"))))</f>
        <v>Executive</v>
      </c>
      <c r="W2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5" s="14" t="str">
        <f>VLOOKUP(Employees_Data[[#This Row],[Department]],Departments!$A$2:$B$7,2,FALSE)</f>
        <v>D06</v>
      </c>
      <c r="Y25" s="14" t="str">
        <f>INDEX(Departments!$B$2:$B$7,MATCH(Employees_Data[[#This Row],[Department]],Departments!$A$2:$A$7,0))</f>
        <v>D06</v>
      </c>
      <c r="Z25" s="14" t="str">
        <f>INDEX(Salary_Bands!$C$2:$C$5,MATCH(Employees_Data[[#This Row],[Salary]],Salary_Bands!$A$2:$A$5,1))</f>
        <v>Executive</v>
      </c>
    </row>
    <row r="26" spans="1:30" hidden="1" x14ac:dyDescent="0.3">
      <c r="A26" t="s">
        <v>107</v>
      </c>
      <c r="B26" t="s">
        <v>108</v>
      </c>
      <c r="C26" t="s">
        <v>22</v>
      </c>
      <c r="D26" s="12">
        <v>37</v>
      </c>
      <c r="E26" t="s">
        <v>23</v>
      </c>
      <c r="F26" t="s">
        <v>109</v>
      </c>
      <c r="G26" t="s">
        <v>35</v>
      </c>
      <c r="H26">
        <v>14</v>
      </c>
      <c r="I26" s="1">
        <v>43753</v>
      </c>
      <c r="J26" s="10">
        <v>128202</v>
      </c>
      <c r="K26" s="10">
        <v>17083</v>
      </c>
      <c r="L26">
        <v>1</v>
      </c>
      <c r="M26" t="s">
        <v>36</v>
      </c>
      <c r="N26" t="s">
        <v>37</v>
      </c>
      <c r="O26" t="s">
        <v>28</v>
      </c>
      <c r="P26" t="s">
        <v>29</v>
      </c>
      <c r="Q26">
        <v>19</v>
      </c>
      <c r="R26">
        <v>0</v>
      </c>
      <c r="S26">
        <v>7</v>
      </c>
      <c r="T26" t="s">
        <v>30</v>
      </c>
      <c r="U26" t="str">
        <f>IF(AND(Employees_Data[[#This Row],[Age]]&gt;=20,Employees_Data[[#This Row],[Age]]&lt;=30),"Young",IF(AND(Employees_Data[[#This Row],[Age]]&gt;=31,Employees_Data[[#This Row],[Age]]&lt;=40),"Mid-Age",IF(Employees_Data[[#This Row],[Age]]&gt;=41,"Senior")))</f>
        <v>Mid-Age</v>
      </c>
      <c r="V26" t="str">
        <f>IF(Employees_Data[[#This Row],[Salary]]&lt;=30000,"Low",IF(AND(Employees_Data[[#This Row],[Salary]]&gt;30000,Employees_Data[[#This Row],[Salary]]&lt;=60000),"Medium",IF(AND(Employees_Data[[#This Row],[Salary]]&gt;60000,Employees_Data[[#This Row],[Salary]]&lt;=90000),"High",IF(Employees_Data[[#This Row],[Salary]]&gt;90000,"Executive"))))</f>
        <v>Executive</v>
      </c>
      <c r="W2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6" s="14" t="str">
        <f>VLOOKUP(Employees_Data[[#This Row],[Department]],Departments!$A$2:$B$7,2,FALSE)</f>
        <v>D06</v>
      </c>
      <c r="Y26" s="14" t="str">
        <f>INDEX(Departments!$B$2:$B$7,MATCH(Employees_Data[[#This Row],[Department]],Departments!$A$2:$A$7,0))</f>
        <v>D06</v>
      </c>
      <c r="Z26" s="14" t="str">
        <f>INDEX(Salary_Bands!$C$2:$C$5,MATCH(Employees_Data[[#This Row],[Salary]],Salary_Bands!$A$2:$A$5,1))</f>
        <v>Executive</v>
      </c>
      <c r="AC26" s="21" t="s">
        <v>1105</v>
      </c>
      <c r="AD26" s="21"/>
    </row>
    <row r="27" spans="1:30" hidden="1" x14ac:dyDescent="0.3">
      <c r="A27" t="s">
        <v>110</v>
      </c>
      <c r="B27" t="s">
        <v>111</v>
      </c>
      <c r="C27" t="s">
        <v>40</v>
      </c>
      <c r="D27" s="12">
        <v>47</v>
      </c>
      <c r="E27" t="s">
        <v>23</v>
      </c>
      <c r="F27" t="s">
        <v>24</v>
      </c>
      <c r="G27" t="s">
        <v>80</v>
      </c>
      <c r="H27">
        <v>24</v>
      </c>
      <c r="I27" s="1">
        <v>44242</v>
      </c>
      <c r="J27" s="10">
        <v>138292</v>
      </c>
      <c r="K27" s="10">
        <v>5779</v>
      </c>
      <c r="L27">
        <v>1</v>
      </c>
      <c r="M27" t="s">
        <v>36</v>
      </c>
      <c r="N27" t="s">
        <v>76</v>
      </c>
      <c r="O27" t="s">
        <v>28</v>
      </c>
      <c r="P27" t="s">
        <v>28</v>
      </c>
      <c r="Q27">
        <v>7</v>
      </c>
      <c r="R27">
        <v>3</v>
      </c>
      <c r="S27">
        <v>5</v>
      </c>
      <c r="T27" t="s">
        <v>30</v>
      </c>
      <c r="U27" t="str">
        <f>IF(AND(Employees_Data[[#This Row],[Age]]&gt;=20,Employees_Data[[#This Row],[Age]]&lt;=30),"Young",IF(AND(Employees_Data[[#This Row],[Age]]&gt;=31,Employees_Data[[#This Row],[Age]]&lt;=40),"Mid-Age",IF(Employees_Data[[#This Row],[Age]]&gt;=41,"Senior")))</f>
        <v>Senior</v>
      </c>
      <c r="V27" t="str">
        <f>IF(Employees_Data[[#This Row],[Salary]]&lt;=30000,"Low",IF(AND(Employees_Data[[#This Row],[Salary]]&gt;30000,Employees_Data[[#This Row],[Salary]]&lt;=60000),"Medium",IF(AND(Employees_Data[[#This Row],[Salary]]&gt;60000,Employees_Data[[#This Row],[Salary]]&lt;=90000),"High",IF(Employees_Data[[#This Row],[Salary]]&gt;90000,"Executive"))))</f>
        <v>Executive</v>
      </c>
      <c r="W2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7" s="14" t="str">
        <f>VLOOKUP(Employees_Data[[#This Row],[Department]],Departments!$A$2:$B$7,2,FALSE)</f>
        <v>D06</v>
      </c>
      <c r="Y27" s="14" t="str">
        <f>INDEX(Departments!$B$2:$B$7,MATCH(Employees_Data[[#This Row],[Department]],Departments!$A$2:$A$7,0))</f>
        <v>D06</v>
      </c>
      <c r="Z27" s="14" t="str">
        <f>INDEX(Salary_Bands!$C$2:$C$5,MATCH(Employees_Data[[#This Row],[Salary]],Salary_Bands!$A$2:$A$5,1))</f>
        <v>Executive</v>
      </c>
      <c r="AC27" s="22">
        <f>AVERAGEIF(Employees_Data[Department],"HR",Employees_Data[Salary])</f>
        <v>86779.289156626503</v>
      </c>
      <c r="AD27" s="22"/>
    </row>
    <row r="28" spans="1:30" x14ac:dyDescent="0.3">
      <c r="A28" t="s">
        <v>112</v>
      </c>
      <c r="B28" t="s">
        <v>113</v>
      </c>
      <c r="C28" t="s">
        <v>22</v>
      </c>
      <c r="D28" s="12">
        <v>44</v>
      </c>
      <c r="E28" t="s">
        <v>33</v>
      </c>
      <c r="F28" t="s">
        <v>46</v>
      </c>
      <c r="G28" t="s">
        <v>51</v>
      </c>
      <c r="H28">
        <v>18</v>
      </c>
      <c r="I28" s="1">
        <v>44385</v>
      </c>
      <c r="J28" s="10">
        <v>82199</v>
      </c>
      <c r="K28" s="10">
        <v>3454</v>
      </c>
      <c r="L28">
        <v>5</v>
      </c>
      <c r="M28" t="s">
        <v>52</v>
      </c>
      <c r="N28" t="s">
        <v>58</v>
      </c>
      <c r="O28" s="5" t="s">
        <v>29</v>
      </c>
      <c r="P28" t="s">
        <v>29</v>
      </c>
      <c r="Q28">
        <v>38</v>
      </c>
      <c r="R28">
        <v>17</v>
      </c>
      <c r="S28">
        <v>9</v>
      </c>
      <c r="T28" t="s">
        <v>30</v>
      </c>
      <c r="U28" t="str">
        <f>IF(AND(Employees_Data[[#This Row],[Age]]&gt;=20,Employees_Data[[#This Row],[Age]]&lt;=30),"Young",IF(AND(Employees_Data[[#This Row],[Age]]&gt;=31,Employees_Data[[#This Row],[Age]]&lt;=40),"Mid-Age",IF(Employees_Data[[#This Row],[Age]]&gt;=41,"Senior")))</f>
        <v>Senior</v>
      </c>
      <c r="V28" t="str">
        <f>IF(Employees_Data[[#This Row],[Salary]]&lt;=30000,"Low",IF(AND(Employees_Data[[#This Row],[Salary]]&gt;30000,Employees_Data[[#This Row],[Salary]]&lt;=60000),"Medium",IF(AND(Employees_Data[[#This Row],[Salary]]&gt;60000,Employees_Data[[#This Row],[Salary]]&lt;=90000),"High",IF(Employees_Data[[#This Row],[Salary]]&gt;90000,"Executive"))))</f>
        <v>High</v>
      </c>
      <c r="W2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8" s="14" t="str">
        <f>VLOOKUP(Employees_Data[[#This Row],[Department]],Departments!$A$2:$B$7,2,FALSE)</f>
        <v>D05</v>
      </c>
      <c r="Y28" s="14" t="str">
        <f>INDEX(Departments!$B$2:$B$7,MATCH(Employees_Data[[#This Row],[Department]],Departments!$A$2:$A$7,0))</f>
        <v>D05</v>
      </c>
      <c r="Z28" s="14" t="str">
        <f>INDEX(Salary_Bands!$C$2:$C$5,MATCH(Employees_Data[[#This Row],[Salary]],Salary_Bands!$A$2:$A$5,1))</f>
        <v>High</v>
      </c>
    </row>
    <row r="29" spans="1:30" hidden="1" x14ac:dyDescent="0.3">
      <c r="A29" t="s">
        <v>114</v>
      </c>
      <c r="B29" t="s">
        <v>115</v>
      </c>
      <c r="C29" t="s">
        <v>40</v>
      </c>
      <c r="D29" s="12">
        <v>34</v>
      </c>
      <c r="E29" t="s">
        <v>23</v>
      </c>
      <c r="F29" t="s">
        <v>109</v>
      </c>
      <c r="G29" t="s">
        <v>25</v>
      </c>
      <c r="H29">
        <v>11</v>
      </c>
      <c r="I29" s="1">
        <v>44867</v>
      </c>
      <c r="J29" s="10">
        <v>34171</v>
      </c>
      <c r="K29" s="10">
        <v>12134</v>
      </c>
      <c r="L29">
        <v>3</v>
      </c>
      <c r="M29" t="s">
        <v>52</v>
      </c>
      <c r="N29" t="s">
        <v>58</v>
      </c>
      <c r="O29" t="s">
        <v>28</v>
      </c>
      <c r="P29" t="s">
        <v>28</v>
      </c>
      <c r="Q29">
        <v>30</v>
      </c>
      <c r="R29">
        <v>9</v>
      </c>
      <c r="S29">
        <v>10</v>
      </c>
      <c r="T29" t="s">
        <v>30</v>
      </c>
      <c r="U29" t="str">
        <f>IF(AND(Employees_Data[[#This Row],[Age]]&gt;=20,Employees_Data[[#This Row],[Age]]&lt;=30),"Young",IF(AND(Employees_Data[[#This Row],[Age]]&gt;=31,Employees_Data[[#This Row],[Age]]&lt;=40),"Mid-Age",IF(Employees_Data[[#This Row],[Age]]&gt;=41,"Senior")))</f>
        <v>Mid-Age</v>
      </c>
      <c r="V29" t="str">
        <f>IF(Employees_Data[[#This Row],[Salary]]&lt;=30000,"Low",IF(AND(Employees_Data[[#This Row],[Salary]]&gt;30000,Employees_Data[[#This Row],[Salary]]&lt;=60000),"Medium",IF(AND(Employees_Data[[#This Row],[Salary]]&gt;60000,Employees_Data[[#This Row],[Salary]]&lt;=90000),"High",IF(Employees_Data[[#This Row],[Salary]]&gt;90000,"Executive"))))</f>
        <v>Medium</v>
      </c>
      <c r="W2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9" s="14" t="str">
        <f>VLOOKUP(Employees_Data[[#This Row],[Department]],Departments!$A$2:$B$7,2,FALSE)</f>
        <v>D06</v>
      </c>
      <c r="Y29" s="14" t="str">
        <f>INDEX(Departments!$B$2:$B$7,MATCH(Employees_Data[[#This Row],[Department]],Departments!$A$2:$A$7,0))</f>
        <v>D06</v>
      </c>
      <c r="Z29" s="14" t="str">
        <f>INDEX(Salary_Bands!$C$2:$C$5,MATCH(Employees_Data[[#This Row],[Salary]],Salary_Bands!$A$2:$A$5,1))</f>
        <v>Medium</v>
      </c>
      <c r="AC29" s="21" t="s">
        <v>1106</v>
      </c>
      <c r="AD29" s="21"/>
    </row>
    <row r="30" spans="1:30" hidden="1" x14ac:dyDescent="0.3">
      <c r="A30" t="s">
        <v>116</v>
      </c>
      <c r="B30" t="s">
        <v>117</v>
      </c>
      <c r="C30" t="s">
        <v>22</v>
      </c>
      <c r="D30" s="12">
        <v>34</v>
      </c>
      <c r="E30" t="s">
        <v>33</v>
      </c>
      <c r="F30" t="s">
        <v>118</v>
      </c>
      <c r="G30" t="s">
        <v>51</v>
      </c>
      <c r="H30">
        <v>10</v>
      </c>
      <c r="I30" s="1">
        <v>44653</v>
      </c>
      <c r="J30" s="10">
        <v>113777</v>
      </c>
      <c r="K30" s="10">
        <v>11401</v>
      </c>
      <c r="L30">
        <v>2</v>
      </c>
      <c r="M30" t="s">
        <v>26</v>
      </c>
      <c r="N30" t="s">
        <v>58</v>
      </c>
      <c r="O30" t="s">
        <v>28</v>
      </c>
      <c r="P30" t="s">
        <v>28</v>
      </c>
      <c r="Q30">
        <v>34</v>
      </c>
      <c r="R30">
        <v>14</v>
      </c>
      <c r="S30">
        <v>10</v>
      </c>
      <c r="T30" t="s">
        <v>30</v>
      </c>
      <c r="U30" t="str">
        <f>IF(AND(Employees_Data[[#This Row],[Age]]&gt;=20,Employees_Data[[#This Row],[Age]]&lt;=30),"Young",IF(AND(Employees_Data[[#This Row],[Age]]&gt;=31,Employees_Data[[#This Row],[Age]]&lt;=40),"Mid-Age",IF(Employees_Data[[#This Row],[Age]]&gt;=41,"Senior")))</f>
        <v>Mid-Age</v>
      </c>
      <c r="V30" t="str">
        <f>IF(Employees_Data[[#This Row],[Salary]]&lt;=30000,"Low",IF(AND(Employees_Data[[#This Row],[Salary]]&gt;30000,Employees_Data[[#This Row],[Salary]]&lt;=60000),"Medium",IF(AND(Employees_Data[[#This Row],[Salary]]&gt;60000,Employees_Data[[#This Row],[Salary]]&lt;=90000),"High",IF(Employees_Data[[#This Row],[Salary]]&gt;90000,"Executive"))))</f>
        <v>Executive</v>
      </c>
      <c r="W3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0" s="14" t="str">
        <f>VLOOKUP(Employees_Data[[#This Row],[Department]],Departments!$A$2:$B$7,2,FALSE)</f>
        <v>D05</v>
      </c>
      <c r="Y30" s="14" t="str">
        <f>INDEX(Departments!$B$2:$B$7,MATCH(Employees_Data[[#This Row],[Department]],Departments!$A$2:$A$7,0))</f>
        <v>D05</v>
      </c>
      <c r="Z30" s="14" t="str">
        <f>INDEX(Salary_Bands!$C$2:$C$5,MATCH(Employees_Data[[#This Row],[Salary]],Salary_Bands!$A$2:$A$5,1))</f>
        <v>Executive</v>
      </c>
      <c r="AC30" s="20">
        <f>COUNTIF(M19:M501,"Remote")</f>
        <v>155</v>
      </c>
      <c r="AD30" s="20"/>
    </row>
    <row r="31" spans="1:30" hidden="1" x14ac:dyDescent="0.3">
      <c r="A31" t="s">
        <v>119</v>
      </c>
      <c r="B31" t="s">
        <v>120</v>
      </c>
      <c r="C31" t="s">
        <v>40</v>
      </c>
      <c r="D31" s="12">
        <v>35</v>
      </c>
      <c r="E31" t="s">
        <v>87</v>
      </c>
      <c r="F31" t="s">
        <v>88</v>
      </c>
      <c r="G31" t="s">
        <v>80</v>
      </c>
      <c r="H31">
        <v>10</v>
      </c>
      <c r="I31" s="1">
        <v>45039</v>
      </c>
      <c r="J31" s="10">
        <v>129036</v>
      </c>
      <c r="K31" s="10">
        <v>9696</v>
      </c>
      <c r="L31">
        <v>2</v>
      </c>
      <c r="M31" t="s">
        <v>52</v>
      </c>
      <c r="N31" t="s">
        <v>37</v>
      </c>
      <c r="O31" t="s">
        <v>28</v>
      </c>
      <c r="P31" t="s">
        <v>29</v>
      </c>
      <c r="Q31">
        <v>56</v>
      </c>
      <c r="R31">
        <v>6</v>
      </c>
      <c r="S31">
        <v>2</v>
      </c>
      <c r="T31" t="s">
        <v>30</v>
      </c>
      <c r="U31" t="str">
        <f>IF(AND(Employees_Data[[#This Row],[Age]]&gt;=20,Employees_Data[[#This Row],[Age]]&lt;=30),"Young",IF(AND(Employees_Data[[#This Row],[Age]]&gt;=31,Employees_Data[[#This Row],[Age]]&lt;=40),"Mid-Age",IF(Employees_Data[[#This Row],[Age]]&gt;=41,"Senior")))</f>
        <v>Mid-Age</v>
      </c>
      <c r="V31" t="str">
        <f>IF(Employees_Data[[#This Row],[Salary]]&lt;=30000,"Low",IF(AND(Employees_Data[[#This Row],[Salary]]&gt;30000,Employees_Data[[#This Row],[Salary]]&lt;=60000),"Medium",IF(AND(Employees_Data[[#This Row],[Salary]]&gt;60000,Employees_Data[[#This Row],[Salary]]&lt;=90000),"High",IF(Employees_Data[[#This Row],[Salary]]&gt;90000,"Executive"))))</f>
        <v>Executive</v>
      </c>
      <c r="W3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1" s="14" t="str">
        <f>VLOOKUP(Employees_Data[[#This Row],[Department]],Departments!$A$2:$B$7,2,FALSE)</f>
        <v>D04</v>
      </c>
      <c r="Y31" s="14" t="str">
        <f>INDEX(Departments!$B$2:$B$7,MATCH(Employees_Data[[#This Row],[Department]],Departments!$A$2:$A$7,0))</f>
        <v>D04</v>
      </c>
      <c r="Z31" s="14" t="str">
        <f>INDEX(Salary_Bands!$C$2:$C$5,MATCH(Employees_Data[[#This Row],[Salary]],Salary_Bands!$A$2:$A$5,1))</f>
        <v>Executive</v>
      </c>
    </row>
    <row r="32" spans="1:30" hidden="1" x14ac:dyDescent="0.3">
      <c r="A32" t="s">
        <v>121</v>
      </c>
      <c r="B32" t="s">
        <v>122</v>
      </c>
      <c r="C32" t="s">
        <v>22</v>
      </c>
      <c r="D32" s="12">
        <v>24</v>
      </c>
      <c r="E32" t="s">
        <v>61</v>
      </c>
      <c r="F32" t="s">
        <v>62</v>
      </c>
      <c r="G32" t="s">
        <v>47</v>
      </c>
      <c r="H32">
        <v>2</v>
      </c>
      <c r="I32" s="1">
        <v>45047</v>
      </c>
      <c r="J32" s="10">
        <v>105120</v>
      </c>
      <c r="K32" s="10">
        <v>18199</v>
      </c>
      <c r="L32">
        <v>1</v>
      </c>
      <c r="M32" t="s">
        <v>36</v>
      </c>
      <c r="N32" t="s">
        <v>76</v>
      </c>
      <c r="O32" t="s">
        <v>28</v>
      </c>
      <c r="P32" t="s">
        <v>29</v>
      </c>
      <c r="Q32">
        <v>46</v>
      </c>
      <c r="R32">
        <v>0</v>
      </c>
      <c r="S32">
        <v>8</v>
      </c>
      <c r="T32" t="s">
        <v>30</v>
      </c>
      <c r="U32" t="str">
        <f>IF(AND(Employees_Data[[#This Row],[Age]]&gt;=20,Employees_Data[[#This Row],[Age]]&lt;=30),"Young",IF(AND(Employees_Data[[#This Row],[Age]]&gt;=31,Employees_Data[[#This Row],[Age]]&lt;=40),"Mid-Age",IF(Employees_Data[[#This Row],[Age]]&gt;=41,"Senior")))</f>
        <v>Young</v>
      </c>
      <c r="V32" t="str">
        <f>IF(Employees_Data[[#This Row],[Salary]]&lt;=30000,"Low",IF(AND(Employees_Data[[#This Row],[Salary]]&gt;30000,Employees_Data[[#This Row],[Salary]]&lt;=60000),"Medium",IF(AND(Employees_Data[[#This Row],[Salary]]&gt;60000,Employees_Data[[#This Row],[Salary]]&lt;=90000),"High",IF(Employees_Data[[#This Row],[Salary]]&gt;90000,"Executive"))))</f>
        <v>Executive</v>
      </c>
      <c r="W3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2" s="14" t="str">
        <f>VLOOKUP(Employees_Data[[#This Row],[Department]],Departments!$A$2:$B$7,2,FALSE)</f>
        <v>D02</v>
      </c>
      <c r="Y32" s="14" t="str">
        <f>INDEX(Departments!$B$2:$B$7,MATCH(Employees_Data[[#This Row],[Department]],Departments!$A$2:$A$7,0))</f>
        <v>D02</v>
      </c>
      <c r="Z32" s="14" t="str">
        <f>INDEX(Salary_Bands!$C$2:$C$5,MATCH(Employees_Data[[#This Row],[Salary]],Salary_Bands!$A$2:$A$5,1))</f>
        <v>Executive</v>
      </c>
      <c r="AC32" s="21" t="s">
        <v>1107</v>
      </c>
      <c r="AD32" s="21"/>
    </row>
    <row r="33" spans="1:30" hidden="1" x14ac:dyDescent="0.3">
      <c r="A33" t="s">
        <v>123</v>
      </c>
      <c r="B33" t="s">
        <v>124</v>
      </c>
      <c r="C33" t="s">
        <v>40</v>
      </c>
      <c r="D33" s="12">
        <v>36</v>
      </c>
      <c r="E33" t="s">
        <v>56</v>
      </c>
      <c r="F33" t="s">
        <v>125</v>
      </c>
      <c r="G33" t="s">
        <v>35</v>
      </c>
      <c r="H33">
        <v>14</v>
      </c>
      <c r="I33" s="1">
        <v>45222</v>
      </c>
      <c r="J33" s="10">
        <v>85889</v>
      </c>
      <c r="K33" s="10">
        <v>17225</v>
      </c>
      <c r="L33">
        <v>1</v>
      </c>
      <c r="M33" t="s">
        <v>52</v>
      </c>
      <c r="N33" t="s">
        <v>53</v>
      </c>
      <c r="O33" t="s">
        <v>28</v>
      </c>
      <c r="P33" t="s">
        <v>28</v>
      </c>
      <c r="Q33">
        <v>53</v>
      </c>
      <c r="R33">
        <v>14</v>
      </c>
      <c r="S33">
        <v>9</v>
      </c>
      <c r="T33" t="s">
        <v>30</v>
      </c>
      <c r="U33" t="str">
        <f>IF(AND(Employees_Data[[#This Row],[Age]]&gt;=20,Employees_Data[[#This Row],[Age]]&lt;=30),"Young",IF(AND(Employees_Data[[#This Row],[Age]]&gt;=31,Employees_Data[[#This Row],[Age]]&lt;=40),"Mid-Age",IF(Employees_Data[[#This Row],[Age]]&gt;=41,"Senior")))</f>
        <v>Mid-Age</v>
      </c>
      <c r="V33" t="str">
        <f>IF(Employees_Data[[#This Row],[Salary]]&lt;=30000,"Low",IF(AND(Employees_Data[[#This Row],[Salary]]&gt;30000,Employees_Data[[#This Row],[Salary]]&lt;=60000),"Medium",IF(AND(Employees_Data[[#This Row],[Salary]]&gt;60000,Employees_Data[[#This Row],[Salary]]&lt;=90000),"High",IF(Employees_Data[[#This Row],[Salary]]&gt;90000,"Executive"))))</f>
        <v>High</v>
      </c>
      <c r="W3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3" s="14" t="str">
        <f>VLOOKUP(Employees_Data[[#This Row],[Department]],Departments!$A$2:$B$7,2,FALSE)</f>
        <v>D01</v>
      </c>
      <c r="Y33" s="14" t="str">
        <f>INDEX(Departments!$B$2:$B$7,MATCH(Employees_Data[[#This Row],[Department]],Departments!$A$2:$A$7,0))</f>
        <v>D01</v>
      </c>
      <c r="Z33" s="14" t="str">
        <f>INDEX(Salary_Bands!$C$2:$C$5,MATCH(Employees_Data[[#This Row],[Salary]],Salary_Bands!$A$2:$A$5,1))</f>
        <v>High</v>
      </c>
      <c r="AC33" s="20">
        <f>MAX(Employees_Data[Bonus])</f>
        <v>24980</v>
      </c>
      <c r="AD33" s="20"/>
    </row>
    <row r="34" spans="1:30" hidden="1" x14ac:dyDescent="0.3">
      <c r="A34" t="s">
        <v>126</v>
      </c>
      <c r="B34" t="s">
        <v>127</v>
      </c>
      <c r="C34" t="s">
        <v>40</v>
      </c>
      <c r="D34" s="12">
        <v>54</v>
      </c>
      <c r="E34" t="s">
        <v>33</v>
      </c>
      <c r="F34" t="s">
        <v>34</v>
      </c>
      <c r="G34" t="s">
        <v>25</v>
      </c>
      <c r="H34">
        <v>30</v>
      </c>
      <c r="I34" s="1">
        <v>45345</v>
      </c>
      <c r="J34" s="10">
        <v>83446</v>
      </c>
      <c r="K34" s="10">
        <v>17879</v>
      </c>
      <c r="L34">
        <v>2</v>
      </c>
      <c r="M34" t="s">
        <v>52</v>
      </c>
      <c r="N34" t="s">
        <v>76</v>
      </c>
      <c r="O34" t="s">
        <v>28</v>
      </c>
      <c r="P34" t="s">
        <v>28</v>
      </c>
      <c r="Q34">
        <v>33</v>
      </c>
      <c r="R34">
        <v>2</v>
      </c>
      <c r="S34">
        <v>8</v>
      </c>
      <c r="T34" t="s">
        <v>30</v>
      </c>
      <c r="U34" t="str">
        <f>IF(AND(Employees_Data[[#This Row],[Age]]&gt;=20,Employees_Data[[#This Row],[Age]]&lt;=30),"Young",IF(AND(Employees_Data[[#This Row],[Age]]&gt;=31,Employees_Data[[#This Row],[Age]]&lt;=40),"Mid-Age",IF(Employees_Data[[#This Row],[Age]]&gt;=41,"Senior")))</f>
        <v>Senior</v>
      </c>
      <c r="V34" t="str">
        <f>IF(Employees_Data[[#This Row],[Salary]]&lt;=30000,"Low",IF(AND(Employees_Data[[#This Row],[Salary]]&gt;30000,Employees_Data[[#This Row],[Salary]]&lt;=60000),"Medium",IF(AND(Employees_Data[[#This Row],[Salary]]&gt;60000,Employees_Data[[#This Row],[Salary]]&lt;=90000),"High",IF(Employees_Data[[#This Row],[Salary]]&gt;90000,"Executive"))))</f>
        <v>High</v>
      </c>
      <c r="W3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4" s="14" t="str">
        <f>VLOOKUP(Employees_Data[[#This Row],[Department]],Departments!$A$2:$B$7,2,FALSE)</f>
        <v>D05</v>
      </c>
      <c r="Y34" s="14" t="str">
        <f>INDEX(Departments!$B$2:$B$7,MATCH(Employees_Data[[#This Row],[Department]],Departments!$A$2:$A$7,0))</f>
        <v>D05</v>
      </c>
      <c r="Z34" s="14" t="str">
        <f>INDEX(Salary_Bands!$C$2:$C$5,MATCH(Employees_Data[[#This Row],[Salary]],Salary_Bands!$A$2:$A$5,1))</f>
        <v>High</v>
      </c>
    </row>
    <row r="35" spans="1:30" x14ac:dyDescent="0.3">
      <c r="A35" t="s">
        <v>128</v>
      </c>
      <c r="B35" t="s">
        <v>129</v>
      </c>
      <c r="C35" t="s">
        <v>22</v>
      </c>
      <c r="D35" s="12">
        <v>37</v>
      </c>
      <c r="E35" t="s">
        <v>23</v>
      </c>
      <c r="F35" t="s">
        <v>100</v>
      </c>
      <c r="G35" t="s">
        <v>35</v>
      </c>
      <c r="H35">
        <v>14</v>
      </c>
      <c r="I35" s="1">
        <v>44476</v>
      </c>
      <c r="J35" s="10">
        <v>66904</v>
      </c>
      <c r="K35" s="10">
        <v>4104</v>
      </c>
      <c r="L35">
        <v>5</v>
      </c>
      <c r="M35" t="s">
        <v>36</v>
      </c>
      <c r="N35" t="s">
        <v>58</v>
      </c>
      <c r="O35" s="5" t="s">
        <v>29</v>
      </c>
      <c r="P35" t="s">
        <v>28</v>
      </c>
      <c r="Q35">
        <v>39</v>
      </c>
      <c r="R35">
        <v>14</v>
      </c>
      <c r="S35">
        <v>2</v>
      </c>
      <c r="T35" t="s">
        <v>30</v>
      </c>
      <c r="U35" t="str">
        <f>IF(AND(Employees_Data[[#This Row],[Age]]&gt;=20,Employees_Data[[#This Row],[Age]]&lt;=30),"Young",IF(AND(Employees_Data[[#This Row],[Age]]&gt;=31,Employees_Data[[#This Row],[Age]]&lt;=40),"Mid-Age",IF(Employees_Data[[#This Row],[Age]]&gt;=41,"Senior")))</f>
        <v>Mid-Age</v>
      </c>
      <c r="V35" t="str">
        <f>IF(Employees_Data[[#This Row],[Salary]]&lt;=30000,"Low",IF(AND(Employees_Data[[#This Row],[Salary]]&gt;30000,Employees_Data[[#This Row],[Salary]]&lt;=60000),"Medium",IF(AND(Employees_Data[[#This Row],[Salary]]&gt;60000,Employees_Data[[#This Row],[Salary]]&lt;=90000),"High",IF(Employees_Data[[#This Row],[Salary]]&gt;90000,"Executive"))))</f>
        <v>High</v>
      </c>
      <c r="W3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5" s="14" t="str">
        <f>VLOOKUP(Employees_Data[[#This Row],[Department]],Departments!$A$2:$B$7,2,FALSE)</f>
        <v>D06</v>
      </c>
      <c r="Y35" s="14" t="str">
        <f>INDEX(Departments!$B$2:$B$7,MATCH(Employees_Data[[#This Row],[Department]],Departments!$A$2:$A$7,0))</f>
        <v>D06</v>
      </c>
      <c r="Z35" s="14" t="str">
        <f>INDEX(Salary_Bands!$C$2:$C$5,MATCH(Employees_Data[[#This Row],[Salary]],Salary_Bands!$A$2:$A$5,1))</f>
        <v>High</v>
      </c>
    </row>
    <row r="36" spans="1:30" hidden="1" x14ac:dyDescent="0.3">
      <c r="A36" t="s">
        <v>130</v>
      </c>
      <c r="B36" t="s">
        <v>131</v>
      </c>
      <c r="C36" t="s">
        <v>40</v>
      </c>
      <c r="D36" s="12">
        <v>35</v>
      </c>
      <c r="E36" t="s">
        <v>87</v>
      </c>
      <c r="F36" t="s">
        <v>91</v>
      </c>
      <c r="G36" t="s">
        <v>47</v>
      </c>
      <c r="H36">
        <v>11</v>
      </c>
      <c r="I36" s="1">
        <v>44696</v>
      </c>
      <c r="J36" s="10">
        <v>143598</v>
      </c>
      <c r="K36" s="10">
        <v>2193</v>
      </c>
      <c r="L36">
        <v>5</v>
      </c>
      <c r="M36" t="s">
        <v>36</v>
      </c>
      <c r="N36" t="s">
        <v>37</v>
      </c>
      <c r="O36" t="s">
        <v>28</v>
      </c>
      <c r="P36" t="s">
        <v>28</v>
      </c>
      <c r="Q36">
        <v>59</v>
      </c>
      <c r="R36">
        <v>13</v>
      </c>
      <c r="S36">
        <v>1</v>
      </c>
      <c r="T36" t="s">
        <v>30</v>
      </c>
      <c r="U36" t="str">
        <f>IF(AND(Employees_Data[[#This Row],[Age]]&gt;=20,Employees_Data[[#This Row],[Age]]&lt;=30),"Young",IF(AND(Employees_Data[[#This Row],[Age]]&gt;=31,Employees_Data[[#This Row],[Age]]&lt;=40),"Mid-Age",IF(Employees_Data[[#This Row],[Age]]&gt;=41,"Senior")))</f>
        <v>Mid-Age</v>
      </c>
      <c r="V36" t="str">
        <f>IF(Employees_Data[[#This Row],[Salary]]&lt;=30000,"Low",IF(AND(Employees_Data[[#This Row],[Salary]]&gt;30000,Employees_Data[[#This Row],[Salary]]&lt;=60000),"Medium",IF(AND(Employees_Data[[#This Row],[Salary]]&gt;60000,Employees_Data[[#This Row],[Salary]]&lt;=90000),"High",IF(Employees_Data[[#This Row],[Salary]]&gt;90000,"Executive"))))</f>
        <v>Executive</v>
      </c>
      <c r="W3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6" s="14" t="str">
        <f>VLOOKUP(Employees_Data[[#This Row],[Department]],Departments!$A$2:$B$7,2,FALSE)</f>
        <v>D04</v>
      </c>
      <c r="Y36" s="14" t="str">
        <f>INDEX(Departments!$B$2:$B$7,MATCH(Employees_Data[[#This Row],[Department]],Departments!$A$2:$A$7,0))</f>
        <v>D04</v>
      </c>
      <c r="Z36" s="14" t="str">
        <f>INDEX(Salary_Bands!$C$2:$C$5,MATCH(Employees_Data[[#This Row],[Salary]],Salary_Bands!$A$2:$A$5,1))</f>
        <v>Executive</v>
      </c>
    </row>
    <row r="37" spans="1:30" x14ac:dyDescent="0.3">
      <c r="A37" t="s">
        <v>132</v>
      </c>
      <c r="B37" t="s">
        <v>133</v>
      </c>
      <c r="C37" t="s">
        <v>40</v>
      </c>
      <c r="D37" s="12">
        <v>36</v>
      </c>
      <c r="E37" t="s">
        <v>33</v>
      </c>
      <c r="F37" t="s">
        <v>34</v>
      </c>
      <c r="G37" t="s">
        <v>35</v>
      </c>
      <c r="H37">
        <v>12</v>
      </c>
      <c r="I37" s="1">
        <v>43999</v>
      </c>
      <c r="J37" s="10">
        <v>60774</v>
      </c>
      <c r="K37" s="10">
        <v>17315</v>
      </c>
      <c r="L37">
        <v>4</v>
      </c>
      <c r="M37" t="s">
        <v>26</v>
      </c>
      <c r="N37" t="s">
        <v>53</v>
      </c>
      <c r="O37" s="5" t="s">
        <v>29</v>
      </c>
      <c r="P37" t="s">
        <v>29</v>
      </c>
      <c r="Q37">
        <v>30</v>
      </c>
      <c r="R37">
        <v>18</v>
      </c>
      <c r="S37">
        <v>8</v>
      </c>
      <c r="T37" t="s">
        <v>30</v>
      </c>
      <c r="U37" t="str">
        <f>IF(AND(Employees_Data[[#This Row],[Age]]&gt;=20,Employees_Data[[#This Row],[Age]]&lt;=30),"Young",IF(AND(Employees_Data[[#This Row],[Age]]&gt;=31,Employees_Data[[#This Row],[Age]]&lt;=40),"Mid-Age",IF(Employees_Data[[#This Row],[Age]]&gt;=41,"Senior")))</f>
        <v>Mid-Age</v>
      </c>
      <c r="V37" t="str">
        <f>IF(Employees_Data[[#This Row],[Salary]]&lt;=30000,"Low",IF(AND(Employees_Data[[#This Row],[Salary]]&gt;30000,Employees_Data[[#This Row],[Salary]]&lt;=60000),"Medium",IF(AND(Employees_Data[[#This Row],[Salary]]&gt;60000,Employees_Data[[#This Row],[Salary]]&lt;=90000),"High",IF(Employees_Data[[#This Row],[Salary]]&gt;90000,"Executive"))))</f>
        <v>High</v>
      </c>
      <c r="W3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7" s="14" t="str">
        <f>VLOOKUP(Employees_Data[[#This Row],[Department]],Departments!$A$2:$B$7,2,FALSE)</f>
        <v>D05</v>
      </c>
      <c r="Y37" s="14" t="str">
        <f>INDEX(Departments!$B$2:$B$7,MATCH(Employees_Data[[#This Row],[Department]],Departments!$A$2:$A$7,0))</f>
        <v>D05</v>
      </c>
      <c r="Z37" s="14" t="str">
        <f>INDEX(Salary_Bands!$C$2:$C$5,MATCH(Employees_Data[[#This Row],[Salary]],Salary_Bands!$A$2:$A$5,1))</f>
        <v>High</v>
      </c>
    </row>
    <row r="38" spans="1:30" x14ac:dyDescent="0.3">
      <c r="A38" t="s">
        <v>134</v>
      </c>
      <c r="B38" t="s">
        <v>135</v>
      </c>
      <c r="C38" t="s">
        <v>22</v>
      </c>
      <c r="D38" s="12">
        <v>23</v>
      </c>
      <c r="E38" t="s">
        <v>33</v>
      </c>
      <c r="F38" t="s">
        <v>34</v>
      </c>
      <c r="G38" t="s">
        <v>47</v>
      </c>
      <c r="H38">
        <v>2</v>
      </c>
      <c r="I38" s="1">
        <v>44856</v>
      </c>
      <c r="J38" s="10">
        <v>42786</v>
      </c>
      <c r="K38" s="10">
        <v>12710</v>
      </c>
      <c r="L38">
        <v>4</v>
      </c>
      <c r="M38" t="s">
        <v>36</v>
      </c>
      <c r="N38" t="s">
        <v>63</v>
      </c>
      <c r="O38" s="5" t="s">
        <v>29</v>
      </c>
      <c r="P38" t="s">
        <v>28</v>
      </c>
      <c r="Q38">
        <v>22</v>
      </c>
      <c r="R38">
        <v>13</v>
      </c>
      <c r="S38">
        <v>3</v>
      </c>
      <c r="T38" t="s">
        <v>30</v>
      </c>
      <c r="U38" t="str">
        <f>IF(AND(Employees_Data[[#This Row],[Age]]&gt;=20,Employees_Data[[#This Row],[Age]]&lt;=30),"Young",IF(AND(Employees_Data[[#This Row],[Age]]&gt;=31,Employees_Data[[#This Row],[Age]]&lt;=40),"Mid-Age",IF(Employees_Data[[#This Row],[Age]]&gt;=41,"Senior")))</f>
        <v>Young</v>
      </c>
      <c r="V38" t="str">
        <f>IF(Employees_Data[[#This Row],[Salary]]&lt;=30000,"Low",IF(AND(Employees_Data[[#This Row],[Salary]]&gt;30000,Employees_Data[[#This Row],[Salary]]&lt;=60000),"Medium",IF(AND(Employees_Data[[#This Row],[Salary]]&gt;60000,Employees_Data[[#This Row],[Salary]]&lt;=90000),"High",IF(Employees_Data[[#This Row],[Salary]]&gt;90000,"Executive"))))</f>
        <v>Medium</v>
      </c>
      <c r="W3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8" s="14" t="str">
        <f>VLOOKUP(Employees_Data[[#This Row],[Department]],Departments!$A$2:$B$7,2,FALSE)</f>
        <v>D05</v>
      </c>
      <c r="Y38" s="14" t="str">
        <f>INDEX(Departments!$B$2:$B$7,MATCH(Employees_Data[[#This Row],[Department]],Departments!$A$2:$A$7,0))</f>
        <v>D05</v>
      </c>
      <c r="Z38" s="14" t="str">
        <f>INDEX(Salary_Bands!$C$2:$C$5,MATCH(Employees_Data[[#This Row],[Salary]],Salary_Bands!$A$2:$A$5,1))</f>
        <v>Medium</v>
      </c>
    </row>
    <row r="39" spans="1:30" hidden="1" x14ac:dyDescent="0.3">
      <c r="A39" t="s">
        <v>136</v>
      </c>
      <c r="B39" t="s">
        <v>137</v>
      </c>
      <c r="C39" t="s">
        <v>22</v>
      </c>
      <c r="D39" s="12">
        <v>52</v>
      </c>
      <c r="E39" t="s">
        <v>41</v>
      </c>
      <c r="F39" t="s">
        <v>42</v>
      </c>
      <c r="G39" t="s">
        <v>80</v>
      </c>
      <c r="H39">
        <v>31</v>
      </c>
      <c r="I39" s="1">
        <v>45310</v>
      </c>
      <c r="J39" s="10">
        <v>31826</v>
      </c>
      <c r="K39" s="10">
        <v>10102</v>
      </c>
      <c r="L39">
        <v>3</v>
      </c>
      <c r="M39" t="s">
        <v>26</v>
      </c>
      <c r="N39" t="s">
        <v>63</v>
      </c>
      <c r="O39" t="s">
        <v>28</v>
      </c>
      <c r="P39" t="s">
        <v>29</v>
      </c>
      <c r="Q39">
        <v>44</v>
      </c>
      <c r="R39">
        <v>4</v>
      </c>
      <c r="S39">
        <v>4</v>
      </c>
      <c r="T39" t="s">
        <v>30</v>
      </c>
      <c r="U39" t="str">
        <f>IF(AND(Employees_Data[[#This Row],[Age]]&gt;=20,Employees_Data[[#This Row],[Age]]&lt;=30),"Young",IF(AND(Employees_Data[[#This Row],[Age]]&gt;=31,Employees_Data[[#This Row],[Age]]&lt;=40),"Mid-Age",IF(Employees_Data[[#This Row],[Age]]&gt;=41,"Senior")))</f>
        <v>Senior</v>
      </c>
      <c r="V39" t="str">
        <f>IF(Employees_Data[[#This Row],[Salary]]&lt;=30000,"Low",IF(AND(Employees_Data[[#This Row],[Salary]]&gt;30000,Employees_Data[[#This Row],[Salary]]&lt;=60000),"Medium",IF(AND(Employees_Data[[#This Row],[Salary]]&gt;60000,Employees_Data[[#This Row],[Salary]]&lt;=90000),"High",IF(Employees_Data[[#This Row],[Salary]]&gt;90000,"Executive"))))</f>
        <v>Medium</v>
      </c>
      <c r="W3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9" s="14" t="str">
        <f>VLOOKUP(Employees_Data[[#This Row],[Department]],Departments!$A$2:$B$7,2,FALSE)</f>
        <v>D03</v>
      </c>
      <c r="Y39" s="14" t="str">
        <f>INDEX(Departments!$B$2:$B$7,MATCH(Employees_Data[[#This Row],[Department]],Departments!$A$2:$A$7,0))</f>
        <v>D03</v>
      </c>
      <c r="Z39" s="14" t="str">
        <f>INDEX(Salary_Bands!$C$2:$C$5,MATCH(Employees_Data[[#This Row],[Salary]],Salary_Bands!$A$2:$A$5,1))</f>
        <v>Medium</v>
      </c>
    </row>
    <row r="40" spans="1:30" hidden="1" x14ac:dyDescent="0.3">
      <c r="A40" t="s">
        <v>138</v>
      </c>
      <c r="B40" t="s">
        <v>139</v>
      </c>
      <c r="C40" t="s">
        <v>22</v>
      </c>
      <c r="D40" s="12">
        <v>52</v>
      </c>
      <c r="E40" t="s">
        <v>61</v>
      </c>
      <c r="F40" t="s">
        <v>62</v>
      </c>
      <c r="G40" t="s">
        <v>25</v>
      </c>
      <c r="H40">
        <v>26</v>
      </c>
      <c r="I40" s="1">
        <v>43569</v>
      </c>
      <c r="J40" s="10">
        <v>98920</v>
      </c>
      <c r="K40" s="10">
        <v>21898</v>
      </c>
      <c r="L40">
        <v>2</v>
      </c>
      <c r="M40" t="s">
        <v>52</v>
      </c>
      <c r="N40" t="s">
        <v>48</v>
      </c>
      <c r="O40" t="s">
        <v>28</v>
      </c>
      <c r="P40" t="s">
        <v>29</v>
      </c>
      <c r="Q40">
        <v>54</v>
      </c>
      <c r="R40">
        <v>5</v>
      </c>
      <c r="S40">
        <v>8</v>
      </c>
      <c r="T40" t="s">
        <v>30</v>
      </c>
      <c r="U40" t="str">
        <f>IF(AND(Employees_Data[[#This Row],[Age]]&gt;=20,Employees_Data[[#This Row],[Age]]&lt;=30),"Young",IF(AND(Employees_Data[[#This Row],[Age]]&gt;=31,Employees_Data[[#This Row],[Age]]&lt;=40),"Mid-Age",IF(Employees_Data[[#This Row],[Age]]&gt;=41,"Senior")))</f>
        <v>Senior</v>
      </c>
      <c r="V40" t="str">
        <f>IF(Employees_Data[[#This Row],[Salary]]&lt;=30000,"Low",IF(AND(Employees_Data[[#This Row],[Salary]]&gt;30000,Employees_Data[[#This Row],[Salary]]&lt;=60000),"Medium",IF(AND(Employees_Data[[#This Row],[Salary]]&gt;60000,Employees_Data[[#This Row],[Salary]]&lt;=90000),"High",IF(Employees_Data[[#This Row],[Salary]]&gt;90000,"Executive"))))</f>
        <v>Executive</v>
      </c>
      <c r="W4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0" s="14" t="str">
        <f>VLOOKUP(Employees_Data[[#This Row],[Department]],Departments!$A$2:$B$7,2,FALSE)</f>
        <v>D02</v>
      </c>
      <c r="Y40" s="14" t="str">
        <f>INDEX(Departments!$B$2:$B$7,MATCH(Employees_Data[[#This Row],[Department]],Departments!$A$2:$A$7,0))</f>
        <v>D02</v>
      </c>
      <c r="Z40" s="14" t="str">
        <f>INDEX(Salary_Bands!$C$2:$C$5,MATCH(Employees_Data[[#This Row],[Salary]],Salary_Bands!$A$2:$A$5,1))</f>
        <v>Executive</v>
      </c>
    </row>
    <row r="41" spans="1:30" hidden="1" x14ac:dyDescent="0.3">
      <c r="A41" t="s">
        <v>140</v>
      </c>
      <c r="B41" t="s">
        <v>141</v>
      </c>
      <c r="C41" t="s">
        <v>22</v>
      </c>
      <c r="D41" s="12">
        <v>23</v>
      </c>
      <c r="E41" t="s">
        <v>41</v>
      </c>
      <c r="F41" t="s">
        <v>42</v>
      </c>
      <c r="G41" t="s">
        <v>80</v>
      </c>
      <c r="H41">
        <v>0</v>
      </c>
      <c r="I41" s="1">
        <v>45459</v>
      </c>
      <c r="J41" s="10">
        <v>113781</v>
      </c>
      <c r="K41" s="10">
        <v>24845</v>
      </c>
      <c r="L41">
        <v>4</v>
      </c>
      <c r="M41" t="s">
        <v>36</v>
      </c>
      <c r="N41" t="s">
        <v>63</v>
      </c>
      <c r="O41" t="s">
        <v>28</v>
      </c>
      <c r="P41" t="s">
        <v>29</v>
      </c>
      <c r="Q41">
        <v>55</v>
      </c>
      <c r="R41">
        <v>18</v>
      </c>
      <c r="S41">
        <v>7</v>
      </c>
      <c r="T41" t="s">
        <v>43</v>
      </c>
      <c r="U41" t="str">
        <f>IF(AND(Employees_Data[[#This Row],[Age]]&gt;=20,Employees_Data[[#This Row],[Age]]&lt;=30),"Young",IF(AND(Employees_Data[[#This Row],[Age]]&gt;=31,Employees_Data[[#This Row],[Age]]&lt;=40),"Mid-Age",IF(Employees_Data[[#This Row],[Age]]&gt;=41,"Senior")))</f>
        <v>Young</v>
      </c>
      <c r="V41" t="str">
        <f>IF(Employees_Data[[#This Row],[Salary]]&lt;=30000,"Low",IF(AND(Employees_Data[[#This Row],[Salary]]&gt;30000,Employees_Data[[#This Row],[Salary]]&lt;=60000),"Medium",IF(AND(Employees_Data[[#This Row],[Salary]]&gt;60000,Employees_Data[[#This Row],[Salary]]&lt;=90000),"High",IF(Employees_Data[[#This Row],[Salary]]&gt;90000,"Executive"))))</f>
        <v>Executive</v>
      </c>
      <c r="W4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1" s="14" t="str">
        <f>VLOOKUP(Employees_Data[[#This Row],[Department]],Departments!$A$2:$B$7,2,FALSE)</f>
        <v>D03</v>
      </c>
      <c r="Y41" s="14" t="str">
        <f>INDEX(Departments!$B$2:$B$7,MATCH(Employees_Data[[#This Row],[Department]],Departments!$A$2:$A$7,0))</f>
        <v>D03</v>
      </c>
      <c r="Z41" s="14" t="str">
        <f>INDEX(Salary_Bands!$C$2:$C$5,MATCH(Employees_Data[[#This Row],[Salary]],Salary_Bands!$A$2:$A$5,1))</f>
        <v>Executive</v>
      </c>
    </row>
    <row r="42" spans="1:30" x14ac:dyDescent="0.3">
      <c r="A42" t="s">
        <v>142</v>
      </c>
      <c r="B42" t="s">
        <v>143</v>
      </c>
      <c r="C42" t="s">
        <v>40</v>
      </c>
      <c r="D42" s="12">
        <v>49</v>
      </c>
      <c r="E42" t="s">
        <v>56</v>
      </c>
      <c r="F42" t="s">
        <v>125</v>
      </c>
      <c r="G42" t="s">
        <v>80</v>
      </c>
      <c r="H42">
        <v>23</v>
      </c>
      <c r="I42" s="1">
        <v>44618</v>
      </c>
      <c r="J42" s="10">
        <v>34038</v>
      </c>
      <c r="K42" s="10">
        <v>16205</v>
      </c>
      <c r="L42">
        <v>5</v>
      </c>
      <c r="M42" t="s">
        <v>36</v>
      </c>
      <c r="N42" t="s">
        <v>48</v>
      </c>
      <c r="O42" s="5" t="s">
        <v>29</v>
      </c>
      <c r="P42" t="s">
        <v>28</v>
      </c>
      <c r="Q42">
        <v>50</v>
      </c>
      <c r="R42">
        <v>4</v>
      </c>
      <c r="S42">
        <v>6</v>
      </c>
      <c r="T42" t="s">
        <v>30</v>
      </c>
      <c r="U42" t="str">
        <f>IF(AND(Employees_Data[[#This Row],[Age]]&gt;=20,Employees_Data[[#This Row],[Age]]&lt;=30),"Young",IF(AND(Employees_Data[[#This Row],[Age]]&gt;=31,Employees_Data[[#This Row],[Age]]&lt;=40),"Mid-Age",IF(Employees_Data[[#This Row],[Age]]&gt;=41,"Senior")))</f>
        <v>Senior</v>
      </c>
      <c r="V42" t="str">
        <f>IF(Employees_Data[[#This Row],[Salary]]&lt;=30000,"Low",IF(AND(Employees_Data[[#This Row],[Salary]]&gt;30000,Employees_Data[[#This Row],[Salary]]&lt;=60000),"Medium",IF(AND(Employees_Data[[#This Row],[Salary]]&gt;60000,Employees_Data[[#This Row],[Salary]]&lt;=90000),"High",IF(Employees_Data[[#This Row],[Salary]]&gt;90000,"Executive"))))</f>
        <v>Medium</v>
      </c>
      <c r="W4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2" s="14" t="str">
        <f>VLOOKUP(Employees_Data[[#This Row],[Department]],Departments!$A$2:$B$7,2,FALSE)</f>
        <v>D01</v>
      </c>
      <c r="Y42" s="14" t="str">
        <f>INDEX(Departments!$B$2:$B$7,MATCH(Employees_Data[[#This Row],[Department]],Departments!$A$2:$A$7,0))</f>
        <v>D01</v>
      </c>
      <c r="Z42" s="14" t="str">
        <f>INDEX(Salary_Bands!$C$2:$C$5,MATCH(Employees_Data[[#This Row],[Salary]],Salary_Bands!$A$2:$A$5,1))</f>
        <v>Medium</v>
      </c>
    </row>
    <row r="43" spans="1:30" hidden="1" x14ac:dyDescent="0.3">
      <c r="A43" t="s">
        <v>144</v>
      </c>
      <c r="B43" t="s">
        <v>145</v>
      </c>
      <c r="C43" t="s">
        <v>40</v>
      </c>
      <c r="D43" s="12">
        <v>55</v>
      </c>
      <c r="E43" t="s">
        <v>87</v>
      </c>
      <c r="F43" t="s">
        <v>91</v>
      </c>
      <c r="G43" t="s">
        <v>51</v>
      </c>
      <c r="H43">
        <v>29</v>
      </c>
      <c r="I43" s="1">
        <v>44207</v>
      </c>
      <c r="J43" s="10">
        <v>105728</v>
      </c>
      <c r="K43" s="10">
        <v>10044</v>
      </c>
      <c r="L43">
        <v>5</v>
      </c>
      <c r="M43" t="s">
        <v>26</v>
      </c>
      <c r="N43" t="s">
        <v>37</v>
      </c>
      <c r="O43" t="s">
        <v>28</v>
      </c>
      <c r="P43" t="s">
        <v>28</v>
      </c>
      <c r="Q43">
        <v>20</v>
      </c>
      <c r="R43">
        <v>14</v>
      </c>
      <c r="S43">
        <v>8</v>
      </c>
      <c r="T43" t="s">
        <v>30</v>
      </c>
      <c r="U43" t="str">
        <f>IF(AND(Employees_Data[[#This Row],[Age]]&gt;=20,Employees_Data[[#This Row],[Age]]&lt;=30),"Young",IF(AND(Employees_Data[[#This Row],[Age]]&gt;=31,Employees_Data[[#This Row],[Age]]&lt;=40),"Mid-Age",IF(Employees_Data[[#This Row],[Age]]&gt;=41,"Senior")))</f>
        <v>Senior</v>
      </c>
      <c r="V43" t="str">
        <f>IF(Employees_Data[[#This Row],[Salary]]&lt;=30000,"Low",IF(AND(Employees_Data[[#This Row],[Salary]]&gt;30000,Employees_Data[[#This Row],[Salary]]&lt;=60000),"Medium",IF(AND(Employees_Data[[#This Row],[Salary]]&gt;60000,Employees_Data[[#This Row],[Salary]]&lt;=90000),"High",IF(Employees_Data[[#This Row],[Salary]]&gt;90000,"Executive"))))</f>
        <v>Executive</v>
      </c>
      <c r="W4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3" s="14" t="str">
        <f>VLOOKUP(Employees_Data[[#This Row],[Department]],Departments!$A$2:$B$7,2,FALSE)</f>
        <v>D04</v>
      </c>
      <c r="Y43" s="14" t="str">
        <f>INDEX(Departments!$B$2:$B$7,MATCH(Employees_Data[[#This Row],[Department]],Departments!$A$2:$A$7,0))</f>
        <v>D04</v>
      </c>
      <c r="Z43" s="14" t="str">
        <f>INDEX(Salary_Bands!$C$2:$C$5,MATCH(Employees_Data[[#This Row],[Salary]],Salary_Bands!$A$2:$A$5,1))</f>
        <v>Executive</v>
      </c>
    </row>
    <row r="44" spans="1:30" hidden="1" x14ac:dyDescent="0.3">
      <c r="A44" t="s">
        <v>146</v>
      </c>
      <c r="B44" t="s">
        <v>147</v>
      </c>
      <c r="C44" t="s">
        <v>40</v>
      </c>
      <c r="D44" s="12">
        <v>46</v>
      </c>
      <c r="E44" t="s">
        <v>33</v>
      </c>
      <c r="F44" t="s">
        <v>34</v>
      </c>
      <c r="G44" t="s">
        <v>51</v>
      </c>
      <c r="H44">
        <v>23</v>
      </c>
      <c r="I44" s="1">
        <v>43218</v>
      </c>
      <c r="J44" s="10">
        <v>89789</v>
      </c>
      <c r="K44" s="10">
        <v>11163</v>
      </c>
      <c r="L44">
        <v>3</v>
      </c>
      <c r="M44" t="s">
        <v>52</v>
      </c>
      <c r="N44" t="s">
        <v>48</v>
      </c>
      <c r="O44" t="s">
        <v>28</v>
      </c>
      <c r="P44" t="s">
        <v>28</v>
      </c>
      <c r="Q44">
        <v>40</v>
      </c>
      <c r="R44">
        <v>0</v>
      </c>
      <c r="S44">
        <v>3</v>
      </c>
      <c r="T44" t="s">
        <v>30</v>
      </c>
      <c r="U44" t="str">
        <f>IF(AND(Employees_Data[[#This Row],[Age]]&gt;=20,Employees_Data[[#This Row],[Age]]&lt;=30),"Young",IF(AND(Employees_Data[[#This Row],[Age]]&gt;=31,Employees_Data[[#This Row],[Age]]&lt;=40),"Mid-Age",IF(Employees_Data[[#This Row],[Age]]&gt;=41,"Senior")))</f>
        <v>Senior</v>
      </c>
      <c r="V44" t="str">
        <f>IF(Employees_Data[[#This Row],[Salary]]&lt;=30000,"Low",IF(AND(Employees_Data[[#This Row],[Salary]]&gt;30000,Employees_Data[[#This Row],[Salary]]&lt;=60000),"Medium",IF(AND(Employees_Data[[#This Row],[Salary]]&gt;60000,Employees_Data[[#This Row],[Salary]]&lt;=90000),"High",IF(Employees_Data[[#This Row],[Salary]]&gt;90000,"Executive"))))</f>
        <v>High</v>
      </c>
      <c r="W4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4" s="14" t="str">
        <f>VLOOKUP(Employees_Data[[#This Row],[Department]],Departments!$A$2:$B$7,2,FALSE)</f>
        <v>D05</v>
      </c>
      <c r="Y44" s="14" t="str">
        <f>INDEX(Departments!$B$2:$B$7,MATCH(Employees_Data[[#This Row],[Department]],Departments!$A$2:$A$7,0))</f>
        <v>D05</v>
      </c>
      <c r="Z44" s="14" t="str">
        <f>INDEX(Salary_Bands!$C$2:$C$5,MATCH(Employees_Data[[#This Row],[Salary]],Salary_Bands!$A$2:$A$5,1))</f>
        <v>High</v>
      </c>
    </row>
    <row r="45" spans="1:30" hidden="1" x14ac:dyDescent="0.3">
      <c r="A45" t="s">
        <v>148</v>
      </c>
      <c r="B45" t="s">
        <v>149</v>
      </c>
      <c r="C45" t="s">
        <v>40</v>
      </c>
      <c r="D45" s="12">
        <v>27</v>
      </c>
      <c r="E45" t="s">
        <v>33</v>
      </c>
      <c r="F45" t="s">
        <v>118</v>
      </c>
      <c r="G45" t="s">
        <v>47</v>
      </c>
      <c r="H45">
        <v>5</v>
      </c>
      <c r="I45" s="1">
        <v>44765</v>
      </c>
      <c r="J45" s="10">
        <v>89038</v>
      </c>
      <c r="K45" s="10">
        <v>2565</v>
      </c>
      <c r="L45">
        <v>5</v>
      </c>
      <c r="M45" t="s">
        <v>26</v>
      </c>
      <c r="N45" t="s">
        <v>37</v>
      </c>
      <c r="O45" t="s">
        <v>28</v>
      </c>
      <c r="P45" t="s">
        <v>29</v>
      </c>
      <c r="Q45">
        <v>30</v>
      </c>
      <c r="R45">
        <v>7</v>
      </c>
      <c r="S45">
        <v>4</v>
      </c>
      <c r="T45" t="s">
        <v>30</v>
      </c>
      <c r="U45" t="str">
        <f>IF(AND(Employees_Data[[#This Row],[Age]]&gt;=20,Employees_Data[[#This Row],[Age]]&lt;=30),"Young",IF(AND(Employees_Data[[#This Row],[Age]]&gt;=31,Employees_Data[[#This Row],[Age]]&lt;=40),"Mid-Age",IF(Employees_Data[[#This Row],[Age]]&gt;=41,"Senior")))</f>
        <v>Young</v>
      </c>
      <c r="V45" t="str">
        <f>IF(Employees_Data[[#This Row],[Salary]]&lt;=30000,"Low",IF(AND(Employees_Data[[#This Row],[Salary]]&gt;30000,Employees_Data[[#This Row],[Salary]]&lt;=60000),"Medium",IF(AND(Employees_Data[[#This Row],[Salary]]&gt;60000,Employees_Data[[#This Row],[Salary]]&lt;=90000),"High",IF(Employees_Data[[#This Row],[Salary]]&gt;90000,"Executive"))))</f>
        <v>High</v>
      </c>
      <c r="W4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45" s="14" t="str">
        <f>VLOOKUP(Employees_Data[[#This Row],[Department]],Departments!$A$2:$B$7,2,FALSE)</f>
        <v>D05</v>
      </c>
      <c r="Y45" s="14" t="str">
        <f>INDEX(Departments!$B$2:$B$7,MATCH(Employees_Data[[#This Row],[Department]],Departments!$A$2:$A$7,0))</f>
        <v>D05</v>
      </c>
      <c r="Z45" s="14" t="str">
        <f>INDEX(Salary_Bands!$C$2:$C$5,MATCH(Employees_Data[[#This Row],[Salary]],Salary_Bands!$A$2:$A$5,1))</f>
        <v>High</v>
      </c>
    </row>
    <row r="46" spans="1:30" hidden="1" x14ac:dyDescent="0.3">
      <c r="A46" t="s">
        <v>150</v>
      </c>
      <c r="B46" t="s">
        <v>151</v>
      </c>
      <c r="C46" t="s">
        <v>40</v>
      </c>
      <c r="D46" s="12">
        <v>45</v>
      </c>
      <c r="E46" t="s">
        <v>41</v>
      </c>
      <c r="F46" t="s">
        <v>69</v>
      </c>
      <c r="G46" t="s">
        <v>47</v>
      </c>
      <c r="H46">
        <v>21</v>
      </c>
      <c r="I46" s="1">
        <v>45368</v>
      </c>
      <c r="J46" s="10">
        <v>94588</v>
      </c>
      <c r="K46" s="10">
        <v>10877</v>
      </c>
      <c r="L46">
        <v>3</v>
      </c>
      <c r="M46" t="s">
        <v>36</v>
      </c>
      <c r="N46" t="s">
        <v>37</v>
      </c>
      <c r="O46" t="s">
        <v>28</v>
      </c>
      <c r="P46" t="s">
        <v>29</v>
      </c>
      <c r="Q46">
        <v>12</v>
      </c>
      <c r="R46">
        <v>6</v>
      </c>
      <c r="S46">
        <v>7</v>
      </c>
      <c r="T46" t="s">
        <v>30</v>
      </c>
      <c r="U46" t="str">
        <f>IF(AND(Employees_Data[[#This Row],[Age]]&gt;=20,Employees_Data[[#This Row],[Age]]&lt;=30),"Young",IF(AND(Employees_Data[[#This Row],[Age]]&gt;=31,Employees_Data[[#This Row],[Age]]&lt;=40),"Mid-Age",IF(Employees_Data[[#This Row],[Age]]&gt;=41,"Senior")))</f>
        <v>Senior</v>
      </c>
      <c r="V46" t="str">
        <f>IF(Employees_Data[[#This Row],[Salary]]&lt;=30000,"Low",IF(AND(Employees_Data[[#This Row],[Salary]]&gt;30000,Employees_Data[[#This Row],[Salary]]&lt;=60000),"Medium",IF(AND(Employees_Data[[#This Row],[Salary]]&gt;60000,Employees_Data[[#This Row],[Salary]]&lt;=90000),"High",IF(Employees_Data[[#This Row],[Salary]]&gt;90000,"Executive"))))</f>
        <v>Executive</v>
      </c>
      <c r="W4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6" s="14" t="str">
        <f>VLOOKUP(Employees_Data[[#This Row],[Department]],Departments!$A$2:$B$7,2,FALSE)</f>
        <v>D03</v>
      </c>
      <c r="Y46" s="14" t="str">
        <f>INDEX(Departments!$B$2:$B$7,MATCH(Employees_Data[[#This Row],[Department]],Departments!$A$2:$A$7,0))</f>
        <v>D03</v>
      </c>
      <c r="Z46" s="14" t="str">
        <f>INDEX(Salary_Bands!$C$2:$C$5,MATCH(Employees_Data[[#This Row],[Salary]],Salary_Bands!$A$2:$A$5,1))</f>
        <v>Executive</v>
      </c>
    </row>
    <row r="47" spans="1:30" hidden="1" x14ac:dyDescent="0.3">
      <c r="A47" t="s">
        <v>152</v>
      </c>
      <c r="B47" t="s">
        <v>153</v>
      </c>
      <c r="C47" t="s">
        <v>40</v>
      </c>
      <c r="D47" s="12">
        <v>33</v>
      </c>
      <c r="E47" t="s">
        <v>41</v>
      </c>
      <c r="F47" t="s">
        <v>42</v>
      </c>
      <c r="G47" t="s">
        <v>80</v>
      </c>
      <c r="H47">
        <v>11</v>
      </c>
      <c r="I47" s="1">
        <v>43987</v>
      </c>
      <c r="J47" s="10">
        <v>121810</v>
      </c>
      <c r="K47" s="10">
        <v>8360</v>
      </c>
      <c r="L47">
        <v>4</v>
      </c>
      <c r="M47" t="s">
        <v>36</v>
      </c>
      <c r="N47" t="s">
        <v>76</v>
      </c>
      <c r="O47" t="s">
        <v>28</v>
      </c>
      <c r="P47" t="s">
        <v>28</v>
      </c>
      <c r="Q47">
        <v>16</v>
      </c>
      <c r="R47">
        <v>9</v>
      </c>
      <c r="S47">
        <v>5</v>
      </c>
      <c r="T47" t="s">
        <v>30</v>
      </c>
      <c r="U47" t="str">
        <f>IF(AND(Employees_Data[[#This Row],[Age]]&gt;=20,Employees_Data[[#This Row],[Age]]&lt;=30),"Young",IF(AND(Employees_Data[[#This Row],[Age]]&gt;=31,Employees_Data[[#This Row],[Age]]&lt;=40),"Mid-Age",IF(Employees_Data[[#This Row],[Age]]&gt;=41,"Senior")))</f>
        <v>Mid-Age</v>
      </c>
      <c r="V47" t="str">
        <f>IF(Employees_Data[[#This Row],[Salary]]&lt;=30000,"Low",IF(AND(Employees_Data[[#This Row],[Salary]]&gt;30000,Employees_Data[[#This Row],[Salary]]&lt;=60000),"Medium",IF(AND(Employees_Data[[#This Row],[Salary]]&gt;60000,Employees_Data[[#This Row],[Salary]]&lt;=90000),"High",IF(Employees_Data[[#This Row],[Salary]]&gt;90000,"Executive"))))</f>
        <v>Executive</v>
      </c>
      <c r="W4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7" s="14" t="str">
        <f>VLOOKUP(Employees_Data[[#This Row],[Department]],Departments!$A$2:$B$7,2,FALSE)</f>
        <v>D03</v>
      </c>
      <c r="Y47" s="14" t="str">
        <f>INDEX(Departments!$B$2:$B$7,MATCH(Employees_Data[[#This Row],[Department]],Departments!$A$2:$A$7,0))</f>
        <v>D03</v>
      </c>
      <c r="Z47" s="14" t="str">
        <f>INDEX(Salary_Bands!$C$2:$C$5,MATCH(Employees_Data[[#This Row],[Salary]],Salary_Bands!$A$2:$A$5,1))</f>
        <v>Executive</v>
      </c>
    </row>
    <row r="48" spans="1:30" hidden="1" x14ac:dyDescent="0.3">
      <c r="A48" t="s">
        <v>154</v>
      </c>
      <c r="B48" t="s">
        <v>155</v>
      </c>
      <c r="C48" t="s">
        <v>40</v>
      </c>
      <c r="D48" s="12">
        <v>30</v>
      </c>
      <c r="E48" t="s">
        <v>56</v>
      </c>
      <c r="F48" t="s">
        <v>79</v>
      </c>
      <c r="G48" t="s">
        <v>80</v>
      </c>
      <c r="H48">
        <v>7</v>
      </c>
      <c r="I48" s="1">
        <v>43287</v>
      </c>
      <c r="J48" s="10">
        <v>32146</v>
      </c>
      <c r="K48" s="10">
        <v>2401</v>
      </c>
      <c r="L48">
        <v>5</v>
      </c>
      <c r="M48" t="s">
        <v>52</v>
      </c>
      <c r="N48" t="s">
        <v>37</v>
      </c>
      <c r="O48" t="s">
        <v>28</v>
      </c>
      <c r="P48" t="s">
        <v>28</v>
      </c>
      <c r="Q48">
        <v>35</v>
      </c>
      <c r="R48">
        <v>14</v>
      </c>
      <c r="S48">
        <v>5</v>
      </c>
      <c r="T48" t="s">
        <v>43</v>
      </c>
      <c r="U48" t="str">
        <f>IF(AND(Employees_Data[[#This Row],[Age]]&gt;=20,Employees_Data[[#This Row],[Age]]&lt;=30),"Young",IF(AND(Employees_Data[[#This Row],[Age]]&gt;=31,Employees_Data[[#This Row],[Age]]&lt;=40),"Mid-Age",IF(Employees_Data[[#This Row],[Age]]&gt;=41,"Senior")))</f>
        <v>Young</v>
      </c>
      <c r="V48" t="str">
        <f>IF(Employees_Data[[#This Row],[Salary]]&lt;=30000,"Low",IF(AND(Employees_Data[[#This Row],[Salary]]&gt;30000,Employees_Data[[#This Row],[Salary]]&lt;=60000),"Medium",IF(AND(Employees_Data[[#This Row],[Salary]]&gt;60000,Employees_Data[[#This Row],[Salary]]&lt;=90000),"High",IF(Employees_Data[[#This Row],[Salary]]&gt;90000,"Executive"))))</f>
        <v>Medium</v>
      </c>
      <c r="W4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8" s="14" t="str">
        <f>VLOOKUP(Employees_Data[[#This Row],[Department]],Departments!$A$2:$B$7,2,FALSE)</f>
        <v>D01</v>
      </c>
      <c r="Y48" s="14" t="str">
        <f>INDEX(Departments!$B$2:$B$7,MATCH(Employees_Data[[#This Row],[Department]],Departments!$A$2:$A$7,0))</f>
        <v>D01</v>
      </c>
      <c r="Z48" s="14" t="str">
        <f>INDEX(Salary_Bands!$C$2:$C$5,MATCH(Employees_Data[[#This Row],[Salary]],Salary_Bands!$A$2:$A$5,1))</f>
        <v>Medium</v>
      </c>
    </row>
    <row r="49" spans="1:26" hidden="1" x14ac:dyDescent="0.3">
      <c r="A49" t="s">
        <v>156</v>
      </c>
      <c r="B49" t="s">
        <v>157</v>
      </c>
      <c r="C49" t="s">
        <v>22</v>
      </c>
      <c r="D49" s="12">
        <v>25</v>
      </c>
      <c r="E49" t="s">
        <v>41</v>
      </c>
      <c r="F49" t="s">
        <v>42</v>
      </c>
      <c r="G49" t="s">
        <v>35</v>
      </c>
      <c r="H49">
        <v>2</v>
      </c>
      <c r="I49" s="1">
        <v>45057</v>
      </c>
      <c r="J49" s="10">
        <v>39953</v>
      </c>
      <c r="K49" s="10">
        <v>6888</v>
      </c>
      <c r="L49">
        <v>1</v>
      </c>
      <c r="M49" t="s">
        <v>52</v>
      </c>
      <c r="N49" t="s">
        <v>37</v>
      </c>
      <c r="O49" t="s">
        <v>28</v>
      </c>
      <c r="P49" t="s">
        <v>29</v>
      </c>
      <c r="Q49">
        <v>20</v>
      </c>
      <c r="R49">
        <v>3</v>
      </c>
      <c r="S49">
        <v>7</v>
      </c>
      <c r="T49" t="s">
        <v>30</v>
      </c>
      <c r="U49" t="str">
        <f>IF(AND(Employees_Data[[#This Row],[Age]]&gt;=20,Employees_Data[[#This Row],[Age]]&lt;=30),"Young",IF(AND(Employees_Data[[#This Row],[Age]]&gt;=31,Employees_Data[[#This Row],[Age]]&lt;=40),"Mid-Age",IF(Employees_Data[[#This Row],[Age]]&gt;=41,"Senior")))</f>
        <v>Young</v>
      </c>
      <c r="V49" t="str">
        <f>IF(Employees_Data[[#This Row],[Salary]]&lt;=30000,"Low",IF(AND(Employees_Data[[#This Row],[Salary]]&gt;30000,Employees_Data[[#This Row],[Salary]]&lt;=60000),"Medium",IF(AND(Employees_Data[[#This Row],[Salary]]&gt;60000,Employees_Data[[#This Row],[Salary]]&lt;=90000),"High",IF(Employees_Data[[#This Row],[Salary]]&gt;90000,"Executive"))))</f>
        <v>Medium</v>
      </c>
      <c r="W4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9" s="14" t="str">
        <f>VLOOKUP(Employees_Data[[#This Row],[Department]],Departments!$A$2:$B$7,2,FALSE)</f>
        <v>D03</v>
      </c>
      <c r="Y49" s="14" t="str">
        <f>INDEX(Departments!$B$2:$B$7,MATCH(Employees_Data[[#This Row],[Department]],Departments!$A$2:$A$7,0))</f>
        <v>D03</v>
      </c>
      <c r="Z49" s="14" t="str">
        <f>INDEX(Salary_Bands!$C$2:$C$5,MATCH(Employees_Data[[#This Row],[Salary]],Salary_Bands!$A$2:$A$5,1))</f>
        <v>Medium</v>
      </c>
    </row>
    <row r="50" spans="1:26" hidden="1" x14ac:dyDescent="0.3">
      <c r="A50" t="s">
        <v>158</v>
      </c>
      <c r="B50" t="s">
        <v>159</v>
      </c>
      <c r="C50" t="s">
        <v>40</v>
      </c>
      <c r="D50" s="12">
        <v>36</v>
      </c>
      <c r="E50" t="s">
        <v>33</v>
      </c>
      <c r="F50" t="s">
        <v>46</v>
      </c>
      <c r="G50" t="s">
        <v>25</v>
      </c>
      <c r="H50">
        <v>11</v>
      </c>
      <c r="I50" s="1">
        <v>44659</v>
      </c>
      <c r="J50" s="10">
        <v>84049</v>
      </c>
      <c r="K50" s="10">
        <v>22349</v>
      </c>
      <c r="L50">
        <v>4</v>
      </c>
      <c r="M50" t="s">
        <v>26</v>
      </c>
      <c r="N50" t="s">
        <v>53</v>
      </c>
      <c r="O50" t="s">
        <v>28</v>
      </c>
      <c r="P50" t="s">
        <v>29</v>
      </c>
      <c r="Q50">
        <v>53</v>
      </c>
      <c r="R50">
        <v>6</v>
      </c>
      <c r="S50">
        <v>5</v>
      </c>
      <c r="T50" t="s">
        <v>30</v>
      </c>
      <c r="U50" t="str">
        <f>IF(AND(Employees_Data[[#This Row],[Age]]&gt;=20,Employees_Data[[#This Row],[Age]]&lt;=30),"Young",IF(AND(Employees_Data[[#This Row],[Age]]&gt;=31,Employees_Data[[#This Row],[Age]]&lt;=40),"Mid-Age",IF(Employees_Data[[#This Row],[Age]]&gt;=41,"Senior")))</f>
        <v>Mid-Age</v>
      </c>
      <c r="V50" t="str">
        <f>IF(Employees_Data[[#This Row],[Salary]]&lt;=30000,"Low",IF(AND(Employees_Data[[#This Row],[Salary]]&gt;30000,Employees_Data[[#This Row],[Salary]]&lt;=60000),"Medium",IF(AND(Employees_Data[[#This Row],[Salary]]&gt;60000,Employees_Data[[#This Row],[Salary]]&lt;=90000),"High",IF(Employees_Data[[#This Row],[Salary]]&gt;90000,"Executive"))))</f>
        <v>High</v>
      </c>
      <c r="W5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50" s="14" t="str">
        <f>VLOOKUP(Employees_Data[[#This Row],[Department]],Departments!$A$2:$B$7,2,FALSE)</f>
        <v>D05</v>
      </c>
      <c r="Y50" s="14" t="str">
        <f>INDEX(Departments!$B$2:$B$7,MATCH(Employees_Data[[#This Row],[Department]],Departments!$A$2:$A$7,0))</f>
        <v>D05</v>
      </c>
      <c r="Z50" s="14" t="str">
        <f>INDEX(Salary_Bands!$C$2:$C$5,MATCH(Employees_Data[[#This Row],[Salary]],Salary_Bands!$A$2:$A$5,1))</f>
        <v>High</v>
      </c>
    </row>
    <row r="51" spans="1:26" hidden="1" x14ac:dyDescent="0.3">
      <c r="A51" t="s">
        <v>160</v>
      </c>
      <c r="B51" t="s">
        <v>161</v>
      </c>
      <c r="C51" t="s">
        <v>40</v>
      </c>
      <c r="D51" s="12">
        <v>38</v>
      </c>
      <c r="E51" t="s">
        <v>23</v>
      </c>
      <c r="F51" t="s">
        <v>24</v>
      </c>
      <c r="G51" t="s">
        <v>47</v>
      </c>
      <c r="H51">
        <v>12</v>
      </c>
      <c r="I51" s="1">
        <v>43433</v>
      </c>
      <c r="J51" s="10">
        <v>45585</v>
      </c>
      <c r="K51" s="10">
        <v>24589</v>
      </c>
      <c r="L51">
        <v>2</v>
      </c>
      <c r="M51" t="s">
        <v>52</v>
      </c>
      <c r="N51" t="s">
        <v>58</v>
      </c>
      <c r="O51" t="s">
        <v>28</v>
      </c>
      <c r="P51" t="s">
        <v>28</v>
      </c>
      <c r="Q51">
        <v>7</v>
      </c>
      <c r="R51">
        <v>7</v>
      </c>
      <c r="S51">
        <v>3</v>
      </c>
      <c r="T51" t="s">
        <v>43</v>
      </c>
      <c r="U51" t="str">
        <f>IF(AND(Employees_Data[[#This Row],[Age]]&gt;=20,Employees_Data[[#This Row],[Age]]&lt;=30),"Young",IF(AND(Employees_Data[[#This Row],[Age]]&gt;=31,Employees_Data[[#This Row],[Age]]&lt;=40),"Mid-Age",IF(Employees_Data[[#This Row],[Age]]&gt;=41,"Senior")))</f>
        <v>Mid-Age</v>
      </c>
      <c r="V51" t="str">
        <f>IF(Employees_Data[[#This Row],[Salary]]&lt;=30000,"Low",IF(AND(Employees_Data[[#This Row],[Salary]]&gt;30000,Employees_Data[[#This Row],[Salary]]&lt;=60000),"Medium",IF(AND(Employees_Data[[#This Row],[Salary]]&gt;60000,Employees_Data[[#This Row],[Salary]]&lt;=90000),"High",IF(Employees_Data[[#This Row],[Salary]]&gt;90000,"Executive"))))</f>
        <v>Medium</v>
      </c>
      <c r="W5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51" s="14" t="str">
        <f>VLOOKUP(Employees_Data[[#This Row],[Department]],Departments!$A$2:$B$7,2,FALSE)</f>
        <v>D06</v>
      </c>
      <c r="Y51" s="14" t="str">
        <f>INDEX(Departments!$B$2:$B$7,MATCH(Employees_Data[[#This Row],[Department]],Departments!$A$2:$A$7,0))</f>
        <v>D06</v>
      </c>
      <c r="Z51" s="14" t="str">
        <f>INDEX(Salary_Bands!$C$2:$C$5,MATCH(Employees_Data[[#This Row],[Salary]],Salary_Bands!$A$2:$A$5,1))</f>
        <v>Medium</v>
      </c>
    </row>
    <row r="52" spans="1:26" hidden="1" x14ac:dyDescent="0.3">
      <c r="A52" t="s">
        <v>162</v>
      </c>
      <c r="B52" t="s">
        <v>163</v>
      </c>
      <c r="C52" t="s">
        <v>22</v>
      </c>
      <c r="D52" s="12">
        <v>40</v>
      </c>
      <c r="E52" t="s">
        <v>41</v>
      </c>
      <c r="F52" t="s">
        <v>69</v>
      </c>
      <c r="G52" t="s">
        <v>47</v>
      </c>
      <c r="H52">
        <v>14</v>
      </c>
      <c r="I52" s="1">
        <v>44960</v>
      </c>
      <c r="J52" s="10">
        <v>34329</v>
      </c>
      <c r="K52" s="10">
        <v>5760</v>
      </c>
      <c r="L52">
        <v>2</v>
      </c>
      <c r="M52" t="s">
        <v>52</v>
      </c>
      <c r="N52" t="s">
        <v>76</v>
      </c>
      <c r="O52" t="s">
        <v>28</v>
      </c>
      <c r="P52" t="s">
        <v>29</v>
      </c>
      <c r="Q52">
        <v>22</v>
      </c>
      <c r="R52">
        <v>4</v>
      </c>
      <c r="S52">
        <v>5</v>
      </c>
      <c r="T52" t="s">
        <v>30</v>
      </c>
      <c r="U52" t="str">
        <f>IF(AND(Employees_Data[[#This Row],[Age]]&gt;=20,Employees_Data[[#This Row],[Age]]&lt;=30),"Young",IF(AND(Employees_Data[[#This Row],[Age]]&gt;=31,Employees_Data[[#This Row],[Age]]&lt;=40),"Mid-Age",IF(Employees_Data[[#This Row],[Age]]&gt;=41,"Senior")))</f>
        <v>Mid-Age</v>
      </c>
      <c r="V52" t="str">
        <f>IF(Employees_Data[[#This Row],[Salary]]&lt;=30000,"Low",IF(AND(Employees_Data[[#This Row],[Salary]]&gt;30000,Employees_Data[[#This Row],[Salary]]&lt;=60000),"Medium",IF(AND(Employees_Data[[#This Row],[Salary]]&gt;60000,Employees_Data[[#This Row],[Salary]]&lt;=90000),"High",IF(Employees_Data[[#This Row],[Salary]]&gt;90000,"Executive"))))</f>
        <v>Medium</v>
      </c>
      <c r="W5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52" s="14" t="str">
        <f>VLOOKUP(Employees_Data[[#This Row],[Department]],Departments!$A$2:$B$7,2,FALSE)</f>
        <v>D03</v>
      </c>
      <c r="Y52" s="14" t="str">
        <f>INDEX(Departments!$B$2:$B$7,MATCH(Employees_Data[[#This Row],[Department]],Departments!$A$2:$A$7,0))</f>
        <v>D03</v>
      </c>
      <c r="Z52" s="14" t="str">
        <f>INDEX(Salary_Bands!$C$2:$C$5,MATCH(Employees_Data[[#This Row],[Salary]],Salary_Bands!$A$2:$A$5,1))</f>
        <v>Medium</v>
      </c>
    </row>
    <row r="53" spans="1:26" hidden="1" x14ac:dyDescent="0.3">
      <c r="A53" t="s">
        <v>164</v>
      </c>
      <c r="B53" t="s">
        <v>165</v>
      </c>
      <c r="C53" t="s">
        <v>40</v>
      </c>
      <c r="D53" s="12">
        <v>32</v>
      </c>
      <c r="E53" t="s">
        <v>56</v>
      </c>
      <c r="F53" t="s">
        <v>57</v>
      </c>
      <c r="G53" t="s">
        <v>47</v>
      </c>
      <c r="H53">
        <v>9</v>
      </c>
      <c r="I53" s="1">
        <v>45538</v>
      </c>
      <c r="J53" s="10">
        <v>123167</v>
      </c>
      <c r="K53" s="10">
        <v>10920</v>
      </c>
      <c r="L53">
        <v>5</v>
      </c>
      <c r="M53" t="s">
        <v>52</v>
      </c>
      <c r="N53" t="s">
        <v>53</v>
      </c>
      <c r="O53" t="s">
        <v>28</v>
      </c>
      <c r="P53" t="s">
        <v>28</v>
      </c>
      <c r="Q53">
        <v>33</v>
      </c>
      <c r="R53">
        <v>2</v>
      </c>
      <c r="S53">
        <v>5</v>
      </c>
      <c r="T53" t="s">
        <v>30</v>
      </c>
      <c r="U53" t="str">
        <f>IF(AND(Employees_Data[[#This Row],[Age]]&gt;=20,Employees_Data[[#This Row],[Age]]&lt;=30),"Young",IF(AND(Employees_Data[[#This Row],[Age]]&gt;=31,Employees_Data[[#This Row],[Age]]&lt;=40),"Mid-Age",IF(Employees_Data[[#This Row],[Age]]&gt;=41,"Senior")))</f>
        <v>Mid-Age</v>
      </c>
      <c r="V53" t="str">
        <f>IF(Employees_Data[[#This Row],[Salary]]&lt;=30000,"Low",IF(AND(Employees_Data[[#This Row],[Salary]]&gt;30000,Employees_Data[[#This Row],[Salary]]&lt;=60000),"Medium",IF(AND(Employees_Data[[#This Row],[Salary]]&gt;60000,Employees_Data[[#This Row],[Salary]]&lt;=90000),"High",IF(Employees_Data[[#This Row],[Salary]]&gt;90000,"Executive"))))</f>
        <v>Executive</v>
      </c>
      <c r="W5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53" s="14" t="str">
        <f>VLOOKUP(Employees_Data[[#This Row],[Department]],Departments!$A$2:$B$7,2,FALSE)</f>
        <v>D01</v>
      </c>
      <c r="Y53" s="14" t="str">
        <f>INDEX(Departments!$B$2:$B$7,MATCH(Employees_Data[[#This Row],[Department]],Departments!$A$2:$A$7,0))</f>
        <v>D01</v>
      </c>
      <c r="Z53" s="14" t="str">
        <f>INDEX(Salary_Bands!$C$2:$C$5,MATCH(Employees_Data[[#This Row],[Salary]],Salary_Bands!$A$2:$A$5,1))</f>
        <v>Executive</v>
      </c>
    </row>
    <row r="54" spans="1:26" x14ac:dyDescent="0.3">
      <c r="A54" t="s">
        <v>166</v>
      </c>
      <c r="B54" t="s">
        <v>167</v>
      </c>
      <c r="C54" t="s">
        <v>22</v>
      </c>
      <c r="D54" s="12">
        <v>49</v>
      </c>
      <c r="E54" t="s">
        <v>33</v>
      </c>
      <c r="F54" t="s">
        <v>118</v>
      </c>
      <c r="G54" t="s">
        <v>51</v>
      </c>
      <c r="H54">
        <v>23</v>
      </c>
      <c r="I54" s="1">
        <v>44421</v>
      </c>
      <c r="J54" s="10">
        <v>104129</v>
      </c>
      <c r="K54" s="10">
        <v>20882</v>
      </c>
      <c r="L54">
        <v>3</v>
      </c>
      <c r="M54" t="s">
        <v>26</v>
      </c>
      <c r="N54" t="s">
        <v>63</v>
      </c>
      <c r="O54" s="5" t="s">
        <v>29</v>
      </c>
      <c r="P54" t="s">
        <v>29</v>
      </c>
      <c r="Q54">
        <v>35</v>
      </c>
      <c r="R54">
        <v>16</v>
      </c>
      <c r="S54">
        <v>1</v>
      </c>
      <c r="T54" t="s">
        <v>30</v>
      </c>
      <c r="U54" t="str">
        <f>IF(AND(Employees_Data[[#This Row],[Age]]&gt;=20,Employees_Data[[#This Row],[Age]]&lt;=30),"Young",IF(AND(Employees_Data[[#This Row],[Age]]&gt;=31,Employees_Data[[#This Row],[Age]]&lt;=40),"Mid-Age",IF(Employees_Data[[#This Row],[Age]]&gt;=41,"Senior")))</f>
        <v>Senior</v>
      </c>
      <c r="V54" t="str">
        <f>IF(Employees_Data[[#This Row],[Salary]]&lt;=30000,"Low",IF(AND(Employees_Data[[#This Row],[Salary]]&gt;30000,Employees_Data[[#This Row],[Salary]]&lt;=60000),"Medium",IF(AND(Employees_Data[[#This Row],[Salary]]&gt;60000,Employees_Data[[#This Row],[Salary]]&lt;=90000),"High",IF(Employees_Data[[#This Row],[Salary]]&gt;90000,"Executive"))))</f>
        <v>Executive</v>
      </c>
      <c r="W5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54" s="14" t="str">
        <f>VLOOKUP(Employees_Data[[#This Row],[Department]],Departments!$A$2:$B$7,2,FALSE)</f>
        <v>D05</v>
      </c>
      <c r="Y54" s="14" t="str">
        <f>INDEX(Departments!$B$2:$B$7,MATCH(Employees_Data[[#This Row],[Department]],Departments!$A$2:$A$7,0))</f>
        <v>D05</v>
      </c>
      <c r="Z54" s="14" t="str">
        <f>INDEX(Salary_Bands!$C$2:$C$5,MATCH(Employees_Data[[#This Row],[Salary]],Salary_Bands!$A$2:$A$5,1))</f>
        <v>Executive</v>
      </c>
    </row>
    <row r="55" spans="1:26" hidden="1" x14ac:dyDescent="0.3">
      <c r="A55" t="s">
        <v>168</v>
      </c>
      <c r="B55" t="s">
        <v>169</v>
      </c>
      <c r="C55" t="s">
        <v>40</v>
      </c>
      <c r="D55" s="12">
        <v>39</v>
      </c>
      <c r="E55" t="s">
        <v>23</v>
      </c>
      <c r="F55" t="s">
        <v>100</v>
      </c>
      <c r="G55" t="s">
        <v>80</v>
      </c>
      <c r="H55">
        <v>17</v>
      </c>
      <c r="I55" s="1">
        <v>45498</v>
      </c>
      <c r="J55" s="10">
        <v>82132</v>
      </c>
      <c r="K55" s="10">
        <v>7269</v>
      </c>
      <c r="L55">
        <v>4</v>
      </c>
      <c r="M55" t="s">
        <v>36</v>
      </c>
      <c r="N55" t="s">
        <v>58</v>
      </c>
      <c r="O55" t="s">
        <v>28</v>
      </c>
      <c r="P55" t="s">
        <v>28</v>
      </c>
      <c r="Q55">
        <v>23</v>
      </c>
      <c r="R55">
        <v>12</v>
      </c>
      <c r="S55">
        <v>2</v>
      </c>
      <c r="T55" t="s">
        <v>30</v>
      </c>
      <c r="U55" t="str">
        <f>IF(AND(Employees_Data[[#This Row],[Age]]&gt;=20,Employees_Data[[#This Row],[Age]]&lt;=30),"Young",IF(AND(Employees_Data[[#This Row],[Age]]&gt;=31,Employees_Data[[#This Row],[Age]]&lt;=40),"Mid-Age",IF(Employees_Data[[#This Row],[Age]]&gt;=41,"Senior")))</f>
        <v>Mid-Age</v>
      </c>
      <c r="V55" t="str">
        <f>IF(Employees_Data[[#This Row],[Salary]]&lt;=30000,"Low",IF(AND(Employees_Data[[#This Row],[Salary]]&gt;30000,Employees_Data[[#This Row],[Salary]]&lt;=60000),"Medium",IF(AND(Employees_Data[[#This Row],[Salary]]&gt;60000,Employees_Data[[#This Row],[Salary]]&lt;=90000),"High",IF(Employees_Data[[#This Row],[Salary]]&gt;90000,"Executive"))))</f>
        <v>High</v>
      </c>
      <c r="W5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55" s="14" t="str">
        <f>VLOOKUP(Employees_Data[[#This Row],[Department]],Departments!$A$2:$B$7,2,FALSE)</f>
        <v>D06</v>
      </c>
      <c r="Y55" s="14" t="str">
        <f>INDEX(Departments!$B$2:$B$7,MATCH(Employees_Data[[#This Row],[Department]],Departments!$A$2:$A$7,0))</f>
        <v>D06</v>
      </c>
      <c r="Z55" s="14" t="str">
        <f>INDEX(Salary_Bands!$C$2:$C$5,MATCH(Employees_Data[[#This Row],[Salary]],Salary_Bands!$A$2:$A$5,1))</f>
        <v>High</v>
      </c>
    </row>
    <row r="56" spans="1:26" hidden="1" x14ac:dyDescent="0.3">
      <c r="A56" t="s">
        <v>170</v>
      </c>
      <c r="B56" t="s">
        <v>171</v>
      </c>
      <c r="C56" t="s">
        <v>22</v>
      </c>
      <c r="D56" s="12">
        <v>51</v>
      </c>
      <c r="E56" t="s">
        <v>33</v>
      </c>
      <c r="F56" t="s">
        <v>118</v>
      </c>
      <c r="G56" t="s">
        <v>25</v>
      </c>
      <c r="H56">
        <v>30</v>
      </c>
      <c r="I56" s="1">
        <v>44389</v>
      </c>
      <c r="J56" s="10">
        <v>58082</v>
      </c>
      <c r="K56" s="10">
        <v>17138</v>
      </c>
      <c r="L56">
        <v>3</v>
      </c>
      <c r="M56" t="s">
        <v>36</v>
      </c>
      <c r="N56" t="s">
        <v>27</v>
      </c>
      <c r="O56" t="s">
        <v>28</v>
      </c>
      <c r="P56" t="s">
        <v>29</v>
      </c>
      <c r="Q56">
        <v>38</v>
      </c>
      <c r="R56">
        <v>11</v>
      </c>
      <c r="S56">
        <v>2</v>
      </c>
      <c r="T56" t="s">
        <v>30</v>
      </c>
      <c r="U56" t="str">
        <f>IF(AND(Employees_Data[[#This Row],[Age]]&gt;=20,Employees_Data[[#This Row],[Age]]&lt;=30),"Young",IF(AND(Employees_Data[[#This Row],[Age]]&gt;=31,Employees_Data[[#This Row],[Age]]&lt;=40),"Mid-Age",IF(Employees_Data[[#This Row],[Age]]&gt;=41,"Senior")))</f>
        <v>Senior</v>
      </c>
      <c r="V56" t="str">
        <f>IF(Employees_Data[[#This Row],[Salary]]&lt;=30000,"Low",IF(AND(Employees_Data[[#This Row],[Salary]]&gt;30000,Employees_Data[[#This Row],[Salary]]&lt;=60000),"Medium",IF(AND(Employees_Data[[#This Row],[Salary]]&gt;60000,Employees_Data[[#This Row],[Salary]]&lt;=90000),"High",IF(Employees_Data[[#This Row],[Salary]]&gt;90000,"Executive"))))</f>
        <v>Medium</v>
      </c>
      <c r="W5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56" s="14" t="str">
        <f>VLOOKUP(Employees_Data[[#This Row],[Department]],Departments!$A$2:$B$7,2,FALSE)</f>
        <v>D05</v>
      </c>
      <c r="Y56" s="14" t="str">
        <f>INDEX(Departments!$B$2:$B$7,MATCH(Employees_Data[[#This Row],[Department]],Departments!$A$2:$A$7,0))</f>
        <v>D05</v>
      </c>
      <c r="Z56" s="14" t="str">
        <f>INDEX(Salary_Bands!$C$2:$C$5,MATCH(Employees_Data[[#This Row],[Salary]],Salary_Bands!$A$2:$A$5,1))</f>
        <v>Medium</v>
      </c>
    </row>
    <row r="57" spans="1:26" hidden="1" x14ac:dyDescent="0.3">
      <c r="A57" t="s">
        <v>172</v>
      </c>
      <c r="B57" t="s">
        <v>173</v>
      </c>
      <c r="C57" t="s">
        <v>40</v>
      </c>
      <c r="D57" s="12">
        <v>50</v>
      </c>
      <c r="E57" t="s">
        <v>33</v>
      </c>
      <c r="F57" t="s">
        <v>46</v>
      </c>
      <c r="G57" t="s">
        <v>80</v>
      </c>
      <c r="H57">
        <v>29</v>
      </c>
      <c r="I57" s="1">
        <v>43934</v>
      </c>
      <c r="J57" s="10">
        <v>60003</v>
      </c>
      <c r="K57" s="10">
        <v>2945</v>
      </c>
      <c r="L57">
        <v>5</v>
      </c>
      <c r="M57" t="s">
        <v>52</v>
      </c>
      <c r="N57" t="s">
        <v>53</v>
      </c>
      <c r="O57" t="s">
        <v>28</v>
      </c>
      <c r="P57" t="s">
        <v>29</v>
      </c>
      <c r="Q57">
        <v>50</v>
      </c>
      <c r="R57">
        <v>5</v>
      </c>
      <c r="S57">
        <v>3</v>
      </c>
      <c r="T57" t="s">
        <v>30</v>
      </c>
      <c r="U57" t="str">
        <f>IF(AND(Employees_Data[[#This Row],[Age]]&gt;=20,Employees_Data[[#This Row],[Age]]&lt;=30),"Young",IF(AND(Employees_Data[[#This Row],[Age]]&gt;=31,Employees_Data[[#This Row],[Age]]&lt;=40),"Mid-Age",IF(Employees_Data[[#This Row],[Age]]&gt;=41,"Senior")))</f>
        <v>Senior</v>
      </c>
      <c r="V57" t="str">
        <f>IF(Employees_Data[[#This Row],[Salary]]&lt;=30000,"Low",IF(AND(Employees_Data[[#This Row],[Salary]]&gt;30000,Employees_Data[[#This Row],[Salary]]&lt;=60000),"Medium",IF(AND(Employees_Data[[#This Row],[Salary]]&gt;60000,Employees_Data[[#This Row],[Salary]]&lt;=90000),"High",IF(Employees_Data[[#This Row],[Salary]]&gt;90000,"Executive"))))</f>
        <v>High</v>
      </c>
      <c r="W5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57" s="14" t="str">
        <f>VLOOKUP(Employees_Data[[#This Row],[Department]],Departments!$A$2:$B$7,2,FALSE)</f>
        <v>D05</v>
      </c>
      <c r="Y57" s="14" t="str">
        <f>INDEX(Departments!$B$2:$B$7,MATCH(Employees_Data[[#This Row],[Department]],Departments!$A$2:$A$7,0))</f>
        <v>D05</v>
      </c>
      <c r="Z57" s="14" t="str">
        <f>INDEX(Salary_Bands!$C$2:$C$5,MATCH(Employees_Data[[#This Row],[Salary]],Salary_Bands!$A$2:$A$5,1))</f>
        <v>High</v>
      </c>
    </row>
    <row r="58" spans="1:26" hidden="1" x14ac:dyDescent="0.3">
      <c r="A58" t="s">
        <v>174</v>
      </c>
      <c r="B58" t="s">
        <v>175</v>
      </c>
      <c r="C58" t="s">
        <v>22</v>
      </c>
      <c r="D58" s="12">
        <v>22</v>
      </c>
      <c r="E58" t="s">
        <v>41</v>
      </c>
      <c r="F58" t="s">
        <v>69</v>
      </c>
      <c r="G58" t="s">
        <v>47</v>
      </c>
      <c r="H58">
        <v>0</v>
      </c>
      <c r="I58" s="1">
        <v>44772</v>
      </c>
      <c r="J58" s="10">
        <v>37217</v>
      </c>
      <c r="K58" s="10">
        <v>11563</v>
      </c>
      <c r="L58">
        <v>2</v>
      </c>
      <c r="M58" t="s">
        <v>52</v>
      </c>
      <c r="N58" t="s">
        <v>48</v>
      </c>
      <c r="O58" t="s">
        <v>28</v>
      </c>
      <c r="P58" t="s">
        <v>28</v>
      </c>
      <c r="Q58">
        <v>31</v>
      </c>
      <c r="R58">
        <v>15</v>
      </c>
      <c r="S58">
        <v>2</v>
      </c>
      <c r="T58" t="s">
        <v>43</v>
      </c>
      <c r="U58" t="str">
        <f>IF(AND(Employees_Data[[#This Row],[Age]]&gt;=20,Employees_Data[[#This Row],[Age]]&lt;=30),"Young",IF(AND(Employees_Data[[#This Row],[Age]]&gt;=31,Employees_Data[[#This Row],[Age]]&lt;=40),"Mid-Age",IF(Employees_Data[[#This Row],[Age]]&gt;=41,"Senior")))</f>
        <v>Young</v>
      </c>
      <c r="V58" t="str">
        <f>IF(Employees_Data[[#This Row],[Salary]]&lt;=30000,"Low",IF(AND(Employees_Data[[#This Row],[Salary]]&gt;30000,Employees_Data[[#This Row],[Salary]]&lt;=60000),"Medium",IF(AND(Employees_Data[[#This Row],[Salary]]&gt;60000,Employees_Data[[#This Row],[Salary]]&lt;=90000),"High",IF(Employees_Data[[#This Row],[Salary]]&gt;90000,"Executive"))))</f>
        <v>Medium</v>
      </c>
      <c r="W5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58" s="14" t="str">
        <f>VLOOKUP(Employees_Data[[#This Row],[Department]],Departments!$A$2:$B$7,2,FALSE)</f>
        <v>D03</v>
      </c>
      <c r="Y58" s="14" t="str">
        <f>INDEX(Departments!$B$2:$B$7,MATCH(Employees_Data[[#This Row],[Department]],Departments!$A$2:$A$7,0))</f>
        <v>D03</v>
      </c>
      <c r="Z58" s="14" t="str">
        <f>INDEX(Salary_Bands!$C$2:$C$5,MATCH(Employees_Data[[#This Row],[Salary]],Salary_Bands!$A$2:$A$5,1))</f>
        <v>Medium</v>
      </c>
    </row>
    <row r="59" spans="1:26" hidden="1" x14ac:dyDescent="0.3">
      <c r="A59" t="s">
        <v>176</v>
      </c>
      <c r="B59" t="s">
        <v>177</v>
      </c>
      <c r="C59" t="s">
        <v>22</v>
      </c>
      <c r="D59" s="12">
        <v>51</v>
      </c>
      <c r="E59" t="s">
        <v>87</v>
      </c>
      <c r="F59" t="s">
        <v>91</v>
      </c>
      <c r="G59" t="s">
        <v>51</v>
      </c>
      <c r="H59">
        <v>26</v>
      </c>
      <c r="I59" s="1">
        <v>43693</v>
      </c>
      <c r="J59" s="10">
        <v>75277</v>
      </c>
      <c r="K59" s="10">
        <v>15596</v>
      </c>
      <c r="L59">
        <v>2</v>
      </c>
      <c r="M59" t="s">
        <v>36</v>
      </c>
      <c r="N59" t="s">
        <v>63</v>
      </c>
      <c r="O59" t="s">
        <v>28</v>
      </c>
      <c r="P59" t="s">
        <v>28</v>
      </c>
      <c r="Q59">
        <v>57</v>
      </c>
      <c r="R59">
        <v>0</v>
      </c>
      <c r="S59">
        <v>10</v>
      </c>
      <c r="T59" t="s">
        <v>30</v>
      </c>
      <c r="U59" t="str">
        <f>IF(AND(Employees_Data[[#This Row],[Age]]&gt;=20,Employees_Data[[#This Row],[Age]]&lt;=30),"Young",IF(AND(Employees_Data[[#This Row],[Age]]&gt;=31,Employees_Data[[#This Row],[Age]]&lt;=40),"Mid-Age",IF(Employees_Data[[#This Row],[Age]]&gt;=41,"Senior")))</f>
        <v>Senior</v>
      </c>
      <c r="V59" t="str">
        <f>IF(Employees_Data[[#This Row],[Salary]]&lt;=30000,"Low",IF(AND(Employees_Data[[#This Row],[Salary]]&gt;30000,Employees_Data[[#This Row],[Salary]]&lt;=60000),"Medium",IF(AND(Employees_Data[[#This Row],[Salary]]&gt;60000,Employees_Data[[#This Row],[Salary]]&lt;=90000),"High",IF(Employees_Data[[#This Row],[Salary]]&gt;90000,"Executive"))))</f>
        <v>High</v>
      </c>
      <c r="W5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59" s="14" t="str">
        <f>VLOOKUP(Employees_Data[[#This Row],[Department]],Departments!$A$2:$B$7,2,FALSE)</f>
        <v>D04</v>
      </c>
      <c r="Y59" s="14" t="str">
        <f>INDEX(Departments!$B$2:$B$7,MATCH(Employees_Data[[#This Row],[Department]],Departments!$A$2:$A$7,0))</f>
        <v>D04</v>
      </c>
      <c r="Z59" s="14" t="str">
        <f>INDEX(Salary_Bands!$C$2:$C$5,MATCH(Employees_Data[[#This Row],[Salary]],Salary_Bands!$A$2:$A$5,1))</f>
        <v>High</v>
      </c>
    </row>
    <row r="60" spans="1:26" hidden="1" x14ac:dyDescent="0.3">
      <c r="A60" t="s">
        <v>178</v>
      </c>
      <c r="B60" t="s">
        <v>179</v>
      </c>
      <c r="C60" t="s">
        <v>40</v>
      </c>
      <c r="D60" s="12">
        <v>41</v>
      </c>
      <c r="E60" t="s">
        <v>41</v>
      </c>
      <c r="F60" t="s">
        <v>69</v>
      </c>
      <c r="G60" t="s">
        <v>25</v>
      </c>
      <c r="H60">
        <v>16</v>
      </c>
      <c r="I60" s="1">
        <v>45476</v>
      </c>
      <c r="J60" s="10">
        <v>111499</v>
      </c>
      <c r="K60" s="10">
        <v>19807</v>
      </c>
      <c r="L60">
        <v>4</v>
      </c>
      <c r="M60" t="s">
        <v>36</v>
      </c>
      <c r="N60" t="s">
        <v>58</v>
      </c>
      <c r="O60" t="s">
        <v>28</v>
      </c>
      <c r="P60" t="s">
        <v>28</v>
      </c>
      <c r="Q60">
        <v>60</v>
      </c>
      <c r="R60">
        <v>6</v>
      </c>
      <c r="S60">
        <v>3</v>
      </c>
      <c r="T60" t="s">
        <v>30</v>
      </c>
      <c r="U60" t="str">
        <f>IF(AND(Employees_Data[[#This Row],[Age]]&gt;=20,Employees_Data[[#This Row],[Age]]&lt;=30),"Young",IF(AND(Employees_Data[[#This Row],[Age]]&gt;=31,Employees_Data[[#This Row],[Age]]&lt;=40),"Mid-Age",IF(Employees_Data[[#This Row],[Age]]&gt;=41,"Senior")))</f>
        <v>Senior</v>
      </c>
      <c r="V60" t="str">
        <f>IF(Employees_Data[[#This Row],[Salary]]&lt;=30000,"Low",IF(AND(Employees_Data[[#This Row],[Salary]]&gt;30000,Employees_Data[[#This Row],[Salary]]&lt;=60000),"Medium",IF(AND(Employees_Data[[#This Row],[Salary]]&gt;60000,Employees_Data[[#This Row],[Salary]]&lt;=90000),"High",IF(Employees_Data[[#This Row],[Salary]]&gt;90000,"Executive"))))</f>
        <v>Executive</v>
      </c>
      <c r="W6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60" s="14" t="str">
        <f>VLOOKUP(Employees_Data[[#This Row],[Department]],Departments!$A$2:$B$7,2,FALSE)</f>
        <v>D03</v>
      </c>
      <c r="Y60" s="14" t="str">
        <f>INDEX(Departments!$B$2:$B$7,MATCH(Employees_Data[[#This Row],[Department]],Departments!$A$2:$A$7,0))</f>
        <v>D03</v>
      </c>
      <c r="Z60" s="14" t="str">
        <f>INDEX(Salary_Bands!$C$2:$C$5,MATCH(Employees_Data[[#This Row],[Salary]],Salary_Bands!$A$2:$A$5,1))</f>
        <v>Executive</v>
      </c>
    </row>
    <row r="61" spans="1:26" hidden="1" x14ac:dyDescent="0.3">
      <c r="A61" t="s">
        <v>180</v>
      </c>
      <c r="B61" t="s">
        <v>181</v>
      </c>
      <c r="C61" t="s">
        <v>40</v>
      </c>
      <c r="D61" s="12">
        <v>46</v>
      </c>
      <c r="E61" t="s">
        <v>23</v>
      </c>
      <c r="F61" t="s">
        <v>24</v>
      </c>
      <c r="G61" t="s">
        <v>35</v>
      </c>
      <c r="H61">
        <v>24</v>
      </c>
      <c r="I61" s="1">
        <v>44783</v>
      </c>
      <c r="J61" s="10">
        <v>30720</v>
      </c>
      <c r="K61" s="10">
        <v>18230</v>
      </c>
      <c r="L61">
        <v>3</v>
      </c>
      <c r="M61" t="s">
        <v>26</v>
      </c>
      <c r="N61" t="s">
        <v>76</v>
      </c>
      <c r="O61" t="s">
        <v>28</v>
      </c>
      <c r="P61" t="s">
        <v>28</v>
      </c>
      <c r="Q61">
        <v>60</v>
      </c>
      <c r="R61">
        <v>3</v>
      </c>
      <c r="S61">
        <v>8</v>
      </c>
      <c r="T61" t="s">
        <v>30</v>
      </c>
      <c r="U61" t="str">
        <f>IF(AND(Employees_Data[[#This Row],[Age]]&gt;=20,Employees_Data[[#This Row],[Age]]&lt;=30),"Young",IF(AND(Employees_Data[[#This Row],[Age]]&gt;=31,Employees_Data[[#This Row],[Age]]&lt;=40),"Mid-Age",IF(Employees_Data[[#This Row],[Age]]&gt;=41,"Senior")))</f>
        <v>Senior</v>
      </c>
      <c r="V61" t="str">
        <f>IF(Employees_Data[[#This Row],[Salary]]&lt;=30000,"Low",IF(AND(Employees_Data[[#This Row],[Salary]]&gt;30000,Employees_Data[[#This Row],[Salary]]&lt;=60000),"Medium",IF(AND(Employees_Data[[#This Row],[Salary]]&gt;60000,Employees_Data[[#This Row],[Salary]]&lt;=90000),"High",IF(Employees_Data[[#This Row],[Salary]]&gt;90000,"Executive"))))</f>
        <v>Medium</v>
      </c>
      <c r="W6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61" s="14" t="str">
        <f>VLOOKUP(Employees_Data[[#This Row],[Department]],Departments!$A$2:$B$7,2,FALSE)</f>
        <v>D06</v>
      </c>
      <c r="Y61" s="14" t="str">
        <f>INDEX(Departments!$B$2:$B$7,MATCH(Employees_Data[[#This Row],[Department]],Departments!$A$2:$A$7,0))</f>
        <v>D06</v>
      </c>
      <c r="Z61" s="14" t="str">
        <f>INDEX(Salary_Bands!$C$2:$C$5,MATCH(Employees_Data[[#This Row],[Salary]],Salary_Bands!$A$2:$A$5,1))</f>
        <v>Medium</v>
      </c>
    </row>
    <row r="62" spans="1:26" hidden="1" x14ac:dyDescent="0.3">
      <c r="A62" t="s">
        <v>182</v>
      </c>
      <c r="B62" t="s">
        <v>183</v>
      </c>
      <c r="C62" t="s">
        <v>22</v>
      </c>
      <c r="D62" s="12">
        <v>55</v>
      </c>
      <c r="E62" t="s">
        <v>87</v>
      </c>
      <c r="F62" t="s">
        <v>91</v>
      </c>
      <c r="G62" t="s">
        <v>47</v>
      </c>
      <c r="H62">
        <v>31</v>
      </c>
      <c r="I62" s="1">
        <v>43163</v>
      </c>
      <c r="J62" s="10">
        <v>119692</v>
      </c>
      <c r="K62" s="10">
        <v>10684</v>
      </c>
      <c r="L62">
        <v>2</v>
      </c>
      <c r="M62" t="s">
        <v>36</v>
      </c>
      <c r="N62" t="s">
        <v>53</v>
      </c>
      <c r="O62" t="s">
        <v>28</v>
      </c>
      <c r="P62" t="s">
        <v>28</v>
      </c>
      <c r="Q62">
        <v>46</v>
      </c>
      <c r="R62">
        <v>2</v>
      </c>
      <c r="S62">
        <v>7</v>
      </c>
      <c r="T62" t="s">
        <v>30</v>
      </c>
      <c r="U62" t="str">
        <f>IF(AND(Employees_Data[[#This Row],[Age]]&gt;=20,Employees_Data[[#This Row],[Age]]&lt;=30),"Young",IF(AND(Employees_Data[[#This Row],[Age]]&gt;=31,Employees_Data[[#This Row],[Age]]&lt;=40),"Mid-Age",IF(Employees_Data[[#This Row],[Age]]&gt;=41,"Senior")))</f>
        <v>Senior</v>
      </c>
      <c r="V62" t="str">
        <f>IF(Employees_Data[[#This Row],[Salary]]&lt;=30000,"Low",IF(AND(Employees_Data[[#This Row],[Salary]]&gt;30000,Employees_Data[[#This Row],[Salary]]&lt;=60000),"Medium",IF(AND(Employees_Data[[#This Row],[Salary]]&gt;60000,Employees_Data[[#This Row],[Salary]]&lt;=90000),"High",IF(Employees_Data[[#This Row],[Salary]]&gt;90000,"Executive"))))</f>
        <v>Executive</v>
      </c>
      <c r="W6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62" s="14" t="str">
        <f>VLOOKUP(Employees_Data[[#This Row],[Department]],Departments!$A$2:$B$7,2,FALSE)</f>
        <v>D04</v>
      </c>
      <c r="Y62" s="14" t="str">
        <f>INDEX(Departments!$B$2:$B$7,MATCH(Employees_Data[[#This Row],[Department]],Departments!$A$2:$A$7,0))</f>
        <v>D04</v>
      </c>
      <c r="Z62" s="14" t="str">
        <f>INDEX(Salary_Bands!$C$2:$C$5,MATCH(Employees_Data[[#This Row],[Salary]],Salary_Bands!$A$2:$A$5,1))</f>
        <v>Executive</v>
      </c>
    </row>
    <row r="63" spans="1:26" hidden="1" x14ac:dyDescent="0.3">
      <c r="A63" t="s">
        <v>184</v>
      </c>
      <c r="B63" t="s">
        <v>185</v>
      </c>
      <c r="C63" t="s">
        <v>40</v>
      </c>
      <c r="D63" s="12">
        <v>46</v>
      </c>
      <c r="E63" t="s">
        <v>41</v>
      </c>
      <c r="F63" t="s">
        <v>69</v>
      </c>
      <c r="G63" t="s">
        <v>35</v>
      </c>
      <c r="H63">
        <v>23</v>
      </c>
      <c r="I63" s="1">
        <v>45099</v>
      </c>
      <c r="J63" s="10">
        <v>139344</v>
      </c>
      <c r="K63" s="10">
        <v>4961</v>
      </c>
      <c r="L63">
        <v>5</v>
      </c>
      <c r="M63" t="s">
        <v>36</v>
      </c>
      <c r="N63" t="s">
        <v>27</v>
      </c>
      <c r="O63" t="s">
        <v>28</v>
      </c>
      <c r="P63" t="s">
        <v>29</v>
      </c>
      <c r="Q63">
        <v>33</v>
      </c>
      <c r="R63">
        <v>5</v>
      </c>
      <c r="S63">
        <v>1</v>
      </c>
      <c r="T63" t="s">
        <v>30</v>
      </c>
      <c r="U63" t="str">
        <f>IF(AND(Employees_Data[[#This Row],[Age]]&gt;=20,Employees_Data[[#This Row],[Age]]&lt;=30),"Young",IF(AND(Employees_Data[[#This Row],[Age]]&gt;=31,Employees_Data[[#This Row],[Age]]&lt;=40),"Mid-Age",IF(Employees_Data[[#This Row],[Age]]&gt;=41,"Senior")))</f>
        <v>Senior</v>
      </c>
      <c r="V63" t="str">
        <f>IF(Employees_Data[[#This Row],[Salary]]&lt;=30000,"Low",IF(AND(Employees_Data[[#This Row],[Salary]]&gt;30000,Employees_Data[[#This Row],[Salary]]&lt;=60000),"Medium",IF(AND(Employees_Data[[#This Row],[Salary]]&gt;60000,Employees_Data[[#This Row],[Salary]]&lt;=90000),"High",IF(Employees_Data[[#This Row],[Salary]]&gt;90000,"Executive"))))</f>
        <v>Executive</v>
      </c>
      <c r="W6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63" s="14" t="str">
        <f>VLOOKUP(Employees_Data[[#This Row],[Department]],Departments!$A$2:$B$7,2,FALSE)</f>
        <v>D03</v>
      </c>
      <c r="Y63" s="14" t="str">
        <f>INDEX(Departments!$B$2:$B$7,MATCH(Employees_Data[[#This Row],[Department]],Departments!$A$2:$A$7,0))</f>
        <v>D03</v>
      </c>
      <c r="Z63" s="14" t="str">
        <f>INDEX(Salary_Bands!$C$2:$C$5,MATCH(Employees_Data[[#This Row],[Salary]],Salary_Bands!$A$2:$A$5,1))</f>
        <v>Executive</v>
      </c>
    </row>
    <row r="64" spans="1:26" hidden="1" x14ac:dyDescent="0.3">
      <c r="A64" t="s">
        <v>186</v>
      </c>
      <c r="B64" t="s">
        <v>187</v>
      </c>
      <c r="C64" t="s">
        <v>22</v>
      </c>
      <c r="D64" s="12">
        <v>23</v>
      </c>
      <c r="E64" t="s">
        <v>23</v>
      </c>
      <c r="F64" t="s">
        <v>100</v>
      </c>
      <c r="G64" t="s">
        <v>25</v>
      </c>
      <c r="H64">
        <v>2</v>
      </c>
      <c r="I64" s="1">
        <v>44429</v>
      </c>
      <c r="J64" s="10">
        <v>129352</v>
      </c>
      <c r="K64" s="10">
        <v>15502</v>
      </c>
      <c r="L64">
        <v>1</v>
      </c>
      <c r="M64" t="s">
        <v>52</v>
      </c>
      <c r="N64" t="s">
        <v>48</v>
      </c>
      <c r="O64" t="s">
        <v>28</v>
      </c>
      <c r="P64" t="s">
        <v>29</v>
      </c>
      <c r="Q64">
        <v>15</v>
      </c>
      <c r="R64">
        <v>5</v>
      </c>
      <c r="S64">
        <v>5</v>
      </c>
      <c r="T64" t="s">
        <v>30</v>
      </c>
      <c r="U64" t="str">
        <f>IF(AND(Employees_Data[[#This Row],[Age]]&gt;=20,Employees_Data[[#This Row],[Age]]&lt;=30),"Young",IF(AND(Employees_Data[[#This Row],[Age]]&gt;=31,Employees_Data[[#This Row],[Age]]&lt;=40),"Mid-Age",IF(Employees_Data[[#This Row],[Age]]&gt;=41,"Senior")))</f>
        <v>Young</v>
      </c>
      <c r="V64" t="str">
        <f>IF(Employees_Data[[#This Row],[Salary]]&lt;=30000,"Low",IF(AND(Employees_Data[[#This Row],[Salary]]&gt;30000,Employees_Data[[#This Row],[Salary]]&lt;=60000),"Medium",IF(AND(Employees_Data[[#This Row],[Salary]]&gt;60000,Employees_Data[[#This Row],[Salary]]&lt;=90000),"High",IF(Employees_Data[[#This Row],[Salary]]&gt;90000,"Executive"))))</f>
        <v>Executive</v>
      </c>
      <c r="W6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64" s="14" t="str">
        <f>VLOOKUP(Employees_Data[[#This Row],[Department]],Departments!$A$2:$B$7,2,FALSE)</f>
        <v>D06</v>
      </c>
      <c r="Y64" s="14" t="str">
        <f>INDEX(Departments!$B$2:$B$7,MATCH(Employees_Data[[#This Row],[Department]],Departments!$A$2:$A$7,0))</f>
        <v>D06</v>
      </c>
      <c r="Z64" s="14" t="str">
        <f>INDEX(Salary_Bands!$C$2:$C$5,MATCH(Employees_Data[[#This Row],[Salary]],Salary_Bands!$A$2:$A$5,1))</f>
        <v>Executive</v>
      </c>
    </row>
    <row r="65" spans="1:26" hidden="1" x14ac:dyDescent="0.3">
      <c r="A65" t="s">
        <v>188</v>
      </c>
      <c r="B65" t="s">
        <v>189</v>
      </c>
      <c r="C65" t="s">
        <v>40</v>
      </c>
      <c r="D65" s="12">
        <v>46</v>
      </c>
      <c r="E65" t="s">
        <v>56</v>
      </c>
      <c r="F65" t="s">
        <v>79</v>
      </c>
      <c r="G65" t="s">
        <v>51</v>
      </c>
      <c r="H65">
        <v>21</v>
      </c>
      <c r="I65" s="1">
        <v>44087</v>
      </c>
      <c r="J65" s="10">
        <v>90230</v>
      </c>
      <c r="K65" s="10">
        <v>23851</v>
      </c>
      <c r="L65">
        <v>5</v>
      </c>
      <c r="M65" t="s">
        <v>26</v>
      </c>
      <c r="N65" t="s">
        <v>63</v>
      </c>
      <c r="O65" t="s">
        <v>28</v>
      </c>
      <c r="P65" t="s">
        <v>28</v>
      </c>
      <c r="Q65">
        <v>23</v>
      </c>
      <c r="R65">
        <v>17</v>
      </c>
      <c r="S65">
        <v>3</v>
      </c>
      <c r="T65" t="s">
        <v>30</v>
      </c>
      <c r="U65" t="str">
        <f>IF(AND(Employees_Data[[#This Row],[Age]]&gt;=20,Employees_Data[[#This Row],[Age]]&lt;=30),"Young",IF(AND(Employees_Data[[#This Row],[Age]]&gt;=31,Employees_Data[[#This Row],[Age]]&lt;=40),"Mid-Age",IF(Employees_Data[[#This Row],[Age]]&gt;=41,"Senior")))</f>
        <v>Senior</v>
      </c>
      <c r="V65" t="str">
        <f>IF(Employees_Data[[#This Row],[Salary]]&lt;=30000,"Low",IF(AND(Employees_Data[[#This Row],[Salary]]&gt;30000,Employees_Data[[#This Row],[Salary]]&lt;=60000),"Medium",IF(AND(Employees_Data[[#This Row],[Salary]]&gt;60000,Employees_Data[[#This Row],[Salary]]&lt;=90000),"High",IF(Employees_Data[[#This Row],[Salary]]&gt;90000,"Executive"))))</f>
        <v>Executive</v>
      </c>
      <c r="W6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65" s="14" t="str">
        <f>VLOOKUP(Employees_Data[[#This Row],[Department]],Departments!$A$2:$B$7,2,FALSE)</f>
        <v>D01</v>
      </c>
      <c r="Y65" s="14" t="str">
        <f>INDEX(Departments!$B$2:$B$7,MATCH(Employees_Data[[#This Row],[Department]],Departments!$A$2:$A$7,0))</f>
        <v>D01</v>
      </c>
      <c r="Z65" s="14" t="str">
        <f>INDEX(Salary_Bands!$C$2:$C$5,MATCH(Employees_Data[[#This Row],[Salary]],Salary_Bands!$A$2:$A$5,1))</f>
        <v>Executive</v>
      </c>
    </row>
    <row r="66" spans="1:26" hidden="1" x14ac:dyDescent="0.3">
      <c r="A66" t="s">
        <v>190</v>
      </c>
      <c r="B66" t="s">
        <v>191</v>
      </c>
      <c r="C66" t="s">
        <v>40</v>
      </c>
      <c r="D66" s="12">
        <v>50</v>
      </c>
      <c r="E66" t="s">
        <v>61</v>
      </c>
      <c r="F66" t="s">
        <v>62</v>
      </c>
      <c r="G66" t="s">
        <v>47</v>
      </c>
      <c r="H66">
        <v>27</v>
      </c>
      <c r="I66" s="1">
        <v>45507</v>
      </c>
      <c r="J66" s="10">
        <v>64210</v>
      </c>
      <c r="K66" s="10">
        <v>5494</v>
      </c>
      <c r="L66">
        <v>4</v>
      </c>
      <c r="M66" t="s">
        <v>26</v>
      </c>
      <c r="N66" t="s">
        <v>58</v>
      </c>
      <c r="O66" t="s">
        <v>28</v>
      </c>
      <c r="P66" t="s">
        <v>28</v>
      </c>
      <c r="Q66">
        <v>41</v>
      </c>
      <c r="R66">
        <v>9</v>
      </c>
      <c r="S66">
        <v>5</v>
      </c>
      <c r="T66" t="s">
        <v>30</v>
      </c>
      <c r="U66" t="str">
        <f>IF(AND(Employees_Data[[#This Row],[Age]]&gt;=20,Employees_Data[[#This Row],[Age]]&lt;=30),"Young",IF(AND(Employees_Data[[#This Row],[Age]]&gt;=31,Employees_Data[[#This Row],[Age]]&lt;=40),"Mid-Age",IF(Employees_Data[[#This Row],[Age]]&gt;=41,"Senior")))</f>
        <v>Senior</v>
      </c>
      <c r="V66" t="str">
        <f>IF(Employees_Data[[#This Row],[Salary]]&lt;=30000,"Low",IF(AND(Employees_Data[[#This Row],[Salary]]&gt;30000,Employees_Data[[#This Row],[Salary]]&lt;=60000),"Medium",IF(AND(Employees_Data[[#This Row],[Salary]]&gt;60000,Employees_Data[[#This Row],[Salary]]&lt;=90000),"High",IF(Employees_Data[[#This Row],[Salary]]&gt;90000,"Executive"))))</f>
        <v>High</v>
      </c>
      <c r="W6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66" s="14" t="str">
        <f>VLOOKUP(Employees_Data[[#This Row],[Department]],Departments!$A$2:$B$7,2,FALSE)</f>
        <v>D02</v>
      </c>
      <c r="Y66" s="14" t="str">
        <f>INDEX(Departments!$B$2:$B$7,MATCH(Employees_Data[[#This Row],[Department]],Departments!$A$2:$A$7,0))</f>
        <v>D02</v>
      </c>
      <c r="Z66" s="14" t="str">
        <f>INDEX(Salary_Bands!$C$2:$C$5,MATCH(Employees_Data[[#This Row],[Salary]],Salary_Bands!$A$2:$A$5,1))</f>
        <v>High</v>
      </c>
    </row>
    <row r="67" spans="1:26" hidden="1" x14ac:dyDescent="0.3">
      <c r="A67" t="s">
        <v>192</v>
      </c>
      <c r="B67" t="s">
        <v>193</v>
      </c>
      <c r="C67" t="s">
        <v>22</v>
      </c>
      <c r="D67" s="12">
        <v>23</v>
      </c>
      <c r="E67" t="s">
        <v>23</v>
      </c>
      <c r="F67" t="s">
        <v>100</v>
      </c>
      <c r="G67" t="s">
        <v>25</v>
      </c>
      <c r="H67">
        <v>0</v>
      </c>
      <c r="I67" s="1">
        <v>44722</v>
      </c>
      <c r="J67" s="10">
        <v>60976</v>
      </c>
      <c r="K67" s="10">
        <v>18276</v>
      </c>
      <c r="L67">
        <v>1</v>
      </c>
      <c r="M67" t="s">
        <v>36</v>
      </c>
      <c r="N67" t="s">
        <v>63</v>
      </c>
      <c r="O67" t="s">
        <v>28</v>
      </c>
      <c r="P67" t="s">
        <v>29</v>
      </c>
      <c r="Q67">
        <v>43</v>
      </c>
      <c r="R67">
        <v>11</v>
      </c>
      <c r="S67">
        <v>10</v>
      </c>
      <c r="T67" t="s">
        <v>30</v>
      </c>
      <c r="U67" t="str">
        <f>IF(AND(Employees_Data[[#This Row],[Age]]&gt;=20,Employees_Data[[#This Row],[Age]]&lt;=30),"Young",IF(AND(Employees_Data[[#This Row],[Age]]&gt;=31,Employees_Data[[#This Row],[Age]]&lt;=40),"Mid-Age",IF(Employees_Data[[#This Row],[Age]]&gt;=41,"Senior")))</f>
        <v>Young</v>
      </c>
      <c r="V67" t="str">
        <f>IF(Employees_Data[[#This Row],[Salary]]&lt;=30000,"Low",IF(AND(Employees_Data[[#This Row],[Salary]]&gt;30000,Employees_Data[[#This Row],[Salary]]&lt;=60000),"Medium",IF(AND(Employees_Data[[#This Row],[Salary]]&gt;60000,Employees_Data[[#This Row],[Salary]]&lt;=90000),"High",IF(Employees_Data[[#This Row],[Salary]]&gt;90000,"Executive"))))</f>
        <v>High</v>
      </c>
      <c r="W6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67" s="14" t="str">
        <f>VLOOKUP(Employees_Data[[#This Row],[Department]],Departments!$A$2:$B$7,2,FALSE)</f>
        <v>D06</v>
      </c>
      <c r="Y67" s="14" t="str">
        <f>INDEX(Departments!$B$2:$B$7,MATCH(Employees_Data[[#This Row],[Department]],Departments!$A$2:$A$7,0))</f>
        <v>D06</v>
      </c>
      <c r="Z67" s="14" t="str">
        <f>INDEX(Salary_Bands!$C$2:$C$5,MATCH(Employees_Data[[#This Row],[Salary]],Salary_Bands!$A$2:$A$5,1))</f>
        <v>High</v>
      </c>
    </row>
    <row r="68" spans="1:26" hidden="1" x14ac:dyDescent="0.3">
      <c r="A68" t="s">
        <v>194</v>
      </c>
      <c r="B68" t="s">
        <v>195</v>
      </c>
      <c r="C68" t="s">
        <v>40</v>
      </c>
      <c r="D68" s="12">
        <v>34</v>
      </c>
      <c r="E68" t="s">
        <v>61</v>
      </c>
      <c r="F68" t="s">
        <v>66</v>
      </c>
      <c r="G68" t="s">
        <v>47</v>
      </c>
      <c r="H68">
        <v>9</v>
      </c>
      <c r="I68" s="1">
        <v>44127</v>
      </c>
      <c r="J68" s="10">
        <v>113835</v>
      </c>
      <c r="K68" s="10">
        <v>3093</v>
      </c>
      <c r="L68">
        <v>2</v>
      </c>
      <c r="M68" t="s">
        <v>52</v>
      </c>
      <c r="N68" t="s">
        <v>37</v>
      </c>
      <c r="O68" t="s">
        <v>28</v>
      </c>
      <c r="P68" t="s">
        <v>29</v>
      </c>
      <c r="Q68">
        <v>10</v>
      </c>
      <c r="R68">
        <v>9</v>
      </c>
      <c r="S68">
        <v>2</v>
      </c>
      <c r="T68" t="s">
        <v>30</v>
      </c>
      <c r="U68" t="str">
        <f>IF(AND(Employees_Data[[#This Row],[Age]]&gt;=20,Employees_Data[[#This Row],[Age]]&lt;=30),"Young",IF(AND(Employees_Data[[#This Row],[Age]]&gt;=31,Employees_Data[[#This Row],[Age]]&lt;=40),"Mid-Age",IF(Employees_Data[[#This Row],[Age]]&gt;=41,"Senior")))</f>
        <v>Mid-Age</v>
      </c>
      <c r="V68" t="str">
        <f>IF(Employees_Data[[#This Row],[Salary]]&lt;=30000,"Low",IF(AND(Employees_Data[[#This Row],[Salary]]&gt;30000,Employees_Data[[#This Row],[Salary]]&lt;=60000),"Medium",IF(AND(Employees_Data[[#This Row],[Salary]]&gt;60000,Employees_Data[[#This Row],[Salary]]&lt;=90000),"High",IF(Employees_Data[[#This Row],[Salary]]&gt;90000,"Executive"))))</f>
        <v>Executive</v>
      </c>
      <c r="W6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68" s="14" t="str">
        <f>VLOOKUP(Employees_Data[[#This Row],[Department]],Departments!$A$2:$B$7,2,FALSE)</f>
        <v>D02</v>
      </c>
      <c r="Y68" s="14" t="str">
        <f>INDEX(Departments!$B$2:$B$7,MATCH(Employees_Data[[#This Row],[Department]],Departments!$A$2:$A$7,0))</f>
        <v>D02</v>
      </c>
      <c r="Z68" s="14" t="str">
        <f>INDEX(Salary_Bands!$C$2:$C$5,MATCH(Employees_Data[[#This Row],[Salary]],Salary_Bands!$A$2:$A$5,1))</f>
        <v>Executive</v>
      </c>
    </row>
    <row r="69" spans="1:26" hidden="1" x14ac:dyDescent="0.3">
      <c r="A69" t="s">
        <v>196</v>
      </c>
      <c r="B69" t="s">
        <v>197</v>
      </c>
      <c r="C69" t="s">
        <v>22</v>
      </c>
      <c r="D69" s="12">
        <v>48</v>
      </c>
      <c r="E69" t="s">
        <v>41</v>
      </c>
      <c r="F69" t="s">
        <v>69</v>
      </c>
      <c r="G69" t="s">
        <v>51</v>
      </c>
      <c r="H69">
        <v>26</v>
      </c>
      <c r="I69" s="1">
        <v>43923</v>
      </c>
      <c r="J69" s="10">
        <v>42322</v>
      </c>
      <c r="K69" s="10">
        <v>17789</v>
      </c>
      <c r="L69">
        <v>5</v>
      </c>
      <c r="M69" t="s">
        <v>36</v>
      </c>
      <c r="N69" t="s">
        <v>48</v>
      </c>
      <c r="O69" t="s">
        <v>28</v>
      </c>
      <c r="P69" t="s">
        <v>28</v>
      </c>
      <c r="Q69">
        <v>56</v>
      </c>
      <c r="R69">
        <v>3</v>
      </c>
      <c r="S69">
        <v>6</v>
      </c>
      <c r="T69" t="s">
        <v>30</v>
      </c>
      <c r="U69" t="str">
        <f>IF(AND(Employees_Data[[#This Row],[Age]]&gt;=20,Employees_Data[[#This Row],[Age]]&lt;=30),"Young",IF(AND(Employees_Data[[#This Row],[Age]]&gt;=31,Employees_Data[[#This Row],[Age]]&lt;=40),"Mid-Age",IF(Employees_Data[[#This Row],[Age]]&gt;=41,"Senior")))</f>
        <v>Senior</v>
      </c>
      <c r="V69" t="str">
        <f>IF(Employees_Data[[#This Row],[Salary]]&lt;=30000,"Low",IF(AND(Employees_Data[[#This Row],[Salary]]&gt;30000,Employees_Data[[#This Row],[Salary]]&lt;=60000),"Medium",IF(AND(Employees_Data[[#This Row],[Salary]]&gt;60000,Employees_Data[[#This Row],[Salary]]&lt;=90000),"High",IF(Employees_Data[[#This Row],[Salary]]&gt;90000,"Executive"))))</f>
        <v>Medium</v>
      </c>
      <c r="W6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69" s="14" t="str">
        <f>VLOOKUP(Employees_Data[[#This Row],[Department]],Departments!$A$2:$B$7,2,FALSE)</f>
        <v>D03</v>
      </c>
      <c r="Y69" s="14" t="str">
        <f>INDEX(Departments!$B$2:$B$7,MATCH(Employees_Data[[#This Row],[Department]],Departments!$A$2:$A$7,0))</f>
        <v>D03</v>
      </c>
      <c r="Z69" s="14" t="str">
        <f>INDEX(Salary_Bands!$C$2:$C$5,MATCH(Employees_Data[[#This Row],[Salary]],Salary_Bands!$A$2:$A$5,1))</f>
        <v>Medium</v>
      </c>
    </row>
    <row r="70" spans="1:26" x14ac:dyDescent="0.3">
      <c r="A70" t="s">
        <v>198</v>
      </c>
      <c r="B70" t="s">
        <v>199</v>
      </c>
      <c r="C70" t="s">
        <v>40</v>
      </c>
      <c r="D70" s="12">
        <v>31</v>
      </c>
      <c r="E70" t="s">
        <v>87</v>
      </c>
      <c r="F70" t="s">
        <v>91</v>
      </c>
      <c r="G70" t="s">
        <v>25</v>
      </c>
      <c r="H70">
        <v>9</v>
      </c>
      <c r="I70" s="1">
        <v>44728</v>
      </c>
      <c r="J70" s="10">
        <v>135853</v>
      </c>
      <c r="K70" s="10">
        <v>6049</v>
      </c>
      <c r="L70">
        <v>5</v>
      </c>
      <c r="M70" t="s">
        <v>36</v>
      </c>
      <c r="N70" t="s">
        <v>37</v>
      </c>
      <c r="O70" s="5" t="s">
        <v>29</v>
      </c>
      <c r="P70" t="s">
        <v>28</v>
      </c>
      <c r="Q70">
        <v>42</v>
      </c>
      <c r="R70">
        <v>12</v>
      </c>
      <c r="S70">
        <v>6</v>
      </c>
      <c r="T70" t="s">
        <v>30</v>
      </c>
      <c r="U70" t="str">
        <f>IF(AND(Employees_Data[[#This Row],[Age]]&gt;=20,Employees_Data[[#This Row],[Age]]&lt;=30),"Young",IF(AND(Employees_Data[[#This Row],[Age]]&gt;=31,Employees_Data[[#This Row],[Age]]&lt;=40),"Mid-Age",IF(Employees_Data[[#This Row],[Age]]&gt;=41,"Senior")))</f>
        <v>Mid-Age</v>
      </c>
      <c r="V70" t="str">
        <f>IF(Employees_Data[[#This Row],[Salary]]&lt;=30000,"Low",IF(AND(Employees_Data[[#This Row],[Salary]]&gt;30000,Employees_Data[[#This Row],[Salary]]&lt;=60000),"Medium",IF(AND(Employees_Data[[#This Row],[Salary]]&gt;60000,Employees_Data[[#This Row],[Salary]]&lt;=90000),"High",IF(Employees_Data[[#This Row],[Salary]]&gt;90000,"Executive"))))</f>
        <v>Executive</v>
      </c>
      <c r="W7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70" s="14" t="str">
        <f>VLOOKUP(Employees_Data[[#This Row],[Department]],Departments!$A$2:$B$7,2,FALSE)</f>
        <v>D04</v>
      </c>
      <c r="Y70" s="14" t="str">
        <f>INDEX(Departments!$B$2:$B$7,MATCH(Employees_Data[[#This Row],[Department]],Departments!$A$2:$A$7,0))</f>
        <v>D04</v>
      </c>
      <c r="Z70" s="14" t="str">
        <f>INDEX(Salary_Bands!$C$2:$C$5,MATCH(Employees_Data[[#This Row],[Salary]],Salary_Bands!$A$2:$A$5,1))</f>
        <v>Executive</v>
      </c>
    </row>
    <row r="71" spans="1:26" hidden="1" x14ac:dyDescent="0.3">
      <c r="A71" t="s">
        <v>200</v>
      </c>
      <c r="B71" t="s">
        <v>201</v>
      </c>
      <c r="C71" t="s">
        <v>22</v>
      </c>
      <c r="D71" s="12">
        <v>28</v>
      </c>
      <c r="E71" t="s">
        <v>23</v>
      </c>
      <c r="F71" t="s">
        <v>100</v>
      </c>
      <c r="G71" t="s">
        <v>80</v>
      </c>
      <c r="H71">
        <v>2</v>
      </c>
      <c r="I71" s="1">
        <v>44058</v>
      </c>
      <c r="J71" s="10">
        <v>86797</v>
      </c>
      <c r="K71" s="10">
        <v>22820</v>
      </c>
      <c r="L71">
        <v>1</v>
      </c>
      <c r="M71" t="s">
        <v>36</v>
      </c>
      <c r="N71" t="s">
        <v>48</v>
      </c>
      <c r="O71" t="s">
        <v>28</v>
      </c>
      <c r="P71" t="s">
        <v>28</v>
      </c>
      <c r="Q71">
        <v>46</v>
      </c>
      <c r="R71">
        <v>13</v>
      </c>
      <c r="S71">
        <v>10</v>
      </c>
      <c r="T71" t="s">
        <v>30</v>
      </c>
      <c r="U71" t="str">
        <f>IF(AND(Employees_Data[[#This Row],[Age]]&gt;=20,Employees_Data[[#This Row],[Age]]&lt;=30),"Young",IF(AND(Employees_Data[[#This Row],[Age]]&gt;=31,Employees_Data[[#This Row],[Age]]&lt;=40),"Mid-Age",IF(Employees_Data[[#This Row],[Age]]&gt;=41,"Senior")))</f>
        <v>Young</v>
      </c>
      <c r="V71" t="str">
        <f>IF(Employees_Data[[#This Row],[Salary]]&lt;=30000,"Low",IF(AND(Employees_Data[[#This Row],[Salary]]&gt;30000,Employees_Data[[#This Row],[Salary]]&lt;=60000),"Medium",IF(AND(Employees_Data[[#This Row],[Salary]]&gt;60000,Employees_Data[[#This Row],[Salary]]&lt;=90000),"High",IF(Employees_Data[[#This Row],[Salary]]&gt;90000,"Executive"))))</f>
        <v>High</v>
      </c>
      <c r="W7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71" s="14" t="str">
        <f>VLOOKUP(Employees_Data[[#This Row],[Department]],Departments!$A$2:$B$7,2,FALSE)</f>
        <v>D06</v>
      </c>
      <c r="Y71" s="14" t="str">
        <f>INDEX(Departments!$B$2:$B$7,MATCH(Employees_Data[[#This Row],[Department]],Departments!$A$2:$A$7,0))</f>
        <v>D06</v>
      </c>
      <c r="Z71" s="14" t="str">
        <f>INDEX(Salary_Bands!$C$2:$C$5,MATCH(Employees_Data[[#This Row],[Salary]],Salary_Bands!$A$2:$A$5,1))</f>
        <v>High</v>
      </c>
    </row>
    <row r="72" spans="1:26" hidden="1" x14ac:dyDescent="0.3">
      <c r="A72" t="s">
        <v>202</v>
      </c>
      <c r="B72" t="s">
        <v>203</v>
      </c>
      <c r="C72" t="s">
        <v>40</v>
      </c>
      <c r="D72" s="12">
        <v>24</v>
      </c>
      <c r="E72" t="s">
        <v>56</v>
      </c>
      <c r="F72" t="s">
        <v>57</v>
      </c>
      <c r="G72" t="s">
        <v>47</v>
      </c>
      <c r="H72">
        <v>3</v>
      </c>
      <c r="I72" s="1">
        <v>44347</v>
      </c>
      <c r="J72" s="10">
        <v>89569</v>
      </c>
      <c r="K72" s="10">
        <v>14157</v>
      </c>
      <c r="L72">
        <v>1</v>
      </c>
      <c r="M72" t="s">
        <v>52</v>
      </c>
      <c r="N72" t="s">
        <v>48</v>
      </c>
      <c r="O72" t="s">
        <v>28</v>
      </c>
      <c r="P72" t="s">
        <v>28</v>
      </c>
      <c r="Q72">
        <v>42</v>
      </c>
      <c r="R72">
        <v>4</v>
      </c>
      <c r="S72">
        <v>2</v>
      </c>
      <c r="T72" t="s">
        <v>30</v>
      </c>
      <c r="U72" t="str">
        <f>IF(AND(Employees_Data[[#This Row],[Age]]&gt;=20,Employees_Data[[#This Row],[Age]]&lt;=30),"Young",IF(AND(Employees_Data[[#This Row],[Age]]&gt;=31,Employees_Data[[#This Row],[Age]]&lt;=40),"Mid-Age",IF(Employees_Data[[#This Row],[Age]]&gt;=41,"Senior")))</f>
        <v>Young</v>
      </c>
      <c r="V72" t="str">
        <f>IF(Employees_Data[[#This Row],[Salary]]&lt;=30000,"Low",IF(AND(Employees_Data[[#This Row],[Salary]]&gt;30000,Employees_Data[[#This Row],[Salary]]&lt;=60000),"Medium",IF(AND(Employees_Data[[#This Row],[Salary]]&gt;60000,Employees_Data[[#This Row],[Salary]]&lt;=90000),"High",IF(Employees_Data[[#This Row],[Salary]]&gt;90000,"Executive"))))</f>
        <v>High</v>
      </c>
      <c r="W7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72" s="14" t="str">
        <f>VLOOKUP(Employees_Data[[#This Row],[Department]],Departments!$A$2:$B$7,2,FALSE)</f>
        <v>D01</v>
      </c>
      <c r="Y72" s="14" t="str">
        <f>INDEX(Departments!$B$2:$B$7,MATCH(Employees_Data[[#This Row],[Department]],Departments!$A$2:$A$7,0))</f>
        <v>D01</v>
      </c>
      <c r="Z72" s="14" t="str">
        <f>INDEX(Salary_Bands!$C$2:$C$5,MATCH(Employees_Data[[#This Row],[Salary]],Salary_Bands!$A$2:$A$5,1))</f>
        <v>High</v>
      </c>
    </row>
    <row r="73" spans="1:26" hidden="1" x14ac:dyDescent="0.3">
      <c r="A73" t="s">
        <v>204</v>
      </c>
      <c r="B73" t="s">
        <v>205</v>
      </c>
      <c r="C73" t="s">
        <v>40</v>
      </c>
      <c r="D73" s="12">
        <v>28</v>
      </c>
      <c r="E73" t="s">
        <v>87</v>
      </c>
      <c r="F73" t="s">
        <v>88</v>
      </c>
      <c r="G73" t="s">
        <v>35</v>
      </c>
      <c r="H73">
        <v>4</v>
      </c>
      <c r="I73" s="1">
        <v>44772</v>
      </c>
      <c r="J73" s="10">
        <v>148083</v>
      </c>
      <c r="K73" s="10">
        <v>13884</v>
      </c>
      <c r="L73">
        <v>3</v>
      </c>
      <c r="M73" t="s">
        <v>26</v>
      </c>
      <c r="N73" t="s">
        <v>48</v>
      </c>
      <c r="O73" t="s">
        <v>28</v>
      </c>
      <c r="P73" t="s">
        <v>28</v>
      </c>
      <c r="Q73">
        <v>39</v>
      </c>
      <c r="R73">
        <v>20</v>
      </c>
      <c r="S73">
        <v>1</v>
      </c>
      <c r="T73" t="s">
        <v>30</v>
      </c>
      <c r="U73" t="str">
        <f>IF(AND(Employees_Data[[#This Row],[Age]]&gt;=20,Employees_Data[[#This Row],[Age]]&lt;=30),"Young",IF(AND(Employees_Data[[#This Row],[Age]]&gt;=31,Employees_Data[[#This Row],[Age]]&lt;=40),"Mid-Age",IF(Employees_Data[[#This Row],[Age]]&gt;=41,"Senior")))</f>
        <v>Young</v>
      </c>
      <c r="V73" t="str">
        <f>IF(Employees_Data[[#This Row],[Salary]]&lt;=30000,"Low",IF(AND(Employees_Data[[#This Row],[Salary]]&gt;30000,Employees_Data[[#This Row],[Salary]]&lt;=60000),"Medium",IF(AND(Employees_Data[[#This Row],[Salary]]&gt;60000,Employees_Data[[#This Row],[Salary]]&lt;=90000),"High",IF(Employees_Data[[#This Row],[Salary]]&gt;90000,"Executive"))))</f>
        <v>Executive</v>
      </c>
      <c r="W7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73" s="14" t="str">
        <f>VLOOKUP(Employees_Data[[#This Row],[Department]],Departments!$A$2:$B$7,2,FALSE)</f>
        <v>D04</v>
      </c>
      <c r="Y73" s="14" t="str">
        <f>INDEX(Departments!$B$2:$B$7,MATCH(Employees_Data[[#This Row],[Department]],Departments!$A$2:$A$7,0))</f>
        <v>D04</v>
      </c>
      <c r="Z73" s="14" t="str">
        <f>INDEX(Salary_Bands!$C$2:$C$5,MATCH(Employees_Data[[#This Row],[Salary]],Salary_Bands!$A$2:$A$5,1))</f>
        <v>Executive</v>
      </c>
    </row>
    <row r="74" spans="1:26" hidden="1" x14ac:dyDescent="0.3">
      <c r="A74" t="s">
        <v>206</v>
      </c>
      <c r="B74" t="s">
        <v>207</v>
      </c>
      <c r="C74" t="s">
        <v>22</v>
      </c>
      <c r="D74" s="12">
        <v>47</v>
      </c>
      <c r="E74" t="s">
        <v>41</v>
      </c>
      <c r="F74" t="s">
        <v>42</v>
      </c>
      <c r="G74" t="s">
        <v>80</v>
      </c>
      <c r="H74">
        <v>24</v>
      </c>
      <c r="I74" s="1">
        <v>43878</v>
      </c>
      <c r="J74" s="10">
        <v>41011</v>
      </c>
      <c r="K74" s="10">
        <v>12928</v>
      </c>
      <c r="L74">
        <v>4</v>
      </c>
      <c r="M74" t="s">
        <v>26</v>
      </c>
      <c r="N74" t="s">
        <v>76</v>
      </c>
      <c r="O74" t="s">
        <v>28</v>
      </c>
      <c r="P74" t="s">
        <v>29</v>
      </c>
      <c r="Q74">
        <v>9</v>
      </c>
      <c r="R74">
        <v>17</v>
      </c>
      <c r="S74">
        <v>2</v>
      </c>
      <c r="T74" t="s">
        <v>30</v>
      </c>
      <c r="U74" t="str">
        <f>IF(AND(Employees_Data[[#This Row],[Age]]&gt;=20,Employees_Data[[#This Row],[Age]]&lt;=30),"Young",IF(AND(Employees_Data[[#This Row],[Age]]&gt;=31,Employees_Data[[#This Row],[Age]]&lt;=40),"Mid-Age",IF(Employees_Data[[#This Row],[Age]]&gt;=41,"Senior")))</f>
        <v>Senior</v>
      </c>
      <c r="V74" t="str">
        <f>IF(Employees_Data[[#This Row],[Salary]]&lt;=30000,"Low",IF(AND(Employees_Data[[#This Row],[Salary]]&gt;30000,Employees_Data[[#This Row],[Salary]]&lt;=60000),"Medium",IF(AND(Employees_Data[[#This Row],[Salary]]&gt;60000,Employees_Data[[#This Row],[Salary]]&lt;=90000),"High",IF(Employees_Data[[#This Row],[Salary]]&gt;90000,"Executive"))))</f>
        <v>Medium</v>
      </c>
      <c r="W7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74" s="14" t="str">
        <f>VLOOKUP(Employees_Data[[#This Row],[Department]],Departments!$A$2:$B$7,2,FALSE)</f>
        <v>D03</v>
      </c>
      <c r="Y74" s="14" t="str">
        <f>INDEX(Departments!$B$2:$B$7,MATCH(Employees_Data[[#This Row],[Department]],Departments!$A$2:$A$7,0))</f>
        <v>D03</v>
      </c>
      <c r="Z74" s="14" t="str">
        <f>INDEX(Salary_Bands!$C$2:$C$5,MATCH(Employees_Data[[#This Row],[Salary]],Salary_Bands!$A$2:$A$5,1))</f>
        <v>Medium</v>
      </c>
    </row>
    <row r="75" spans="1:26" x14ac:dyDescent="0.3">
      <c r="A75" t="s">
        <v>208</v>
      </c>
      <c r="B75" t="s">
        <v>209</v>
      </c>
      <c r="C75" t="s">
        <v>22</v>
      </c>
      <c r="D75" s="12">
        <v>35</v>
      </c>
      <c r="E75" t="s">
        <v>61</v>
      </c>
      <c r="F75" t="s">
        <v>66</v>
      </c>
      <c r="G75" t="s">
        <v>35</v>
      </c>
      <c r="H75">
        <v>13</v>
      </c>
      <c r="I75" s="1">
        <v>44446</v>
      </c>
      <c r="J75" s="10">
        <v>126498</v>
      </c>
      <c r="K75" s="10">
        <v>19701</v>
      </c>
      <c r="L75">
        <v>2</v>
      </c>
      <c r="M75" t="s">
        <v>36</v>
      </c>
      <c r="N75" t="s">
        <v>63</v>
      </c>
      <c r="O75" s="5" t="s">
        <v>29</v>
      </c>
      <c r="P75" t="s">
        <v>29</v>
      </c>
      <c r="Q75">
        <v>12</v>
      </c>
      <c r="R75">
        <v>0</v>
      </c>
      <c r="S75">
        <v>10</v>
      </c>
      <c r="T75" t="s">
        <v>30</v>
      </c>
      <c r="U75" t="str">
        <f>IF(AND(Employees_Data[[#This Row],[Age]]&gt;=20,Employees_Data[[#This Row],[Age]]&lt;=30),"Young",IF(AND(Employees_Data[[#This Row],[Age]]&gt;=31,Employees_Data[[#This Row],[Age]]&lt;=40),"Mid-Age",IF(Employees_Data[[#This Row],[Age]]&gt;=41,"Senior")))</f>
        <v>Mid-Age</v>
      </c>
      <c r="V75" t="str">
        <f>IF(Employees_Data[[#This Row],[Salary]]&lt;=30000,"Low",IF(AND(Employees_Data[[#This Row],[Salary]]&gt;30000,Employees_Data[[#This Row],[Salary]]&lt;=60000),"Medium",IF(AND(Employees_Data[[#This Row],[Salary]]&gt;60000,Employees_Data[[#This Row],[Salary]]&lt;=90000),"High",IF(Employees_Data[[#This Row],[Salary]]&gt;90000,"Executive"))))</f>
        <v>Executive</v>
      </c>
      <c r="W7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75" s="14" t="str">
        <f>VLOOKUP(Employees_Data[[#This Row],[Department]],Departments!$A$2:$B$7,2,FALSE)</f>
        <v>D02</v>
      </c>
      <c r="Y75" s="14" t="str">
        <f>INDEX(Departments!$B$2:$B$7,MATCH(Employees_Data[[#This Row],[Department]],Departments!$A$2:$A$7,0))</f>
        <v>D02</v>
      </c>
      <c r="Z75" s="14" t="str">
        <f>INDEX(Salary_Bands!$C$2:$C$5,MATCH(Employees_Data[[#This Row],[Salary]],Salary_Bands!$A$2:$A$5,1))</f>
        <v>Executive</v>
      </c>
    </row>
    <row r="76" spans="1:26" hidden="1" x14ac:dyDescent="0.3">
      <c r="A76" t="s">
        <v>210</v>
      </c>
      <c r="B76" t="s">
        <v>211</v>
      </c>
      <c r="C76" t="s">
        <v>40</v>
      </c>
      <c r="D76" s="12">
        <v>44</v>
      </c>
      <c r="E76" t="s">
        <v>61</v>
      </c>
      <c r="F76" t="s">
        <v>62</v>
      </c>
      <c r="G76" t="s">
        <v>25</v>
      </c>
      <c r="H76">
        <v>22</v>
      </c>
      <c r="I76" s="1">
        <v>45512</v>
      </c>
      <c r="J76" s="10">
        <v>67437</v>
      </c>
      <c r="K76" s="10">
        <v>5724</v>
      </c>
      <c r="L76">
        <v>1</v>
      </c>
      <c r="M76" t="s">
        <v>52</v>
      </c>
      <c r="N76" t="s">
        <v>27</v>
      </c>
      <c r="O76" t="s">
        <v>28</v>
      </c>
      <c r="P76" t="s">
        <v>28</v>
      </c>
      <c r="Q76">
        <v>33</v>
      </c>
      <c r="R76">
        <v>11</v>
      </c>
      <c r="S76">
        <v>3</v>
      </c>
      <c r="T76" t="s">
        <v>43</v>
      </c>
      <c r="U76" t="str">
        <f>IF(AND(Employees_Data[[#This Row],[Age]]&gt;=20,Employees_Data[[#This Row],[Age]]&lt;=30),"Young",IF(AND(Employees_Data[[#This Row],[Age]]&gt;=31,Employees_Data[[#This Row],[Age]]&lt;=40),"Mid-Age",IF(Employees_Data[[#This Row],[Age]]&gt;=41,"Senior")))</f>
        <v>Senior</v>
      </c>
      <c r="V76" t="str">
        <f>IF(Employees_Data[[#This Row],[Salary]]&lt;=30000,"Low",IF(AND(Employees_Data[[#This Row],[Salary]]&gt;30000,Employees_Data[[#This Row],[Salary]]&lt;=60000),"Medium",IF(AND(Employees_Data[[#This Row],[Salary]]&gt;60000,Employees_Data[[#This Row],[Salary]]&lt;=90000),"High",IF(Employees_Data[[#This Row],[Salary]]&gt;90000,"Executive"))))</f>
        <v>High</v>
      </c>
      <c r="W7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76" s="14" t="str">
        <f>VLOOKUP(Employees_Data[[#This Row],[Department]],Departments!$A$2:$B$7,2,FALSE)</f>
        <v>D02</v>
      </c>
      <c r="Y76" s="14" t="str">
        <f>INDEX(Departments!$B$2:$B$7,MATCH(Employees_Data[[#This Row],[Department]],Departments!$A$2:$A$7,0))</f>
        <v>D02</v>
      </c>
      <c r="Z76" s="14" t="str">
        <f>INDEX(Salary_Bands!$C$2:$C$5,MATCH(Employees_Data[[#This Row],[Salary]],Salary_Bands!$A$2:$A$5,1))</f>
        <v>High</v>
      </c>
    </row>
    <row r="77" spans="1:26" hidden="1" x14ac:dyDescent="0.3">
      <c r="A77" t="s">
        <v>212</v>
      </c>
      <c r="B77" t="s">
        <v>213</v>
      </c>
      <c r="C77" t="s">
        <v>40</v>
      </c>
      <c r="D77" s="12">
        <v>28</v>
      </c>
      <c r="E77" t="s">
        <v>33</v>
      </c>
      <c r="F77" t="s">
        <v>34</v>
      </c>
      <c r="G77" t="s">
        <v>47</v>
      </c>
      <c r="H77">
        <v>4</v>
      </c>
      <c r="I77" s="1">
        <v>45164</v>
      </c>
      <c r="J77" s="10">
        <v>54038</v>
      </c>
      <c r="K77" s="10">
        <v>23080</v>
      </c>
      <c r="L77">
        <v>5</v>
      </c>
      <c r="M77" t="s">
        <v>26</v>
      </c>
      <c r="N77" t="s">
        <v>27</v>
      </c>
      <c r="O77" t="s">
        <v>28</v>
      </c>
      <c r="P77" t="s">
        <v>28</v>
      </c>
      <c r="Q77">
        <v>59</v>
      </c>
      <c r="R77">
        <v>12</v>
      </c>
      <c r="S77">
        <v>1</v>
      </c>
      <c r="T77" t="s">
        <v>30</v>
      </c>
      <c r="U77" t="str">
        <f>IF(AND(Employees_Data[[#This Row],[Age]]&gt;=20,Employees_Data[[#This Row],[Age]]&lt;=30),"Young",IF(AND(Employees_Data[[#This Row],[Age]]&gt;=31,Employees_Data[[#This Row],[Age]]&lt;=40),"Mid-Age",IF(Employees_Data[[#This Row],[Age]]&gt;=41,"Senior")))</f>
        <v>Young</v>
      </c>
      <c r="V77" t="str">
        <f>IF(Employees_Data[[#This Row],[Salary]]&lt;=30000,"Low",IF(AND(Employees_Data[[#This Row],[Salary]]&gt;30000,Employees_Data[[#This Row],[Salary]]&lt;=60000),"Medium",IF(AND(Employees_Data[[#This Row],[Salary]]&gt;60000,Employees_Data[[#This Row],[Salary]]&lt;=90000),"High",IF(Employees_Data[[#This Row],[Salary]]&gt;90000,"Executive"))))</f>
        <v>Medium</v>
      </c>
      <c r="W7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77" s="14" t="str">
        <f>VLOOKUP(Employees_Data[[#This Row],[Department]],Departments!$A$2:$B$7,2,FALSE)</f>
        <v>D05</v>
      </c>
      <c r="Y77" s="14" t="str">
        <f>INDEX(Departments!$B$2:$B$7,MATCH(Employees_Data[[#This Row],[Department]],Departments!$A$2:$A$7,0))</f>
        <v>D05</v>
      </c>
      <c r="Z77" s="14" t="str">
        <f>INDEX(Salary_Bands!$C$2:$C$5,MATCH(Employees_Data[[#This Row],[Salary]],Salary_Bands!$A$2:$A$5,1))</f>
        <v>Medium</v>
      </c>
    </row>
    <row r="78" spans="1:26" hidden="1" x14ac:dyDescent="0.3">
      <c r="A78" t="s">
        <v>214</v>
      </c>
      <c r="B78" t="s">
        <v>215</v>
      </c>
      <c r="C78" t="s">
        <v>40</v>
      </c>
      <c r="D78" s="12">
        <v>28</v>
      </c>
      <c r="E78" t="s">
        <v>87</v>
      </c>
      <c r="F78" t="s">
        <v>88</v>
      </c>
      <c r="G78" t="s">
        <v>25</v>
      </c>
      <c r="H78">
        <v>4</v>
      </c>
      <c r="I78" s="1">
        <v>44917</v>
      </c>
      <c r="J78" s="10">
        <v>34632</v>
      </c>
      <c r="K78" s="10">
        <v>22744</v>
      </c>
      <c r="L78">
        <v>1</v>
      </c>
      <c r="M78" t="s">
        <v>52</v>
      </c>
      <c r="N78" t="s">
        <v>53</v>
      </c>
      <c r="O78" t="s">
        <v>28</v>
      </c>
      <c r="P78" t="s">
        <v>28</v>
      </c>
      <c r="Q78">
        <v>29</v>
      </c>
      <c r="R78">
        <v>19</v>
      </c>
      <c r="S78">
        <v>6</v>
      </c>
      <c r="T78" t="s">
        <v>43</v>
      </c>
      <c r="U78" t="str">
        <f>IF(AND(Employees_Data[[#This Row],[Age]]&gt;=20,Employees_Data[[#This Row],[Age]]&lt;=30),"Young",IF(AND(Employees_Data[[#This Row],[Age]]&gt;=31,Employees_Data[[#This Row],[Age]]&lt;=40),"Mid-Age",IF(Employees_Data[[#This Row],[Age]]&gt;=41,"Senior")))</f>
        <v>Young</v>
      </c>
      <c r="V78" t="str">
        <f>IF(Employees_Data[[#This Row],[Salary]]&lt;=30000,"Low",IF(AND(Employees_Data[[#This Row],[Salary]]&gt;30000,Employees_Data[[#This Row],[Salary]]&lt;=60000),"Medium",IF(AND(Employees_Data[[#This Row],[Salary]]&gt;60000,Employees_Data[[#This Row],[Salary]]&lt;=90000),"High",IF(Employees_Data[[#This Row],[Salary]]&gt;90000,"Executive"))))</f>
        <v>Medium</v>
      </c>
      <c r="W7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78" s="14" t="str">
        <f>VLOOKUP(Employees_Data[[#This Row],[Department]],Departments!$A$2:$B$7,2,FALSE)</f>
        <v>D04</v>
      </c>
      <c r="Y78" s="14" t="str">
        <f>INDEX(Departments!$B$2:$B$7,MATCH(Employees_Data[[#This Row],[Department]],Departments!$A$2:$A$7,0))</f>
        <v>D04</v>
      </c>
      <c r="Z78" s="14" t="str">
        <f>INDEX(Salary_Bands!$C$2:$C$5,MATCH(Employees_Data[[#This Row],[Salary]],Salary_Bands!$A$2:$A$5,1))</f>
        <v>Medium</v>
      </c>
    </row>
    <row r="79" spans="1:26" hidden="1" x14ac:dyDescent="0.3">
      <c r="A79" t="s">
        <v>216</v>
      </c>
      <c r="B79" t="s">
        <v>217</v>
      </c>
      <c r="C79" t="s">
        <v>22</v>
      </c>
      <c r="D79" s="12">
        <v>51</v>
      </c>
      <c r="E79" t="s">
        <v>33</v>
      </c>
      <c r="F79" t="s">
        <v>46</v>
      </c>
      <c r="G79" t="s">
        <v>47</v>
      </c>
      <c r="H79">
        <v>26</v>
      </c>
      <c r="I79" s="1">
        <v>45580</v>
      </c>
      <c r="J79" s="10">
        <v>81387</v>
      </c>
      <c r="K79" s="10">
        <v>16796</v>
      </c>
      <c r="L79">
        <v>1</v>
      </c>
      <c r="M79" t="s">
        <v>26</v>
      </c>
      <c r="N79" t="s">
        <v>58</v>
      </c>
      <c r="O79" t="s">
        <v>28</v>
      </c>
      <c r="P79" t="s">
        <v>28</v>
      </c>
      <c r="Q79">
        <v>57</v>
      </c>
      <c r="R79">
        <v>14</v>
      </c>
      <c r="S79">
        <v>2</v>
      </c>
      <c r="T79" t="s">
        <v>30</v>
      </c>
      <c r="U79" t="str">
        <f>IF(AND(Employees_Data[[#This Row],[Age]]&gt;=20,Employees_Data[[#This Row],[Age]]&lt;=30),"Young",IF(AND(Employees_Data[[#This Row],[Age]]&gt;=31,Employees_Data[[#This Row],[Age]]&lt;=40),"Mid-Age",IF(Employees_Data[[#This Row],[Age]]&gt;=41,"Senior")))</f>
        <v>Senior</v>
      </c>
      <c r="V79" t="str">
        <f>IF(Employees_Data[[#This Row],[Salary]]&lt;=30000,"Low",IF(AND(Employees_Data[[#This Row],[Salary]]&gt;30000,Employees_Data[[#This Row],[Salary]]&lt;=60000),"Medium",IF(AND(Employees_Data[[#This Row],[Salary]]&gt;60000,Employees_Data[[#This Row],[Salary]]&lt;=90000),"High",IF(Employees_Data[[#This Row],[Salary]]&gt;90000,"Executive"))))</f>
        <v>High</v>
      </c>
      <c r="W7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79" s="14" t="str">
        <f>VLOOKUP(Employees_Data[[#This Row],[Department]],Departments!$A$2:$B$7,2,FALSE)</f>
        <v>D05</v>
      </c>
      <c r="Y79" s="14" t="str">
        <f>INDEX(Departments!$B$2:$B$7,MATCH(Employees_Data[[#This Row],[Department]],Departments!$A$2:$A$7,0))</f>
        <v>D05</v>
      </c>
      <c r="Z79" s="14" t="str">
        <f>INDEX(Salary_Bands!$C$2:$C$5,MATCH(Employees_Data[[#This Row],[Salary]],Salary_Bands!$A$2:$A$5,1))</f>
        <v>High</v>
      </c>
    </row>
    <row r="80" spans="1:26" hidden="1" x14ac:dyDescent="0.3">
      <c r="A80" t="s">
        <v>218</v>
      </c>
      <c r="B80" t="s">
        <v>219</v>
      </c>
      <c r="C80" t="s">
        <v>40</v>
      </c>
      <c r="D80" s="12">
        <v>28</v>
      </c>
      <c r="E80" t="s">
        <v>87</v>
      </c>
      <c r="F80" t="s">
        <v>220</v>
      </c>
      <c r="G80" t="s">
        <v>80</v>
      </c>
      <c r="H80">
        <v>5</v>
      </c>
      <c r="I80" s="1">
        <v>44849</v>
      </c>
      <c r="J80" s="10">
        <v>65963</v>
      </c>
      <c r="K80" s="10">
        <v>4989</v>
      </c>
      <c r="L80">
        <v>3</v>
      </c>
      <c r="M80" t="s">
        <v>26</v>
      </c>
      <c r="N80" t="s">
        <v>27</v>
      </c>
      <c r="O80" t="s">
        <v>28</v>
      </c>
      <c r="P80" t="s">
        <v>28</v>
      </c>
      <c r="Q80">
        <v>11</v>
      </c>
      <c r="R80">
        <v>11</v>
      </c>
      <c r="S80">
        <v>6</v>
      </c>
      <c r="T80" t="s">
        <v>30</v>
      </c>
      <c r="U80" t="str">
        <f>IF(AND(Employees_Data[[#This Row],[Age]]&gt;=20,Employees_Data[[#This Row],[Age]]&lt;=30),"Young",IF(AND(Employees_Data[[#This Row],[Age]]&gt;=31,Employees_Data[[#This Row],[Age]]&lt;=40),"Mid-Age",IF(Employees_Data[[#This Row],[Age]]&gt;=41,"Senior")))</f>
        <v>Young</v>
      </c>
      <c r="V80" t="str">
        <f>IF(Employees_Data[[#This Row],[Salary]]&lt;=30000,"Low",IF(AND(Employees_Data[[#This Row],[Salary]]&gt;30000,Employees_Data[[#This Row],[Salary]]&lt;=60000),"Medium",IF(AND(Employees_Data[[#This Row],[Salary]]&gt;60000,Employees_Data[[#This Row],[Salary]]&lt;=90000),"High",IF(Employees_Data[[#This Row],[Salary]]&gt;90000,"Executive"))))</f>
        <v>High</v>
      </c>
      <c r="W8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80" s="14" t="str">
        <f>VLOOKUP(Employees_Data[[#This Row],[Department]],Departments!$A$2:$B$7,2,FALSE)</f>
        <v>D04</v>
      </c>
      <c r="Y80" s="14" t="str">
        <f>INDEX(Departments!$B$2:$B$7,MATCH(Employees_Data[[#This Row],[Department]],Departments!$A$2:$A$7,0))</f>
        <v>D04</v>
      </c>
      <c r="Z80" s="14" t="str">
        <f>INDEX(Salary_Bands!$C$2:$C$5,MATCH(Employees_Data[[#This Row],[Salary]],Salary_Bands!$A$2:$A$5,1))</f>
        <v>High</v>
      </c>
    </row>
    <row r="81" spans="1:26" hidden="1" x14ac:dyDescent="0.3">
      <c r="A81" t="s">
        <v>221</v>
      </c>
      <c r="B81" t="s">
        <v>222</v>
      </c>
      <c r="C81" t="s">
        <v>40</v>
      </c>
      <c r="D81" s="12">
        <v>25</v>
      </c>
      <c r="E81" t="s">
        <v>61</v>
      </c>
      <c r="F81" t="s">
        <v>66</v>
      </c>
      <c r="G81" t="s">
        <v>80</v>
      </c>
      <c r="H81">
        <v>0</v>
      </c>
      <c r="I81" s="1">
        <v>45401</v>
      </c>
      <c r="J81" s="10">
        <v>98620</v>
      </c>
      <c r="K81" s="10">
        <v>11425</v>
      </c>
      <c r="L81">
        <v>3</v>
      </c>
      <c r="M81" t="s">
        <v>52</v>
      </c>
      <c r="N81" t="s">
        <v>37</v>
      </c>
      <c r="O81" t="s">
        <v>28</v>
      </c>
      <c r="P81" t="s">
        <v>28</v>
      </c>
      <c r="Q81">
        <v>11</v>
      </c>
      <c r="R81">
        <v>18</v>
      </c>
      <c r="S81">
        <v>2</v>
      </c>
      <c r="T81" t="s">
        <v>30</v>
      </c>
      <c r="U81" t="str">
        <f>IF(AND(Employees_Data[[#This Row],[Age]]&gt;=20,Employees_Data[[#This Row],[Age]]&lt;=30),"Young",IF(AND(Employees_Data[[#This Row],[Age]]&gt;=31,Employees_Data[[#This Row],[Age]]&lt;=40),"Mid-Age",IF(Employees_Data[[#This Row],[Age]]&gt;=41,"Senior")))</f>
        <v>Young</v>
      </c>
      <c r="V81" t="str">
        <f>IF(Employees_Data[[#This Row],[Salary]]&lt;=30000,"Low",IF(AND(Employees_Data[[#This Row],[Salary]]&gt;30000,Employees_Data[[#This Row],[Salary]]&lt;=60000),"Medium",IF(AND(Employees_Data[[#This Row],[Salary]]&gt;60000,Employees_Data[[#This Row],[Salary]]&lt;=90000),"High",IF(Employees_Data[[#This Row],[Salary]]&gt;90000,"Executive"))))</f>
        <v>Executive</v>
      </c>
      <c r="W8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81" s="14" t="str">
        <f>VLOOKUP(Employees_Data[[#This Row],[Department]],Departments!$A$2:$B$7,2,FALSE)</f>
        <v>D02</v>
      </c>
      <c r="Y81" s="14" t="str">
        <f>INDEX(Departments!$B$2:$B$7,MATCH(Employees_Data[[#This Row],[Department]],Departments!$A$2:$A$7,0))</f>
        <v>D02</v>
      </c>
      <c r="Z81" s="14" t="str">
        <f>INDEX(Salary_Bands!$C$2:$C$5,MATCH(Employees_Data[[#This Row],[Salary]],Salary_Bands!$A$2:$A$5,1))</f>
        <v>Executive</v>
      </c>
    </row>
    <row r="82" spans="1:26" hidden="1" x14ac:dyDescent="0.3">
      <c r="A82" t="s">
        <v>223</v>
      </c>
      <c r="B82" t="s">
        <v>224</v>
      </c>
      <c r="C82" t="s">
        <v>40</v>
      </c>
      <c r="D82" s="12">
        <v>31</v>
      </c>
      <c r="E82" t="s">
        <v>33</v>
      </c>
      <c r="F82" t="s">
        <v>118</v>
      </c>
      <c r="G82" t="s">
        <v>25</v>
      </c>
      <c r="H82">
        <v>5</v>
      </c>
      <c r="I82" s="1">
        <v>45076</v>
      </c>
      <c r="J82" s="10">
        <v>54392</v>
      </c>
      <c r="K82" s="10">
        <v>9410</v>
      </c>
      <c r="L82">
        <v>1</v>
      </c>
      <c r="M82" t="s">
        <v>36</v>
      </c>
      <c r="N82" t="s">
        <v>63</v>
      </c>
      <c r="O82" t="s">
        <v>28</v>
      </c>
      <c r="P82" t="s">
        <v>29</v>
      </c>
      <c r="Q82">
        <v>43</v>
      </c>
      <c r="R82">
        <v>8</v>
      </c>
      <c r="S82">
        <v>6</v>
      </c>
      <c r="T82" t="s">
        <v>30</v>
      </c>
      <c r="U82" t="str">
        <f>IF(AND(Employees_Data[[#This Row],[Age]]&gt;=20,Employees_Data[[#This Row],[Age]]&lt;=30),"Young",IF(AND(Employees_Data[[#This Row],[Age]]&gt;=31,Employees_Data[[#This Row],[Age]]&lt;=40),"Mid-Age",IF(Employees_Data[[#This Row],[Age]]&gt;=41,"Senior")))</f>
        <v>Mid-Age</v>
      </c>
      <c r="V82" t="str">
        <f>IF(Employees_Data[[#This Row],[Salary]]&lt;=30000,"Low",IF(AND(Employees_Data[[#This Row],[Salary]]&gt;30000,Employees_Data[[#This Row],[Salary]]&lt;=60000),"Medium",IF(AND(Employees_Data[[#This Row],[Salary]]&gt;60000,Employees_Data[[#This Row],[Salary]]&lt;=90000),"High",IF(Employees_Data[[#This Row],[Salary]]&gt;90000,"Executive"))))</f>
        <v>Medium</v>
      </c>
      <c r="W8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82" s="14" t="str">
        <f>VLOOKUP(Employees_Data[[#This Row],[Department]],Departments!$A$2:$B$7,2,FALSE)</f>
        <v>D05</v>
      </c>
      <c r="Y82" s="14" t="str">
        <f>INDEX(Departments!$B$2:$B$7,MATCH(Employees_Data[[#This Row],[Department]],Departments!$A$2:$A$7,0))</f>
        <v>D05</v>
      </c>
      <c r="Z82" s="14" t="str">
        <f>INDEX(Salary_Bands!$C$2:$C$5,MATCH(Employees_Data[[#This Row],[Salary]],Salary_Bands!$A$2:$A$5,1))</f>
        <v>Medium</v>
      </c>
    </row>
    <row r="83" spans="1:26" x14ac:dyDescent="0.3">
      <c r="A83" t="s">
        <v>225</v>
      </c>
      <c r="B83" t="s">
        <v>226</v>
      </c>
      <c r="C83" t="s">
        <v>40</v>
      </c>
      <c r="D83" s="12">
        <v>39</v>
      </c>
      <c r="E83" t="s">
        <v>56</v>
      </c>
      <c r="F83" t="s">
        <v>57</v>
      </c>
      <c r="G83" t="s">
        <v>80</v>
      </c>
      <c r="H83">
        <v>13</v>
      </c>
      <c r="I83" s="1">
        <v>44366</v>
      </c>
      <c r="J83" s="10">
        <v>145787</v>
      </c>
      <c r="K83" s="10">
        <v>6648</v>
      </c>
      <c r="L83">
        <v>3</v>
      </c>
      <c r="M83" t="s">
        <v>52</v>
      </c>
      <c r="N83" t="s">
        <v>48</v>
      </c>
      <c r="O83" s="5" t="s">
        <v>29</v>
      </c>
      <c r="P83" t="s">
        <v>29</v>
      </c>
      <c r="Q83">
        <v>10</v>
      </c>
      <c r="R83">
        <v>16</v>
      </c>
      <c r="S83">
        <v>6</v>
      </c>
      <c r="T83" t="s">
        <v>30</v>
      </c>
      <c r="U83" t="str">
        <f>IF(AND(Employees_Data[[#This Row],[Age]]&gt;=20,Employees_Data[[#This Row],[Age]]&lt;=30),"Young",IF(AND(Employees_Data[[#This Row],[Age]]&gt;=31,Employees_Data[[#This Row],[Age]]&lt;=40),"Mid-Age",IF(Employees_Data[[#This Row],[Age]]&gt;=41,"Senior")))</f>
        <v>Mid-Age</v>
      </c>
      <c r="V83" t="str">
        <f>IF(Employees_Data[[#This Row],[Salary]]&lt;=30000,"Low",IF(AND(Employees_Data[[#This Row],[Salary]]&gt;30000,Employees_Data[[#This Row],[Salary]]&lt;=60000),"Medium",IF(AND(Employees_Data[[#This Row],[Salary]]&gt;60000,Employees_Data[[#This Row],[Salary]]&lt;=90000),"High",IF(Employees_Data[[#This Row],[Salary]]&gt;90000,"Executive"))))</f>
        <v>Executive</v>
      </c>
      <c r="W8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83" s="14" t="str">
        <f>VLOOKUP(Employees_Data[[#This Row],[Department]],Departments!$A$2:$B$7,2,FALSE)</f>
        <v>D01</v>
      </c>
      <c r="Y83" s="14" t="str">
        <f>INDEX(Departments!$B$2:$B$7,MATCH(Employees_Data[[#This Row],[Department]],Departments!$A$2:$A$7,0))</f>
        <v>D01</v>
      </c>
      <c r="Z83" s="14" t="str">
        <f>INDEX(Salary_Bands!$C$2:$C$5,MATCH(Employees_Data[[#This Row],[Salary]],Salary_Bands!$A$2:$A$5,1))</f>
        <v>Executive</v>
      </c>
    </row>
    <row r="84" spans="1:26" hidden="1" x14ac:dyDescent="0.3">
      <c r="A84" t="s">
        <v>227</v>
      </c>
      <c r="B84" t="s">
        <v>228</v>
      </c>
      <c r="C84" t="s">
        <v>22</v>
      </c>
      <c r="D84" s="12">
        <v>48</v>
      </c>
      <c r="E84" t="s">
        <v>61</v>
      </c>
      <c r="F84" t="s">
        <v>229</v>
      </c>
      <c r="G84" t="s">
        <v>80</v>
      </c>
      <c r="H84">
        <v>24</v>
      </c>
      <c r="I84" s="1">
        <v>44497</v>
      </c>
      <c r="J84" s="10">
        <v>45631</v>
      </c>
      <c r="K84" s="10">
        <v>7098</v>
      </c>
      <c r="L84">
        <v>3</v>
      </c>
      <c r="M84" t="s">
        <v>26</v>
      </c>
      <c r="N84" t="s">
        <v>63</v>
      </c>
      <c r="O84" t="s">
        <v>28</v>
      </c>
      <c r="P84" t="s">
        <v>29</v>
      </c>
      <c r="Q84">
        <v>48</v>
      </c>
      <c r="R84">
        <v>2</v>
      </c>
      <c r="S84">
        <v>5</v>
      </c>
      <c r="T84" t="s">
        <v>30</v>
      </c>
      <c r="U84" t="str">
        <f>IF(AND(Employees_Data[[#This Row],[Age]]&gt;=20,Employees_Data[[#This Row],[Age]]&lt;=30),"Young",IF(AND(Employees_Data[[#This Row],[Age]]&gt;=31,Employees_Data[[#This Row],[Age]]&lt;=40),"Mid-Age",IF(Employees_Data[[#This Row],[Age]]&gt;=41,"Senior")))</f>
        <v>Senior</v>
      </c>
      <c r="V84" t="str">
        <f>IF(Employees_Data[[#This Row],[Salary]]&lt;=30000,"Low",IF(AND(Employees_Data[[#This Row],[Salary]]&gt;30000,Employees_Data[[#This Row],[Salary]]&lt;=60000),"Medium",IF(AND(Employees_Data[[#This Row],[Salary]]&gt;60000,Employees_Data[[#This Row],[Salary]]&lt;=90000),"High",IF(Employees_Data[[#This Row],[Salary]]&gt;90000,"Executive"))))</f>
        <v>Medium</v>
      </c>
      <c r="W8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84" s="14" t="str">
        <f>VLOOKUP(Employees_Data[[#This Row],[Department]],Departments!$A$2:$B$7,2,FALSE)</f>
        <v>D02</v>
      </c>
      <c r="Y84" s="14" t="str">
        <f>INDEX(Departments!$B$2:$B$7,MATCH(Employees_Data[[#This Row],[Department]],Departments!$A$2:$A$7,0))</f>
        <v>D02</v>
      </c>
      <c r="Z84" s="14" t="str">
        <f>INDEX(Salary_Bands!$C$2:$C$5,MATCH(Employees_Data[[#This Row],[Salary]],Salary_Bands!$A$2:$A$5,1))</f>
        <v>Medium</v>
      </c>
    </row>
    <row r="85" spans="1:26" hidden="1" x14ac:dyDescent="0.3">
      <c r="A85" t="s">
        <v>230</v>
      </c>
      <c r="B85" t="s">
        <v>231</v>
      </c>
      <c r="C85" t="s">
        <v>40</v>
      </c>
      <c r="D85" s="12">
        <v>49</v>
      </c>
      <c r="E85" t="s">
        <v>41</v>
      </c>
      <c r="F85" t="s">
        <v>232</v>
      </c>
      <c r="G85" t="s">
        <v>47</v>
      </c>
      <c r="H85">
        <v>25</v>
      </c>
      <c r="I85" s="1">
        <v>45587</v>
      </c>
      <c r="J85" s="10">
        <v>82939</v>
      </c>
      <c r="K85" s="10">
        <v>5633</v>
      </c>
      <c r="L85">
        <v>4</v>
      </c>
      <c r="M85" t="s">
        <v>36</v>
      </c>
      <c r="N85" t="s">
        <v>48</v>
      </c>
      <c r="O85" t="s">
        <v>28</v>
      </c>
      <c r="P85" t="s">
        <v>28</v>
      </c>
      <c r="Q85">
        <v>38</v>
      </c>
      <c r="R85">
        <v>9</v>
      </c>
      <c r="S85">
        <v>5</v>
      </c>
      <c r="T85" t="s">
        <v>30</v>
      </c>
      <c r="U85" t="str">
        <f>IF(AND(Employees_Data[[#This Row],[Age]]&gt;=20,Employees_Data[[#This Row],[Age]]&lt;=30),"Young",IF(AND(Employees_Data[[#This Row],[Age]]&gt;=31,Employees_Data[[#This Row],[Age]]&lt;=40),"Mid-Age",IF(Employees_Data[[#This Row],[Age]]&gt;=41,"Senior")))</f>
        <v>Senior</v>
      </c>
      <c r="V85" t="str">
        <f>IF(Employees_Data[[#This Row],[Salary]]&lt;=30000,"Low",IF(AND(Employees_Data[[#This Row],[Salary]]&gt;30000,Employees_Data[[#This Row],[Salary]]&lt;=60000),"Medium",IF(AND(Employees_Data[[#This Row],[Salary]]&gt;60000,Employees_Data[[#This Row],[Salary]]&lt;=90000),"High",IF(Employees_Data[[#This Row],[Salary]]&gt;90000,"Executive"))))</f>
        <v>High</v>
      </c>
      <c r="W8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85" s="14" t="str">
        <f>VLOOKUP(Employees_Data[[#This Row],[Department]],Departments!$A$2:$B$7,2,FALSE)</f>
        <v>D03</v>
      </c>
      <c r="Y85" s="14" t="str">
        <f>INDEX(Departments!$B$2:$B$7,MATCH(Employees_Data[[#This Row],[Department]],Departments!$A$2:$A$7,0))</f>
        <v>D03</v>
      </c>
      <c r="Z85" s="14" t="str">
        <f>INDEX(Salary_Bands!$C$2:$C$5,MATCH(Employees_Data[[#This Row],[Salary]],Salary_Bands!$A$2:$A$5,1))</f>
        <v>High</v>
      </c>
    </row>
    <row r="86" spans="1:26" hidden="1" x14ac:dyDescent="0.3">
      <c r="A86" t="s">
        <v>233</v>
      </c>
      <c r="B86" t="s">
        <v>234</v>
      </c>
      <c r="C86" t="s">
        <v>40</v>
      </c>
      <c r="D86" s="12">
        <v>47</v>
      </c>
      <c r="E86" t="s">
        <v>56</v>
      </c>
      <c r="F86" t="s">
        <v>57</v>
      </c>
      <c r="G86" t="s">
        <v>51</v>
      </c>
      <c r="H86">
        <v>22</v>
      </c>
      <c r="I86" s="1">
        <v>43325</v>
      </c>
      <c r="J86" s="10">
        <v>26007</v>
      </c>
      <c r="K86" s="10">
        <v>12751</v>
      </c>
      <c r="L86">
        <v>2</v>
      </c>
      <c r="M86" t="s">
        <v>26</v>
      </c>
      <c r="N86" t="s">
        <v>27</v>
      </c>
      <c r="O86" t="s">
        <v>28</v>
      </c>
      <c r="P86" t="s">
        <v>28</v>
      </c>
      <c r="Q86">
        <v>52</v>
      </c>
      <c r="R86">
        <v>13</v>
      </c>
      <c r="S86">
        <v>5</v>
      </c>
      <c r="T86" t="s">
        <v>30</v>
      </c>
      <c r="U86" t="str">
        <f>IF(AND(Employees_Data[[#This Row],[Age]]&gt;=20,Employees_Data[[#This Row],[Age]]&lt;=30),"Young",IF(AND(Employees_Data[[#This Row],[Age]]&gt;=31,Employees_Data[[#This Row],[Age]]&lt;=40),"Mid-Age",IF(Employees_Data[[#This Row],[Age]]&gt;=41,"Senior")))</f>
        <v>Senior</v>
      </c>
      <c r="V86" t="str">
        <f>IF(Employees_Data[[#This Row],[Salary]]&lt;=30000,"Low",IF(AND(Employees_Data[[#This Row],[Salary]]&gt;30000,Employees_Data[[#This Row],[Salary]]&lt;=60000),"Medium",IF(AND(Employees_Data[[#This Row],[Salary]]&gt;60000,Employees_Data[[#This Row],[Salary]]&lt;=90000),"High",IF(Employees_Data[[#This Row],[Salary]]&gt;90000,"Executive"))))</f>
        <v>Low</v>
      </c>
      <c r="W8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86" s="14" t="str">
        <f>VLOOKUP(Employees_Data[[#This Row],[Department]],Departments!$A$2:$B$7,2,FALSE)</f>
        <v>D01</v>
      </c>
      <c r="Y86" s="14" t="str">
        <f>INDEX(Departments!$B$2:$B$7,MATCH(Employees_Data[[#This Row],[Department]],Departments!$A$2:$A$7,0))</f>
        <v>D01</v>
      </c>
      <c r="Z86" s="14" t="str">
        <f>INDEX(Salary_Bands!$C$2:$C$5,MATCH(Employees_Data[[#This Row],[Salary]],Salary_Bands!$A$2:$A$5,1))</f>
        <v>Low</v>
      </c>
    </row>
    <row r="87" spans="1:26" x14ac:dyDescent="0.3">
      <c r="A87" t="s">
        <v>235</v>
      </c>
      <c r="B87" t="s">
        <v>236</v>
      </c>
      <c r="C87" t="s">
        <v>22</v>
      </c>
      <c r="D87" s="12">
        <v>46</v>
      </c>
      <c r="E87" t="s">
        <v>61</v>
      </c>
      <c r="F87" t="s">
        <v>62</v>
      </c>
      <c r="G87" t="s">
        <v>47</v>
      </c>
      <c r="H87">
        <v>21</v>
      </c>
      <c r="I87" s="1">
        <v>44043</v>
      </c>
      <c r="J87" s="10">
        <v>90570</v>
      </c>
      <c r="K87" s="10">
        <v>2614</v>
      </c>
      <c r="L87">
        <v>5</v>
      </c>
      <c r="M87" t="s">
        <v>36</v>
      </c>
      <c r="N87" t="s">
        <v>27</v>
      </c>
      <c r="O87" s="5" t="s">
        <v>29</v>
      </c>
      <c r="P87" t="s">
        <v>28</v>
      </c>
      <c r="Q87">
        <v>41</v>
      </c>
      <c r="R87">
        <v>13</v>
      </c>
      <c r="S87">
        <v>6</v>
      </c>
      <c r="T87" t="s">
        <v>30</v>
      </c>
      <c r="U87" t="str">
        <f>IF(AND(Employees_Data[[#This Row],[Age]]&gt;=20,Employees_Data[[#This Row],[Age]]&lt;=30),"Young",IF(AND(Employees_Data[[#This Row],[Age]]&gt;=31,Employees_Data[[#This Row],[Age]]&lt;=40),"Mid-Age",IF(Employees_Data[[#This Row],[Age]]&gt;=41,"Senior")))</f>
        <v>Senior</v>
      </c>
      <c r="V87" t="str">
        <f>IF(Employees_Data[[#This Row],[Salary]]&lt;=30000,"Low",IF(AND(Employees_Data[[#This Row],[Salary]]&gt;30000,Employees_Data[[#This Row],[Salary]]&lt;=60000),"Medium",IF(AND(Employees_Data[[#This Row],[Salary]]&gt;60000,Employees_Data[[#This Row],[Salary]]&lt;=90000),"High",IF(Employees_Data[[#This Row],[Salary]]&gt;90000,"Executive"))))</f>
        <v>Executive</v>
      </c>
      <c r="W8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87" s="14" t="str">
        <f>VLOOKUP(Employees_Data[[#This Row],[Department]],Departments!$A$2:$B$7,2,FALSE)</f>
        <v>D02</v>
      </c>
      <c r="Y87" s="14" t="str">
        <f>INDEX(Departments!$B$2:$B$7,MATCH(Employees_Data[[#This Row],[Department]],Departments!$A$2:$A$7,0))</f>
        <v>D02</v>
      </c>
      <c r="Z87" s="14" t="str">
        <f>INDEX(Salary_Bands!$C$2:$C$5,MATCH(Employees_Data[[#This Row],[Salary]],Salary_Bands!$A$2:$A$5,1))</f>
        <v>Executive</v>
      </c>
    </row>
    <row r="88" spans="1:26" hidden="1" x14ac:dyDescent="0.3">
      <c r="A88" t="s">
        <v>237</v>
      </c>
      <c r="B88" t="s">
        <v>238</v>
      </c>
      <c r="C88" t="s">
        <v>40</v>
      </c>
      <c r="D88" s="12">
        <v>48</v>
      </c>
      <c r="E88" t="s">
        <v>33</v>
      </c>
      <c r="F88" t="s">
        <v>46</v>
      </c>
      <c r="G88" t="s">
        <v>51</v>
      </c>
      <c r="H88">
        <v>25</v>
      </c>
      <c r="I88" s="1">
        <v>43572</v>
      </c>
      <c r="J88" s="10">
        <v>78088</v>
      </c>
      <c r="K88" s="10">
        <v>4887</v>
      </c>
      <c r="L88">
        <v>1</v>
      </c>
      <c r="M88" t="s">
        <v>36</v>
      </c>
      <c r="N88" t="s">
        <v>63</v>
      </c>
      <c r="O88" t="s">
        <v>28</v>
      </c>
      <c r="P88" t="s">
        <v>29</v>
      </c>
      <c r="Q88">
        <v>20</v>
      </c>
      <c r="R88">
        <v>13</v>
      </c>
      <c r="S88">
        <v>6</v>
      </c>
      <c r="T88" t="s">
        <v>30</v>
      </c>
      <c r="U88" t="str">
        <f>IF(AND(Employees_Data[[#This Row],[Age]]&gt;=20,Employees_Data[[#This Row],[Age]]&lt;=30),"Young",IF(AND(Employees_Data[[#This Row],[Age]]&gt;=31,Employees_Data[[#This Row],[Age]]&lt;=40),"Mid-Age",IF(Employees_Data[[#This Row],[Age]]&gt;=41,"Senior")))</f>
        <v>Senior</v>
      </c>
      <c r="V88" t="str">
        <f>IF(Employees_Data[[#This Row],[Salary]]&lt;=30000,"Low",IF(AND(Employees_Data[[#This Row],[Salary]]&gt;30000,Employees_Data[[#This Row],[Salary]]&lt;=60000),"Medium",IF(AND(Employees_Data[[#This Row],[Salary]]&gt;60000,Employees_Data[[#This Row],[Salary]]&lt;=90000),"High",IF(Employees_Data[[#This Row],[Salary]]&gt;90000,"Executive"))))</f>
        <v>High</v>
      </c>
      <c r="W8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88" s="14" t="str">
        <f>VLOOKUP(Employees_Data[[#This Row],[Department]],Departments!$A$2:$B$7,2,FALSE)</f>
        <v>D05</v>
      </c>
      <c r="Y88" s="14" t="str">
        <f>INDEX(Departments!$B$2:$B$7,MATCH(Employees_Data[[#This Row],[Department]],Departments!$A$2:$A$7,0))</f>
        <v>D05</v>
      </c>
      <c r="Z88" s="14" t="str">
        <f>INDEX(Salary_Bands!$C$2:$C$5,MATCH(Employees_Data[[#This Row],[Salary]],Salary_Bands!$A$2:$A$5,1))</f>
        <v>High</v>
      </c>
    </row>
    <row r="89" spans="1:26" hidden="1" x14ac:dyDescent="0.3">
      <c r="A89" t="s">
        <v>239</v>
      </c>
      <c r="B89" t="s">
        <v>240</v>
      </c>
      <c r="C89" t="s">
        <v>22</v>
      </c>
      <c r="D89" s="12">
        <v>55</v>
      </c>
      <c r="E89" t="s">
        <v>33</v>
      </c>
      <c r="F89" t="s">
        <v>46</v>
      </c>
      <c r="G89" t="s">
        <v>25</v>
      </c>
      <c r="H89">
        <v>34</v>
      </c>
      <c r="I89" s="1">
        <v>44722</v>
      </c>
      <c r="J89" s="10">
        <v>139101</v>
      </c>
      <c r="K89" s="10">
        <v>22749</v>
      </c>
      <c r="L89">
        <v>3</v>
      </c>
      <c r="M89" t="s">
        <v>26</v>
      </c>
      <c r="N89" t="s">
        <v>53</v>
      </c>
      <c r="O89" t="s">
        <v>28</v>
      </c>
      <c r="P89" t="s">
        <v>29</v>
      </c>
      <c r="Q89">
        <v>54</v>
      </c>
      <c r="R89">
        <v>11</v>
      </c>
      <c r="S89">
        <v>6</v>
      </c>
      <c r="T89" t="s">
        <v>30</v>
      </c>
      <c r="U89" t="str">
        <f>IF(AND(Employees_Data[[#This Row],[Age]]&gt;=20,Employees_Data[[#This Row],[Age]]&lt;=30),"Young",IF(AND(Employees_Data[[#This Row],[Age]]&gt;=31,Employees_Data[[#This Row],[Age]]&lt;=40),"Mid-Age",IF(Employees_Data[[#This Row],[Age]]&gt;=41,"Senior")))</f>
        <v>Senior</v>
      </c>
      <c r="V89" t="str">
        <f>IF(Employees_Data[[#This Row],[Salary]]&lt;=30000,"Low",IF(AND(Employees_Data[[#This Row],[Salary]]&gt;30000,Employees_Data[[#This Row],[Salary]]&lt;=60000),"Medium",IF(AND(Employees_Data[[#This Row],[Salary]]&gt;60000,Employees_Data[[#This Row],[Salary]]&lt;=90000),"High",IF(Employees_Data[[#This Row],[Salary]]&gt;90000,"Executive"))))</f>
        <v>Executive</v>
      </c>
      <c r="W8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89" s="14" t="str">
        <f>VLOOKUP(Employees_Data[[#This Row],[Department]],Departments!$A$2:$B$7,2,FALSE)</f>
        <v>D05</v>
      </c>
      <c r="Y89" s="14" t="str">
        <f>INDEX(Departments!$B$2:$B$7,MATCH(Employees_Data[[#This Row],[Department]],Departments!$A$2:$A$7,0))</f>
        <v>D05</v>
      </c>
      <c r="Z89" s="14" t="str">
        <f>INDEX(Salary_Bands!$C$2:$C$5,MATCH(Employees_Data[[#This Row],[Salary]],Salary_Bands!$A$2:$A$5,1))</f>
        <v>Executive</v>
      </c>
    </row>
    <row r="90" spans="1:26" hidden="1" x14ac:dyDescent="0.3">
      <c r="A90" t="s">
        <v>241</v>
      </c>
      <c r="B90" t="s">
        <v>242</v>
      </c>
      <c r="C90" t="s">
        <v>22</v>
      </c>
      <c r="D90" s="12">
        <v>31</v>
      </c>
      <c r="E90" t="s">
        <v>41</v>
      </c>
      <c r="F90" t="s">
        <v>69</v>
      </c>
      <c r="G90" t="s">
        <v>35</v>
      </c>
      <c r="H90">
        <v>9</v>
      </c>
      <c r="I90" s="1">
        <v>43522</v>
      </c>
      <c r="J90" s="10">
        <v>44194</v>
      </c>
      <c r="K90" s="10">
        <v>22576</v>
      </c>
      <c r="L90">
        <v>3</v>
      </c>
      <c r="M90" t="s">
        <v>36</v>
      </c>
      <c r="N90" t="s">
        <v>58</v>
      </c>
      <c r="O90" t="s">
        <v>28</v>
      </c>
      <c r="P90" t="s">
        <v>28</v>
      </c>
      <c r="Q90">
        <v>48</v>
      </c>
      <c r="R90">
        <v>18</v>
      </c>
      <c r="S90">
        <v>4</v>
      </c>
      <c r="T90" t="s">
        <v>43</v>
      </c>
      <c r="U90" t="str">
        <f>IF(AND(Employees_Data[[#This Row],[Age]]&gt;=20,Employees_Data[[#This Row],[Age]]&lt;=30),"Young",IF(AND(Employees_Data[[#This Row],[Age]]&gt;=31,Employees_Data[[#This Row],[Age]]&lt;=40),"Mid-Age",IF(Employees_Data[[#This Row],[Age]]&gt;=41,"Senior")))</f>
        <v>Mid-Age</v>
      </c>
      <c r="V90" t="str">
        <f>IF(Employees_Data[[#This Row],[Salary]]&lt;=30000,"Low",IF(AND(Employees_Data[[#This Row],[Salary]]&gt;30000,Employees_Data[[#This Row],[Salary]]&lt;=60000),"Medium",IF(AND(Employees_Data[[#This Row],[Salary]]&gt;60000,Employees_Data[[#This Row],[Salary]]&lt;=90000),"High",IF(Employees_Data[[#This Row],[Salary]]&gt;90000,"Executive"))))</f>
        <v>Medium</v>
      </c>
      <c r="W9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90" s="14" t="str">
        <f>VLOOKUP(Employees_Data[[#This Row],[Department]],Departments!$A$2:$B$7,2,FALSE)</f>
        <v>D03</v>
      </c>
      <c r="Y90" s="14" t="str">
        <f>INDEX(Departments!$B$2:$B$7,MATCH(Employees_Data[[#This Row],[Department]],Departments!$A$2:$A$7,0))</f>
        <v>D03</v>
      </c>
      <c r="Z90" s="14" t="str">
        <f>INDEX(Salary_Bands!$C$2:$C$5,MATCH(Employees_Data[[#This Row],[Salary]],Salary_Bands!$A$2:$A$5,1))</f>
        <v>Medium</v>
      </c>
    </row>
    <row r="91" spans="1:26" hidden="1" x14ac:dyDescent="0.3">
      <c r="A91" t="s">
        <v>243</v>
      </c>
      <c r="B91" t="s">
        <v>244</v>
      </c>
      <c r="C91" t="s">
        <v>40</v>
      </c>
      <c r="D91" s="12">
        <v>42</v>
      </c>
      <c r="E91" t="s">
        <v>23</v>
      </c>
      <c r="F91" t="s">
        <v>109</v>
      </c>
      <c r="G91" t="s">
        <v>25</v>
      </c>
      <c r="H91">
        <v>16</v>
      </c>
      <c r="I91" s="1">
        <v>44395</v>
      </c>
      <c r="J91" s="10">
        <v>44786</v>
      </c>
      <c r="K91" s="10">
        <v>3840</v>
      </c>
      <c r="L91">
        <v>4</v>
      </c>
      <c r="M91" t="s">
        <v>36</v>
      </c>
      <c r="N91" t="s">
        <v>53</v>
      </c>
      <c r="O91" t="s">
        <v>28</v>
      </c>
      <c r="P91" t="s">
        <v>29</v>
      </c>
      <c r="Q91">
        <v>24</v>
      </c>
      <c r="R91">
        <v>14</v>
      </c>
      <c r="S91">
        <v>2</v>
      </c>
      <c r="T91" t="s">
        <v>30</v>
      </c>
      <c r="U91" t="str">
        <f>IF(AND(Employees_Data[[#This Row],[Age]]&gt;=20,Employees_Data[[#This Row],[Age]]&lt;=30),"Young",IF(AND(Employees_Data[[#This Row],[Age]]&gt;=31,Employees_Data[[#This Row],[Age]]&lt;=40),"Mid-Age",IF(Employees_Data[[#This Row],[Age]]&gt;=41,"Senior")))</f>
        <v>Senior</v>
      </c>
      <c r="V91" t="str">
        <f>IF(Employees_Data[[#This Row],[Salary]]&lt;=30000,"Low",IF(AND(Employees_Data[[#This Row],[Salary]]&gt;30000,Employees_Data[[#This Row],[Salary]]&lt;=60000),"Medium",IF(AND(Employees_Data[[#This Row],[Salary]]&gt;60000,Employees_Data[[#This Row],[Salary]]&lt;=90000),"High",IF(Employees_Data[[#This Row],[Salary]]&gt;90000,"Executive"))))</f>
        <v>Medium</v>
      </c>
      <c r="W9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91" s="14" t="str">
        <f>VLOOKUP(Employees_Data[[#This Row],[Department]],Departments!$A$2:$B$7,2,FALSE)</f>
        <v>D06</v>
      </c>
      <c r="Y91" s="14" t="str">
        <f>INDEX(Departments!$B$2:$B$7,MATCH(Employees_Data[[#This Row],[Department]],Departments!$A$2:$A$7,0))</f>
        <v>D06</v>
      </c>
      <c r="Z91" s="14" t="str">
        <f>INDEX(Salary_Bands!$C$2:$C$5,MATCH(Employees_Data[[#This Row],[Salary]],Salary_Bands!$A$2:$A$5,1))</f>
        <v>Medium</v>
      </c>
    </row>
    <row r="92" spans="1:26" hidden="1" x14ac:dyDescent="0.3">
      <c r="A92" t="s">
        <v>245</v>
      </c>
      <c r="B92" t="s">
        <v>246</v>
      </c>
      <c r="C92" t="s">
        <v>22</v>
      </c>
      <c r="D92" s="12">
        <v>25</v>
      </c>
      <c r="E92" t="s">
        <v>87</v>
      </c>
      <c r="F92" t="s">
        <v>91</v>
      </c>
      <c r="G92" t="s">
        <v>47</v>
      </c>
      <c r="H92">
        <v>2</v>
      </c>
      <c r="I92" s="1">
        <v>44276</v>
      </c>
      <c r="J92" s="10">
        <v>35057</v>
      </c>
      <c r="K92" s="10">
        <v>20732</v>
      </c>
      <c r="L92">
        <v>1</v>
      </c>
      <c r="M92" t="s">
        <v>52</v>
      </c>
      <c r="N92" t="s">
        <v>76</v>
      </c>
      <c r="O92" t="s">
        <v>28</v>
      </c>
      <c r="P92" t="s">
        <v>28</v>
      </c>
      <c r="Q92">
        <v>43</v>
      </c>
      <c r="R92">
        <v>15</v>
      </c>
      <c r="S92">
        <v>10</v>
      </c>
      <c r="T92" t="s">
        <v>30</v>
      </c>
      <c r="U92" t="str">
        <f>IF(AND(Employees_Data[[#This Row],[Age]]&gt;=20,Employees_Data[[#This Row],[Age]]&lt;=30),"Young",IF(AND(Employees_Data[[#This Row],[Age]]&gt;=31,Employees_Data[[#This Row],[Age]]&lt;=40),"Mid-Age",IF(Employees_Data[[#This Row],[Age]]&gt;=41,"Senior")))</f>
        <v>Young</v>
      </c>
      <c r="V92" t="str">
        <f>IF(Employees_Data[[#This Row],[Salary]]&lt;=30000,"Low",IF(AND(Employees_Data[[#This Row],[Salary]]&gt;30000,Employees_Data[[#This Row],[Salary]]&lt;=60000),"Medium",IF(AND(Employees_Data[[#This Row],[Salary]]&gt;60000,Employees_Data[[#This Row],[Salary]]&lt;=90000),"High",IF(Employees_Data[[#This Row],[Salary]]&gt;90000,"Executive"))))</f>
        <v>Medium</v>
      </c>
      <c r="W9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92" s="14" t="str">
        <f>VLOOKUP(Employees_Data[[#This Row],[Department]],Departments!$A$2:$B$7,2,FALSE)</f>
        <v>D04</v>
      </c>
      <c r="Y92" s="14" t="str">
        <f>INDEX(Departments!$B$2:$B$7,MATCH(Employees_Data[[#This Row],[Department]],Departments!$A$2:$A$7,0))</f>
        <v>D04</v>
      </c>
      <c r="Z92" s="14" t="str">
        <f>INDEX(Salary_Bands!$C$2:$C$5,MATCH(Employees_Data[[#This Row],[Salary]],Salary_Bands!$A$2:$A$5,1))</f>
        <v>Medium</v>
      </c>
    </row>
    <row r="93" spans="1:26" hidden="1" x14ac:dyDescent="0.3">
      <c r="A93" t="s">
        <v>247</v>
      </c>
      <c r="B93" t="s">
        <v>248</v>
      </c>
      <c r="C93" t="s">
        <v>22</v>
      </c>
      <c r="D93" s="12">
        <v>25</v>
      </c>
      <c r="E93" t="s">
        <v>33</v>
      </c>
      <c r="F93" t="s">
        <v>118</v>
      </c>
      <c r="G93" t="s">
        <v>47</v>
      </c>
      <c r="H93">
        <v>1</v>
      </c>
      <c r="I93" s="1">
        <v>43524</v>
      </c>
      <c r="J93" s="10">
        <v>131295</v>
      </c>
      <c r="K93" s="10">
        <v>16398</v>
      </c>
      <c r="L93">
        <v>3</v>
      </c>
      <c r="M93" t="s">
        <v>52</v>
      </c>
      <c r="N93" t="s">
        <v>53</v>
      </c>
      <c r="O93" t="s">
        <v>28</v>
      </c>
      <c r="P93" t="s">
        <v>29</v>
      </c>
      <c r="Q93">
        <v>28</v>
      </c>
      <c r="R93">
        <v>11</v>
      </c>
      <c r="S93">
        <v>2</v>
      </c>
      <c r="T93" t="s">
        <v>43</v>
      </c>
      <c r="U93" t="str">
        <f>IF(AND(Employees_Data[[#This Row],[Age]]&gt;=20,Employees_Data[[#This Row],[Age]]&lt;=30),"Young",IF(AND(Employees_Data[[#This Row],[Age]]&gt;=31,Employees_Data[[#This Row],[Age]]&lt;=40),"Mid-Age",IF(Employees_Data[[#This Row],[Age]]&gt;=41,"Senior")))</f>
        <v>Young</v>
      </c>
      <c r="V93" t="str">
        <f>IF(Employees_Data[[#This Row],[Salary]]&lt;=30000,"Low",IF(AND(Employees_Data[[#This Row],[Salary]]&gt;30000,Employees_Data[[#This Row],[Salary]]&lt;=60000),"Medium",IF(AND(Employees_Data[[#This Row],[Salary]]&gt;60000,Employees_Data[[#This Row],[Salary]]&lt;=90000),"High",IF(Employees_Data[[#This Row],[Salary]]&gt;90000,"Executive"))))</f>
        <v>Executive</v>
      </c>
      <c r="W9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93" s="14" t="str">
        <f>VLOOKUP(Employees_Data[[#This Row],[Department]],Departments!$A$2:$B$7,2,FALSE)</f>
        <v>D05</v>
      </c>
      <c r="Y93" s="14" t="str">
        <f>INDEX(Departments!$B$2:$B$7,MATCH(Employees_Data[[#This Row],[Department]],Departments!$A$2:$A$7,0))</f>
        <v>D05</v>
      </c>
      <c r="Z93" s="14" t="str">
        <f>INDEX(Salary_Bands!$C$2:$C$5,MATCH(Employees_Data[[#This Row],[Salary]],Salary_Bands!$A$2:$A$5,1))</f>
        <v>Executive</v>
      </c>
    </row>
    <row r="94" spans="1:26" hidden="1" x14ac:dyDescent="0.3">
      <c r="A94" t="s">
        <v>249</v>
      </c>
      <c r="B94" t="s">
        <v>250</v>
      </c>
      <c r="C94" t="s">
        <v>40</v>
      </c>
      <c r="D94" s="12">
        <v>48</v>
      </c>
      <c r="E94" t="s">
        <v>41</v>
      </c>
      <c r="F94" t="s">
        <v>232</v>
      </c>
      <c r="G94" t="s">
        <v>51</v>
      </c>
      <c r="H94">
        <v>25</v>
      </c>
      <c r="I94" s="1">
        <v>45549</v>
      </c>
      <c r="J94" s="10">
        <v>31863</v>
      </c>
      <c r="K94" s="10">
        <v>10257</v>
      </c>
      <c r="L94">
        <v>3</v>
      </c>
      <c r="M94" t="s">
        <v>52</v>
      </c>
      <c r="N94" t="s">
        <v>63</v>
      </c>
      <c r="O94" t="s">
        <v>28</v>
      </c>
      <c r="P94" t="s">
        <v>29</v>
      </c>
      <c r="Q94">
        <v>26</v>
      </c>
      <c r="R94">
        <v>2</v>
      </c>
      <c r="S94">
        <v>2</v>
      </c>
      <c r="T94" t="s">
        <v>30</v>
      </c>
      <c r="U94" t="str">
        <f>IF(AND(Employees_Data[[#This Row],[Age]]&gt;=20,Employees_Data[[#This Row],[Age]]&lt;=30),"Young",IF(AND(Employees_Data[[#This Row],[Age]]&gt;=31,Employees_Data[[#This Row],[Age]]&lt;=40),"Mid-Age",IF(Employees_Data[[#This Row],[Age]]&gt;=41,"Senior")))</f>
        <v>Senior</v>
      </c>
      <c r="V94" t="str">
        <f>IF(Employees_Data[[#This Row],[Salary]]&lt;=30000,"Low",IF(AND(Employees_Data[[#This Row],[Salary]]&gt;30000,Employees_Data[[#This Row],[Salary]]&lt;=60000),"Medium",IF(AND(Employees_Data[[#This Row],[Salary]]&gt;60000,Employees_Data[[#This Row],[Salary]]&lt;=90000),"High",IF(Employees_Data[[#This Row],[Salary]]&gt;90000,"Executive"))))</f>
        <v>Medium</v>
      </c>
      <c r="W9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94" s="14" t="str">
        <f>VLOOKUP(Employees_Data[[#This Row],[Department]],Departments!$A$2:$B$7,2,FALSE)</f>
        <v>D03</v>
      </c>
      <c r="Y94" s="14" t="str">
        <f>INDEX(Departments!$B$2:$B$7,MATCH(Employees_Data[[#This Row],[Department]],Departments!$A$2:$A$7,0))</f>
        <v>D03</v>
      </c>
      <c r="Z94" s="14" t="str">
        <f>INDEX(Salary_Bands!$C$2:$C$5,MATCH(Employees_Data[[#This Row],[Salary]],Salary_Bands!$A$2:$A$5,1))</f>
        <v>Medium</v>
      </c>
    </row>
    <row r="95" spans="1:26" hidden="1" x14ac:dyDescent="0.3">
      <c r="A95" t="s">
        <v>251</v>
      </c>
      <c r="B95" t="s">
        <v>252</v>
      </c>
      <c r="C95" t="s">
        <v>40</v>
      </c>
      <c r="D95" s="12">
        <v>31</v>
      </c>
      <c r="E95" t="s">
        <v>33</v>
      </c>
      <c r="F95" t="s">
        <v>34</v>
      </c>
      <c r="G95" t="s">
        <v>25</v>
      </c>
      <c r="H95">
        <v>8</v>
      </c>
      <c r="I95" s="1">
        <v>44371</v>
      </c>
      <c r="J95" s="10">
        <v>110990</v>
      </c>
      <c r="K95" s="10">
        <v>14343</v>
      </c>
      <c r="L95">
        <v>4</v>
      </c>
      <c r="M95" t="s">
        <v>52</v>
      </c>
      <c r="N95" t="s">
        <v>63</v>
      </c>
      <c r="O95" t="s">
        <v>28</v>
      </c>
      <c r="P95" t="s">
        <v>28</v>
      </c>
      <c r="Q95">
        <v>57</v>
      </c>
      <c r="R95">
        <v>4</v>
      </c>
      <c r="S95">
        <v>3</v>
      </c>
      <c r="T95" t="s">
        <v>30</v>
      </c>
      <c r="U95" t="str">
        <f>IF(AND(Employees_Data[[#This Row],[Age]]&gt;=20,Employees_Data[[#This Row],[Age]]&lt;=30),"Young",IF(AND(Employees_Data[[#This Row],[Age]]&gt;=31,Employees_Data[[#This Row],[Age]]&lt;=40),"Mid-Age",IF(Employees_Data[[#This Row],[Age]]&gt;=41,"Senior")))</f>
        <v>Mid-Age</v>
      </c>
      <c r="V95" t="str">
        <f>IF(Employees_Data[[#This Row],[Salary]]&lt;=30000,"Low",IF(AND(Employees_Data[[#This Row],[Salary]]&gt;30000,Employees_Data[[#This Row],[Salary]]&lt;=60000),"Medium",IF(AND(Employees_Data[[#This Row],[Salary]]&gt;60000,Employees_Data[[#This Row],[Salary]]&lt;=90000),"High",IF(Employees_Data[[#This Row],[Salary]]&gt;90000,"Executive"))))</f>
        <v>Executive</v>
      </c>
      <c r="W9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95" s="14" t="str">
        <f>VLOOKUP(Employees_Data[[#This Row],[Department]],Departments!$A$2:$B$7,2,FALSE)</f>
        <v>D05</v>
      </c>
      <c r="Y95" s="14" t="str">
        <f>INDEX(Departments!$B$2:$B$7,MATCH(Employees_Data[[#This Row],[Department]],Departments!$A$2:$A$7,0))</f>
        <v>D05</v>
      </c>
      <c r="Z95" s="14" t="str">
        <f>INDEX(Salary_Bands!$C$2:$C$5,MATCH(Employees_Data[[#This Row],[Salary]],Salary_Bands!$A$2:$A$5,1))</f>
        <v>Executive</v>
      </c>
    </row>
    <row r="96" spans="1:26" hidden="1" x14ac:dyDescent="0.3">
      <c r="A96" t="s">
        <v>253</v>
      </c>
      <c r="B96" t="s">
        <v>254</v>
      </c>
      <c r="C96" t="s">
        <v>22</v>
      </c>
      <c r="D96" s="12">
        <v>55</v>
      </c>
      <c r="E96" t="s">
        <v>23</v>
      </c>
      <c r="F96" t="s">
        <v>109</v>
      </c>
      <c r="G96" t="s">
        <v>51</v>
      </c>
      <c r="H96">
        <v>34</v>
      </c>
      <c r="I96" s="1">
        <v>44835</v>
      </c>
      <c r="J96" s="10">
        <v>91648</v>
      </c>
      <c r="K96" s="10">
        <v>17934</v>
      </c>
      <c r="L96">
        <v>3</v>
      </c>
      <c r="M96" t="s">
        <v>26</v>
      </c>
      <c r="N96" t="s">
        <v>76</v>
      </c>
      <c r="O96" t="s">
        <v>28</v>
      </c>
      <c r="P96" t="s">
        <v>29</v>
      </c>
      <c r="Q96">
        <v>14</v>
      </c>
      <c r="R96">
        <v>2</v>
      </c>
      <c r="S96">
        <v>1</v>
      </c>
      <c r="T96" t="s">
        <v>43</v>
      </c>
      <c r="U96" t="str">
        <f>IF(AND(Employees_Data[[#This Row],[Age]]&gt;=20,Employees_Data[[#This Row],[Age]]&lt;=30),"Young",IF(AND(Employees_Data[[#This Row],[Age]]&gt;=31,Employees_Data[[#This Row],[Age]]&lt;=40),"Mid-Age",IF(Employees_Data[[#This Row],[Age]]&gt;=41,"Senior")))</f>
        <v>Senior</v>
      </c>
      <c r="V96" t="str">
        <f>IF(Employees_Data[[#This Row],[Salary]]&lt;=30000,"Low",IF(AND(Employees_Data[[#This Row],[Salary]]&gt;30000,Employees_Data[[#This Row],[Salary]]&lt;=60000),"Medium",IF(AND(Employees_Data[[#This Row],[Salary]]&gt;60000,Employees_Data[[#This Row],[Salary]]&lt;=90000),"High",IF(Employees_Data[[#This Row],[Salary]]&gt;90000,"Executive"))))</f>
        <v>Executive</v>
      </c>
      <c r="W9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96" s="14" t="str">
        <f>VLOOKUP(Employees_Data[[#This Row],[Department]],Departments!$A$2:$B$7,2,FALSE)</f>
        <v>D06</v>
      </c>
      <c r="Y96" s="14" t="str">
        <f>INDEX(Departments!$B$2:$B$7,MATCH(Employees_Data[[#This Row],[Department]],Departments!$A$2:$A$7,0))</f>
        <v>D06</v>
      </c>
      <c r="Z96" s="14" t="str">
        <f>INDEX(Salary_Bands!$C$2:$C$5,MATCH(Employees_Data[[#This Row],[Salary]],Salary_Bands!$A$2:$A$5,1))</f>
        <v>Executive</v>
      </c>
    </row>
    <row r="97" spans="1:26" x14ac:dyDescent="0.3">
      <c r="A97" t="s">
        <v>255</v>
      </c>
      <c r="B97" t="s">
        <v>256</v>
      </c>
      <c r="C97" t="s">
        <v>22</v>
      </c>
      <c r="D97" s="12">
        <v>54</v>
      </c>
      <c r="E97" t="s">
        <v>41</v>
      </c>
      <c r="F97" t="s">
        <v>42</v>
      </c>
      <c r="G97" t="s">
        <v>35</v>
      </c>
      <c r="H97">
        <v>29</v>
      </c>
      <c r="I97" s="1">
        <v>45257</v>
      </c>
      <c r="J97" s="10">
        <v>29947</v>
      </c>
      <c r="K97" s="10">
        <v>24703</v>
      </c>
      <c r="L97">
        <v>3</v>
      </c>
      <c r="M97" t="s">
        <v>52</v>
      </c>
      <c r="N97" t="s">
        <v>63</v>
      </c>
      <c r="O97" s="5" t="s">
        <v>29</v>
      </c>
      <c r="P97" t="s">
        <v>29</v>
      </c>
      <c r="Q97">
        <v>51</v>
      </c>
      <c r="R97">
        <v>14</v>
      </c>
      <c r="S97">
        <v>10</v>
      </c>
      <c r="T97" t="s">
        <v>30</v>
      </c>
      <c r="U97" t="str">
        <f>IF(AND(Employees_Data[[#This Row],[Age]]&gt;=20,Employees_Data[[#This Row],[Age]]&lt;=30),"Young",IF(AND(Employees_Data[[#This Row],[Age]]&gt;=31,Employees_Data[[#This Row],[Age]]&lt;=40),"Mid-Age",IF(Employees_Data[[#This Row],[Age]]&gt;=41,"Senior")))</f>
        <v>Senior</v>
      </c>
      <c r="V97" t="str">
        <f>IF(Employees_Data[[#This Row],[Salary]]&lt;=30000,"Low",IF(AND(Employees_Data[[#This Row],[Salary]]&gt;30000,Employees_Data[[#This Row],[Salary]]&lt;=60000),"Medium",IF(AND(Employees_Data[[#This Row],[Salary]]&gt;60000,Employees_Data[[#This Row],[Salary]]&lt;=90000),"High",IF(Employees_Data[[#This Row],[Salary]]&gt;90000,"Executive"))))</f>
        <v>Low</v>
      </c>
      <c r="W9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97" s="14" t="str">
        <f>VLOOKUP(Employees_Data[[#This Row],[Department]],Departments!$A$2:$B$7,2,FALSE)</f>
        <v>D03</v>
      </c>
      <c r="Y97" s="14" t="str">
        <f>INDEX(Departments!$B$2:$B$7,MATCH(Employees_Data[[#This Row],[Department]],Departments!$A$2:$A$7,0))</f>
        <v>D03</v>
      </c>
      <c r="Z97" s="14" t="str">
        <f>INDEX(Salary_Bands!$C$2:$C$5,MATCH(Employees_Data[[#This Row],[Salary]],Salary_Bands!$A$2:$A$5,1))</f>
        <v>Low</v>
      </c>
    </row>
    <row r="98" spans="1:26" hidden="1" x14ac:dyDescent="0.3">
      <c r="A98" t="s">
        <v>257</v>
      </c>
      <c r="B98" t="s">
        <v>258</v>
      </c>
      <c r="C98" t="s">
        <v>22</v>
      </c>
      <c r="D98" s="12">
        <v>45</v>
      </c>
      <c r="E98" t="s">
        <v>56</v>
      </c>
      <c r="F98" t="s">
        <v>125</v>
      </c>
      <c r="G98" t="s">
        <v>25</v>
      </c>
      <c r="H98">
        <v>19</v>
      </c>
      <c r="I98" s="1">
        <v>44073</v>
      </c>
      <c r="J98" s="10">
        <v>83222</v>
      </c>
      <c r="K98" s="10">
        <v>9837</v>
      </c>
      <c r="L98">
        <v>5</v>
      </c>
      <c r="M98" t="s">
        <v>36</v>
      </c>
      <c r="N98" t="s">
        <v>63</v>
      </c>
      <c r="O98" t="s">
        <v>28</v>
      </c>
      <c r="P98" t="s">
        <v>28</v>
      </c>
      <c r="Q98">
        <v>58</v>
      </c>
      <c r="R98">
        <v>6</v>
      </c>
      <c r="S98">
        <v>5</v>
      </c>
      <c r="T98" t="s">
        <v>30</v>
      </c>
      <c r="U98" t="str">
        <f>IF(AND(Employees_Data[[#This Row],[Age]]&gt;=20,Employees_Data[[#This Row],[Age]]&lt;=30),"Young",IF(AND(Employees_Data[[#This Row],[Age]]&gt;=31,Employees_Data[[#This Row],[Age]]&lt;=40),"Mid-Age",IF(Employees_Data[[#This Row],[Age]]&gt;=41,"Senior")))</f>
        <v>Senior</v>
      </c>
      <c r="V98" t="str">
        <f>IF(Employees_Data[[#This Row],[Salary]]&lt;=30000,"Low",IF(AND(Employees_Data[[#This Row],[Salary]]&gt;30000,Employees_Data[[#This Row],[Salary]]&lt;=60000),"Medium",IF(AND(Employees_Data[[#This Row],[Salary]]&gt;60000,Employees_Data[[#This Row],[Salary]]&lt;=90000),"High",IF(Employees_Data[[#This Row],[Salary]]&gt;90000,"Executive"))))</f>
        <v>High</v>
      </c>
      <c r="W9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98" s="14" t="str">
        <f>VLOOKUP(Employees_Data[[#This Row],[Department]],Departments!$A$2:$B$7,2,FALSE)</f>
        <v>D01</v>
      </c>
      <c r="Y98" s="14" t="str">
        <f>INDEX(Departments!$B$2:$B$7,MATCH(Employees_Data[[#This Row],[Department]],Departments!$A$2:$A$7,0))</f>
        <v>D01</v>
      </c>
      <c r="Z98" s="14" t="str">
        <f>INDEX(Salary_Bands!$C$2:$C$5,MATCH(Employees_Data[[#This Row],[Salary]],Salary_Bands!$A$2:$A$5,1))</f>
        <v>High</v>
      </c>
    </row>
    <row r="99" spans="1:26" hidden="1" x14ac:dyDescent="0.3">
      <c r="A99" t="s">
        <v>259</v>
      </c>
      <c r="B99" t="s">
        <v>260</v>
      </c>
      <c r="C99" t="s">
        <v>22</v>
      </c>
      <c r="D99" s="12">
        <v>50</v>
      </c>
      <c r="E99" t="s">
        <v>41</v>
      </c>
      <c r="F99" t="s">
        <v>69</v>
      </c>
      <c r="G99" t="s">
        <v>25</v>
      </c>
      <c r="H99">
        <v>26</v>
      </c>
      <c r="I99" s="1">
        <v>44255</v>
      </c>
      <c r="J99" s="10">
        <v>126990</v>
      </c>
      <c r="K99" s="10">
        <v>6535</v>
      </c>
      <c r="L99">
        <v>4</v>
      </c>
      <c r="M99" t="s">
        <v>36</v>
      </c>
      <c r="N99" t="s">
        <v>27</v>
      </c>
      <c r="O99" t="s">
        <v>28</v>
      </c>
      <c r="P99" t="s">
        <v>28</v>
      </c>
      <c r="Q99">
        <v>60</v>
      </c>
      <c r="R99">
        <v>11</v>
      </c>
      <c r="S99">
        <v>9</v>
      </c>
      <c r="T99" t="s">
        <v>30</v>
      </c>
      <c r="U99" t="str">
        <f>IF(AND(Employees_Data[[#This Row],[Age]]&gt;=20,Employees_Data[[#This Row],[Age]]&lt;=30),"Young",IF(AND(Employees_Data[[#This Row],[Age]]&gt;=31,Employees_Data[[#This Row],[Age]]&lt;=40),"Mid-Age",IF(Employees_Data[[#This Row],[Age]]&gt;=41,"Senior")))</f>
        <v>Senior</v>
      </c>
      <c r="V99" t="str">
        <f>IF(Employees_Data[[#This Row],[Salary]]&lt;=30000,"Low",IF(AND(Employees_Data[[#This Row],[Salary]]&gt;30000,Employees_Data[[#This Row],[Salary]]&lt;=60000),"Medium",IF(AND(Employees_Data[[#This Row],[Salary]]&gt;60000,Employees_Data[[#This Row],[Salary]]&lt;=90000),"High",IF(Employees_Data[[#This Row],[Salary]]&gt;90000,"Executive"))))</f>
        <v>Executive</v>
      </c>
      <c r="W9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99" s="14" t="str">
        <f>VLOOKUP(Employees_Data[[#This Row],[Department]],Departments!$A$2:$B$7,2,FALSE)</f>
        <v>D03</v>
      </c>
      <c r="Y99" s="14" t="str">
        <f>INDEX(Departments!$B$2:$B$7,MATCH(Employees_Data[[#This Row],[Department]],Departments!$A$2:$A$7,0))</f>
        <v>D03</v>
      </c>
      <c r="Z99" s="14" t="str">
        <f>INDEX(Salary_Bands!$C$2:$C$5,MATCH(Employees_Data[[#This Row],[Salary]],Salary_Bands!$A$2:$A$5,1))</f>
        <v>Executive</v>
      </c>
    </row>
    <row r="100" spans="1:26" hidden="1" x14ac:dyDescent="0.3">
      <c r="A100" t="s">
        <v>261</v>
      </c>
      <c r="B100" t="s">
        <v>262</v>
      </c>
      <c r="C100" t="s">
        <v>40</v>
      </c>
      <c r="D100" s="12">
        <v>55</v>
      </c>
      <c r="E100" t="s">
        <v>33</v>
      </c>
      <c r="F100" t="s">
        <v>118</v>
      </c>
      <c r="G100" t="s">
        <v>80</v>
      </c>
      <c r="H100">
        <v>34</v>
      </c>
      <c r="I100" s="1">
        <v>44268</v>
      </c>
      <c r="J100" s="10">
        <v>35993</v>
      </c>
      <c r="K100" s="10">
        <v>9275</v>
      </c>
      <c r="L100">
        <v>2</v>
      </c>
      <c r="M100" t="s">
        <v>36</v>
      </c>
      <c r="N100" t="s">
        <v>37</v>
      </c>
      <c r="O100" t="s">
        <v>28</v>
      </c>
      <c r="P100" t="s">
        <v>29</v>
      </c>
      <c r="Q100">
        <v>31</v>
      </c>
      <c r="R100">
        <v>1</v>
      </c>
      <c r="S100">
        <v>5</v>
      </c>
      <c r="T100" t="s">
        <v>30</v>
      </c>
      <c r="U100" t="str">
        <f>IF(AND(Employees_Data[[#This Row],[Age]]&gt;=20,Employees_Data[[#This Row],[Age]]&lt;=30),"Young",IF(AND(Employees_Data[[#This Row],[Age]]&gt;=31,Employees_Data[[#This Row],[Age]]&lt;=40),"Mid-Age",IF(Employees_Data[[#This Row],[Age]]&gt;=41,"Senior")))</f>
        <v>Senior</v>
      </c>
      <c r="V100" t="str">
        <f>IF(Employees_Data[[#This Row],[Salary]]&lt;=30000,"Low",IF(AND(Employees_Data[[#This Row],[Salary]]&gt;30000,Employees_Data[[#This Row],[Salary]]&lt;=60000),"Medium",IF(AND(Employees_Data[[#This Row],[Salary]]&gt;60000,Employees_Data[[#This Row],[Salary]]&lt;=90000),"High",IF(Employees_Data[[#This Row],[Salary]]&gt;90000,"Executive"))))</f>
        <v>Medium</v>
      </c>
      <c r="W10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00" s="14" t="str">
        <f>VLOOKUP(Employees_Data[[#This Row],[Department]],Departments!$A$2:$B$7,2,FALSE)</f>
        <v>D05</v>
      </c>
      <c r="Y100" s="14" t="str">
        <f>INDEX(Departments!$B$2:$B$7,MATCH(Employees_Data[[#This Row],[Department]],Departments!$A$2:$A$7,0))</f>
        <v>D05</v>
      </c>
      <c r="Z100" s="14" t="str">
        <f>INDEX(Salary_Bands!$C$2:$C$5,MATCH(Employees_Data[[#This Row],[Salary]],Salary_Bands!$A$2:$A$5,1))</f>
        <v>Medium</v>
      </c>
    </row>
    <row r="101" spans="1:26" x14ac:dyDescent="0.3">
      <c r="A101" t="s">
        <v>263</v>
      </c>
      <c r="B101" t="s">
        <v>264</v>
      </c>
      <c r="C101" t="s">
        <v>40</v>
      </c>
      <c r="D101" s="12">
        <v>45</v>
      </c>
      <c r="E101" t="s">
        <v>87</v>
      </c>
      <c r="F101" t="s">
        <v>88</v>
      </c>
      <c r="G101" t="s">
        <v>35</v>
      </c>
      <c r="H101">
        <v>23</v>
      </c>
      <c r="I101" s="1">
        <v>44682</v>
      </c>
      <c r="J101" s="10">
        <v>35696</v>
      </c>
      <c r="K101" s="10">
        <v>6508</v>
      </c>
      <c r="L101">
        <v>3</v>
      </c>
      <c r="M101" t="s">
        <v>26</v>
      </c>
      <c r="N101" t="s">
        <v>37</v>
      </c>
      <c r="O101" s="5" t="s">
        <v>29</v>
      </c>
      <c r="P101" t="s">
        <v>28</v>
      </c>
      <c r="Q101">
        <v>49</v>
      </c>
      <c r="R101">
        <v>4</v>
      </c>
      <c r="S101">
        <v>4</v>
      </c>
      <c r="T101" t="s">
        <v>30</v>
      </c>
      <c r="U101" t="str">
        <f>IF(AND(Employees_Data[[#This Row],[Age]]&gt;=20,Employees_Data[[#This Row],[Age]]&lt;=30),"Young",IF(AND(Employees_Data[[#This Row],[Age]]&gt;=31,Employees_Data[[#This Row],[Age]]&lt;=40),"Mid-Age",IF(Employees_Data[[#This Row],[Age]]&gt;=41,"Senior")))</f>
        <v>Senior</v>
      </c>
      <c r="V101" t="str">
        <f>IF(Employees_Data[[#This Row],[Salary]]&lt;=30000,"Low",IF(AND(Employees_Data[[#This Row],[Salary]]&gt;30000,Employees_Data[[#This Row],[Salary]]&lt;=60000),"Medium",IF(AND(Employees_Data[[#This Row],[Salary]]&gt;60000,Employees_Data[[#This Row],[Salary]]&lt;=90000),"High",IF(Employees_Data[[#This Row],[Salary]]&gt;90000,"Executive"))))</f>
        <v>Medium</v>
      </c>
      <c r="W10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01" s="14" t="str">
        <f>VLOOKUP(Employees_Data[[#This Row],[Department]],Departments!$A$2:$B$7,2,FALSE)</f>
        <v>D04</v>
      </c>
      <c r="Y101" s="14" t="str">
        <f>INDEX(Departments!$B$2:$B$7,MATCH(Employees_Data[[#This Row],[Department]],Departments!$A$2:$A$7,0))</f>
        <v>D04</v>
      </c>
      <c r="Z101" s="14" t="str">
        <f>INDEX(Salary_Bands!$C$2:$C$5,MATCH(Employees_Data[[#This Row],[Salary]],Salary_Bands!$A$2:$A$5,1))</f>
        <v>Medium</v>
      </c>
    </row>
    <row r="102" spans="1:26" hidden="1" x14ac:dyDescent="0.3">
      <c r="A102" t="s">
        <v>265</v>
      </c>
      <c r="B102" t="s">
        <v>266</v>
      </c>
      <c r="C102" t="s">
        <v>40</v>
      </c>
      <c r="D102" s="12">
        <v>50</v>
      </c>
      <c r="E102" t="s">
        <v>23</v>
      </c>
      <c r="F102" t="s">
        <v>100</v>
      </c>
      <c r="G102" t="s">
        <v>80</v>
      </c>
      <c r="H102">
        <v>25</v>
      </c>
      <c r="I102" s="1">
        <v>43122</v>
      </c>
      <c r="J102" s="10">
        <v>143732</v>
      </c>
      <c r="K102" s="10">
        <v>11440</v>
      </c>
      <c r="L102">
        <v>1</v>
      </c>
      <c r="M102" t="s">
        <v>26</v>
      </c>
      <c r="N102" t="s">
        <v>37</v>
      </c>
      <c r="O102" t="s">
        <v>28</v>
      </c>
      <c r="P102" t="s">
        <v>29</v>
      </c>
      <c r="Q102">
        <v>8</v>
      </c>
      <c r="R102">
        <v>7</v>
      </c>
      <c r="S102">
        <v>1</v>
      </c>
      <c r="T102" t="s">
        <v>30</v>
      </c>
      <c r="U102" t="str">
        <f>IF(AND(Employees_Data[[#This Row],[Age]]&gt;=20,Employees_Data[[#This Row],[Age]]&lt;=30),"Young",IF(AND(Employees_Data[[#This Row],[Age]]&gt;=31,Employees_Data[[#This Row],[Age]]&lt;=40),"Mid-Age",IF(Employees_Data[[#This Row],[Age]]&gt;=41,"Senior")))</f>
        <v>Senior</v>
      </c>
      <c r="V102" t="str">
        <f>IF(Employees_Data[[#This Row],[Salary]]&lt;=30000,"Low",IF(AND(Employees_Data[[#This Row],[Salary]]&gt;30000,Employees_Data[[#This Row],[Salary]]&lt;=60000),"Medium",IF(AND(Employees_Data[[#This Row],[Salary]]&gt;60000,Employees_Data[[#This Row],[Salary]]&lt;=90000),"High",IF(Employees_Data[[#This Row],[Salary]]&gt;90000,"Executive"))))</f>
        <v>Executive</v>
      </c>
      <c r="W10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02" s="14" t="str">
        <f>VLOOKUP(Employees_Data[[#This Row],[Department]],Departments!$A$2:$B$7,2,FALSE)</f>
        <v>D06</v>
      </c>
      <c r="Y102" s="14" t="str">
        <f>INDEX(Departments!$B$2:$B$7,MATCH(Employees_Data[[#This Row],[Department]],Departments!$A$2:$A$7,0))</f>
        <v>D06</v>
      </c>
      <c r="Z102" s="14" t="str">
        <f>INDEX(Salary_Bands!$C$2:$C$5,MATCH(Employees_Data[[#This Row],[Salary]],Salary_Bands!$A$2:$A$5,1))</f>
        <v>Executive</v>
      </c>
    </row>
    <row r="103" spans="1:26" hidden="1" x14ac:dyDescent="0.3">
      <c r="A103" t="s">
        <v>267</v>
      </c>
      <c r="B103" t="s">
        <v>268</v>
      </c>
      <c r="C103" t="s">
        <v>22</v>
      </c>
      <c r="D103" s="12">
        <v>51</v>
      </c>
      <c r="E103" t="s">
        <v>87</v>
      </c>
      <c r="F103" t="s">
        <v>88</v>
      </c>
      <c r="G103" t="s">
        <v>35</v>
      </c>
      <c r="H103">
        <v>30</v>
      </c>
      <c r="I103" s="1">
        <v>43555</v>
      </c>
      <c r="J103" s="10">
        <v>134666</v>
      </c>
      <c r="K103" s="10">
        <v>11544</v>
      </c>
      <c r="L103">
        <v>4</v>
      </c>
      <c r="M103" t="s">
        <v>36</v>
      </c>
      <c r="N103" t="s">
        <v>27</v>
      </c>
      <c r="O103" t="s">
        <v>28</v>
      </c>
      <c r="P103" t="s">
        <v>28</v>
      </c>
      <c r="Q103">
        <v>20</v>
      </c>
      <c r="R103">
        <v>18</v>
      </c>
      <c r="S103">
        <v>10</v>
      </c>
      <c r="T103" t="s">
        <v>30</v>
      </c>
      <c r="U103" t="str">
        <f>IF(AND(Employees_Data[[#This Row],[Age]]&gt;=20,Employees_Data[[#This Row],[Age]]&lt;=30),"Young",IF(AND(Employees_Data[[#This Row],[Age]]&gt;=31,Employees_Data[[#This Row],[Age]]&lt;=40),"Mid-Age",IF(Employees_Data[[#This Row],[Age]]&gt;=41,"Senior")))</f>
        <v>Senior</v>
      </c>
      <c r="V103" t="str">
        <f>IF(Employees_Data[[#This Row],[Salary]]&lt;=30000,"Low",IF(AND(Employees_Data[[#This Row],[Salary]]&gt;30000,Employees_Data[[#This Row],[Salary]]&lt;=60000),"Medium",IF(AND(Employees_Data[[#This Row],[Salary]]&gt;60000,Employees_Data[[#This Row],[Salary]]&lt;=90000),"High",IF(Employees_Data[[#This Row],[Salary]]&gt;90000,"Executive"))))</f>
        <v>Executive</v>
      </c>
      <c r="W10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03" s="14" t="str">
        <f>VLOOKUP(Employees_Data[[#This Row],[Department]],Departments!$A$2:$B$7,2,FALSE)</f>
        <v>D04</v>
      </c>
      <c r="Y103" s="14" t="str">
        <f>INDEX(Departments!$B$2:$B$7,MATCH(Employees_Data[[#This Row],[Department]],Departments!$A$2:$A$7,0))</f>
        <v>D04</v>
      </c>
      <c r="Z103" s="14" t="str">
        <f>INDEX(Salary_Bands!$C$2:$C$5,MATCH(Employees_Data[[#This Row],[Salary]],Salary_Bands!$A$2:$A$5,1))</f>
        <v>Executive</v>
      </c>
    </row>
    <row r="104" spans="1:26" hidden="1" x14ac:dyDescent="0.3">
      <c r="A104" t="s">
        <v>269</v>
      </c>
      <c r="B104" t="s">
        <v>270</v>
      </c>
      <c r="C104" t="s">
        <v>22</v>
      </c>
      <c r="D104" s="12">
        <v>27</v>
      </c>
      <c r="E104" t="s">
        <v>87</v>
      </c>
      <c r="F104" t="s">
        <v>91</v>
      </c>
      <c r="G104" t="s">
        <v>47</v>
      </c>
      <c r="H104">
        <v>2</v>
      </c>
      <c r="I104" s="1">
        <v>44578</v>
      </c>
      <c r="J104" s="10">
        <v>33870</v>
      </c>
      <c r="K104" s="10">
        <v>17405</v>
      </c>
      <c r="L104">
        <v>5</v>
      </c>
      <c r="M104" t="s">
        <v>26</v>
      </c>
      <c r="N104" t="s">
        <v>48</v>
      </c>
      <c r="O104" t="s">
        <v>28</v>
      </c>
      <c r="P104" t="s">
        <v>28</v>
      </c>
      <c r="Q104">
        <v>28</v>
      </c>
      <c r="R104">
        <v>8</v>
      </c>
      <c r="S104">
        <v>9</v>
      </c>
      <c r="T104" t="s">
        <v>30</v>
      </c>
      <c r="U104" t="str">
        <f>IF(AND(Employees_Data[[#This Row],[Age]]&gt;=20,Employees_Data[[#This Row],[Age]]&lt;=30),"Young",IF(AND(Employees_Data[[#This Row],[Age]]&gt;=31,Employees_Data[[#This Row],[Age]]&lt;=40),"Mid-Age",IF(Employees_Data[[#This Row],[Age]]&gt;=41,"Senior")))</f>
        <v>Young</v>
      </c>
      <c r="V104" t="str">
        <f>IF(Employees_Data[[#This Row],[Salary]]&lt;=30000,"Low",IF(AND(Employees_Data[[#This Row],[Salary]]&gt;30000,Employees_Data[[#This Row],[Salary]]&lt;=60000),"Medium",IF(AND(Employees_Data[[#This Row],[Salary]]&gt;60000,Employees_Data[[#This Row],[Salary]]&lt;=90000),"High",IF(Employees_Data[[#This Row],[Salary]]&gt;90000,"Executive"))))</f>
        <v>Medium</v>
      </c>
      <c r="W10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04" s="14" t="str">
        <f>VLOOKUP(Employees_Data[[#This Row],[Department]],Departments!$A$2:$B$7,2,FALSE)</f>
        <v>D04</v>
      </c>
      <c r="Y104" s="14" t="str">
        <f>INDEX(Departments!$B$2:$B$7,MATCH(Employees_Data[[#This Row],[Department]],Departments!$A$2:$A$7,0))</f>
        <v>D04</v>
      </c>
      <c r="Z104" s="14" t="str">
        <f>INDEX(Salary_Bands!$C$2:$C$5,MATCH(Employees_Data[[#This Row],[Salary]],Salary_Bands!$A$2:$A$5,1))</f>
        <v>Medium</v>
      </c>
    </row>
    <row r="105" spans="1:26" hidden="1" x14ac:dyDescent="0.3">
      <c r="A105" t="s">
        <v>271</v>
      </c>
      <c r="B105" t="s">
        <v>272</v>
      </c>
      <c r="C105" t="s">
        <v>22</v>
      </c>
      <c r="D105" s="12">
        <v>44</v>
      </c>
      <c r="E105" t="s">
        <v>23</v>
      </c>
      <c r="F105" t="s">
        <v>24</v>
      </c>
      <c r="G105" t="s">
        <v>51</v>
      </c>
      <c r="H105">
        <v>23</v>
      </c>
      <c r="I105" s="1">
        <v>44513</v>
      </c>
      <c r="J105" s="10">
        <v>56604</v>
      </c>
      <c r="K105" s="10">
        <v>19891</v>
      </c>
      <c r="L105">
        <v>1</v>
      </c>
      <c r="M105" t="s">
        <v>36</v>
      </c>
      <c r="N105" t="s">
        <v>63</v>
      </c>
      <c r="O105" t="s">
        <v>28</v>
      </c>
      <c r="P105" t="s">
        <v>29</v>
      </c>
      <c r="Q105">
        <v>58</v>
      </c>
      <c r="R105">
        <v>14</v>
      </c>
      <c r="S105">
        <v>10</v>
      </c>
      <c r="T105" t="s">
        <v>30</v>
      </c>
      <c r="U105" t="str">
        <f>IF(AND(Employees_Data[[#This Row],[Age]]&gt;=20,Employees_Data[[#This Row],[Age]]&lt;=30),"Young",IF(AND(Employees_Data[[#This Row],[Age]]&gt;=31,Employees_Data[[#This Row],[Age]]&lt;=40),"Mid-Age",IF(Employees_Data[[#This Row],[Age]]&gt;=41,"Senior")))</f>
        <v>Senior</v>
      </c>
      <c r="V105" t="str">
        <f>IF(Employees_Data[[#This Row],[Salary]]&lt;=30000,"Low",IF(AND(Employees_Data[[#This Row],[Salary]]&gt;30000,Employees_Data[[#This Row],[Salary]]&lt;=60000),"Medium",IF(AND(Employees_Data[[#This Row],[Salary]]&gt;60000,Employees_Data[[#This Row],[Salary]]&lt;=90000),"High",IF(Employees_Data[[#This Row],[Salary]]&gt;90000,"Executive"))))</f>
        <v>Medium</v>
      </c>
      <c r="W10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05" s="14" t="str">
        <f>VLOOKUP(Employees_Data[[#This Row],[Department]],Departments!$A$2:$B$7,2,FALSE)</f>
        <v>D06</v>
      </c>
      <c r="Y105" s="14" t="str">
        <f>INDEX(Departments!$B$2:$B$7,MATCH(Employees_Data[[#This Row],[Department]],Departments!$A$2:$A$7,0))</f>
        <v>D06</v>
      </c>
      <c r="Z105" s="14" t="str">
        <f>INDEX(Salary_Bands!$C$2:$C$5,MATCH(Employees_Data[[#This Row],[Salary]],Salary_Bands!$A$2:$A$5,1))</f>
        <v>Medium</v>
      </c>
    </row>
    <row r="106" spans="1:26" hidden="1" x14ac:dyDescent="0.3">
      <c r="A106" t="s">
        <v>273</v>
      </c>
      <c r="B106" t="s">
        <v>274</v>
      </c>
      <c r="C106" t="s">
        <v>22</v>
      </c>
      <c r="D106" s="12">
        <v>33</v>
      </c>
      <c r="E106" t="s">
        <v>23</v>
      </c>
      <c r="F106" t="s">
        <v>100</v>
      </c>
      <c r="G106" t="s">
        <v>80</v>
      </c>
      <c r="H106">
        <v>11</v>
      </c>
      <c r="I106" s="1">
        <v>43359</v>
      </c>
      <c r="J106" s="10">
        <v>118853</v>
      </c>
      <c r="K106" s="10">
        <v>12341</v>
      </c>
      <c r="L106">
        <v>4</v>
      </c>
      <c r="M106" t="s">
        <v>36</v>
      </c>
      <c r="N106" t="s">
        <v>53</v>
      </c>
      <c r="O106" t="s">
        <v>28</v>
      </c>
      <c r="P106" t="s">
        <v>28</v>
      </c>
      <c r="Q106">
        <v>57</v>
      </c>
      <c r="R106">
        <v>17</v>
      </c>
      <c r="S106">
        <v>1</v>
      </c>
      <c r="T106" t="s">
        <v>43</v>
      </c>
      <c r="U106" t="str">
        <f>IF(AND(Employees_Data[[#This Row],[Age]]&gt;=20,Employees_Data[[#This Row],[Age]]&lt;=30),"Young",IF(AND(Employees_Data[[#This Row],[Age]]&gt;=31,Employees_Data[[#This Row],[Age]]&lt;=40),"Mid-Age",IF(Employees_Data[[#This Row],[Age]]&gt;=41,"Senior")))</f>
        <v>Mid-Age</v>
      </c>
      <c r="V106" t="str">
        <f>IF(Employees_Data[[#This Row],[Salary]]&lt;=30000,"Low",IF(AND(Employees_Data[[#This Row],[Salary]]&gt;30000,Employees_Data[[#This Row],[Salary]]&lt;=60000),"Medium",IF(AND(Employees_Data[[#This Row],[Salary]]&gt;60000,Employees_Data[[#This Row],[Salary]]&lt;=90000),"High",IF(Employees_Data[[#This Row],[Salary]]&gt;90000,"Executive"))))</f>
        <v>Executive</v>
      </c>
      <c r="W10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06" s="14" t="str">
        <f>VLOOKUP(Employees_Data[[#This Row],[Department]],Departments!$A$2:$B$7,2,FALSE)</f>
        <v>D06</v>
      </c>
      <c r="Y106" s="14" t="str">
        <f>INDEX(Departments!$B$2:$B$7,MATCH(Employees_Data[[#This Row],[Department]],Departments!$A$2:$A$7,0))</f>
        <v>D06</v>
      </c>
      <c r="Z106" s="14" t="str">
        <f>INDEX(Salary_Bands!$C$2:$C$5,MATCH(Employees_Data[[#This Row],[Salary]],Salary_Bands!$A$2:$A$5,1))</f>
        <v>Executive</v>
      </c>
    </row>
    <row r="107" spans="1:26" hidden="1" x14ac:dyDescent="0.3">
      <c r="A107" t="s">
        <v>275</v>
      </c>
      <c r="B107" t="s">
        <v>276</v>
      </c>
      <c r="C107" t="s">
        <v>22</v>
      </c>
      <c r="D107" s="12">
        <v>24</v>
      </c>
      <c r="E107" t="s">
        <v>87</v>
      </c>
      <c r="F107" t="s">
        <v>220</v>
      </c>
      <c r="G107" t="s">
        <v>51</v>
      </c>
      <c r="H107">
        <v>0</v>
      </c>
      <c r="I107" s="1">
        <v>43883</v>
      </c>
      <c r="J107" s="10">
        <v>62501</v>
      </c>
      <c r="K107" s="10">
        <v>16318</v>
      </c>
      <c r="L107">
        <v>3</v>
      </c>
      <c r="M107" t="s">
        <v>36</v>
      </c>
      <c r="N107" t="s">
        <v>48</v>
      </c>
      <c r="O107" t="s">
        <v>28</v>
      </c>
      <c r="P107" t="s">
        <v>28</v>
      </c>
      <c r="Q107">
        <v>29</v>
      </c>
      <c r="R107">
        <v>10</v>
      </c>
      <c r="S107">
        <v>1</v>
      </c>
      <c r="T107" t="s">
        <v>30</v>
      </c>
      <c r="U107" t="str">
        <f>IF(AND(Employees_Data[[#This Row],[Age]]&gt;=20,Employees_Data[[#This Row],[Age]]&lt;=30),"Young",IF(AND(Employees_Data[[#This Row],[Age]]&gt;=31,Employees_Data[[#This Row],[Age]]&lt;=40),"Mid-Age",IF(Employees_Data[[#This Row],[Age]]&gt;=41,"Senior")))</f>
        <v>Young</v>
      </c>
      <c r="V107" t="str">
        <f>IF(Employees_Data[[#This Row],[Salary]]&lt;=30000,"Low",IF(AND(Employees_Data[[#This Row],[Salary]]&gt;30000,Employees_Data[[#This Row],[Salary]]&lt;=60000),"Medium",IF(AND(Employees_Data[[#This Row],[Salary]]&gt;60000,Employees_Data[[#This Row],[Salary]]&lt;=90000),"High",IF(Employees_Data[[#This Row],[Salary]]&gt;90000,"Executive"))))</f>
        <v>High</v>
      </c>
      <c r="W10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07" s="14" t="str">
        <f>VLOOKUP(Employees_Data[[#This Row],[Department]],Departments!$A$2:$B$7,2,FALSE)</f>
        <v>D04</v>
      </c>
      <c r="Y107" s="14" t="str">
        <f>INDEX(Departments!$B$2:$B$7,MATCH(Employees_Data[[#This Row],[Department]],Departments!$A$2:$A$7,0))</f>
        <v>D04</v>
      </c>
      <c r="Z107" s="14" t="str">
        <f>INDEX(Salary_Bands!$C$2:$C$5,MATCH(Employees_Data[[#This Row],[Salary]],Salary_Bands!$A$2:$A$5,1))</f>
        <v>High</v>
      </c>
    </row>
    <row r="108" spans="1:26" x14ac:dyDescent="0.3">
      <c r="A108" t="s">
        <v>277</v>
      </c>
      <c r="B108" t="s">
        <v>278</v>
      </c>
      <c r="C108" t="s">
        <v>22</v>
      </c>
      <c r="D108" s="12">
        <v>53</v>
      </c>
      <c r="E108" t="s">
        <v>61</v>
      </c>
      <c r="F108" t="s">
        <v>229</v>
      </c>
      <c r="G108" t="s">
        <v>25</v>
      </c>
      <c r="H108">
        <v>30</v>
      </c>
      <c r="I108" s="1">
        <v>45227</v>
      </c>
      <c r="J108" s="10">
        <v>59959</v>
      </c>
      <c r="K108" s="10">
        <v>11626</v>
      </c>
      <c r="L108">
        <v>1</v>
      </c>
      <c r="M108" t="s">
        <v>36</v>
      </c>
      <c r="N108" t="s">
        <v>27</v>
      </c>
      <c r="O108" s="5" t="s">
        <v>29</v>
      </c>
      <c r="P108" t="s">
        <v>29</v>
      </c>
      <c r="Q108">
        <v>25</v>
      </c>
      <c r="R108">
        <v>9</v>
      </c>
      <c r="S108">
        <v>7</v>
      </c>
      <c r="T108" t="s">
        <v>30</v>
      </c>
      <c r="U108" t="str">
        <f>IF(AND(Employees_Data[[#This Row],[Age]]&gt;=20,Employees_Data[[#This Row],[Age]]&lt;=30),"Young",IF(AND(Employees_Data[[#This Row],[Age]]&gt;=31,Employees_Data[[#This Row],[Age]]&lt;=40),"Mid-Age",IF(Employees_Data[[#This Row],[Age]]&gt;=41,"Senior")))</f>
        <v>Senior</v>
      </c>
      <c r="V108" t="str">
        <f>IF(Employees_Data[[#This Row],[Salary]]&lt;=30000,"Low",IF(AND(Employees_Data[[#This Row],[Salary]]&gt;30000,Employees_Data[[#This Row],[Salary]]&lt;=60000),"Medium",IF(AND(Employees_Data[[#This Row],[Salary]]&gt;60000,Employees_Data[[#This Row],[Salary]]&lt;=90000),"High",IF(Employees_Data[[#This Row],[Salary]]&gt;90000,"Executive"))))</f>
        <v>Medium</v>
      </c>
      <c r="W10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08" s="14" t="str">
        <f>VLOOKUP(Employees_Data[[#This Row],[Department]],Departments!$A$2:$B$7,2,FALSE)</f>
        <v>D02</v>
      </c>
      <c r="Y108" s="14" t="str">
        <f>INDEX(Departments!$B$2:$B$7,MATCH(Employees_Data[[#This Row],[Department]],Departments!$A$2:$A$7,0))</f>
        <v>D02</v>
      </c>
      <c r="Z108" s="14" t="str">
        <f>INDEX(Salary_Bands!$C$2:$C$5,MATCH(Employees_Data[[#This Row],[Salary]],Salary_Bands!$A$2:$A$5,1))</f>
        <v>Medium</v>
      </c>
    </row>
    <row r="109" spans="1:26" hidden="1" x14ac:dyDescent="0.3">
      <c r="A109" t="s">
        <v>279</v>
      </c>
      <c r="B109" t="s">
        <v>280</v>
      </c>
      <c r="C109" t="s">
        <v>40</v>
      </c>
      <c r="D109" s="12">
        <v>49</v>
      </c>
      <c r="E109" t="s">
        <v>41</v>
      </c>
      <c r="F109" t="s">
        <v>232</v>
      </c>
      <c r="G109" t="s">
        <v>51</v>
      </c>
      <c r="H109">
        <v>27</v>
      </c>
      <c r="I109" s="1">
        <v>44919</v>
      </c>
      <c r="J109" s="10">
        <v>71077</v>
      </c>
      <c r="K109" s="10">
        <v>22954</v>
      </c>
      <c r="L109">
        <v>4</v>
      </c>
      <c r="M109" t="s">
        <v>26</v>
      </c>
      <c r="N109" t="s">
        <v>27</v>
      </c>
      <c r="O109" t="s">
        <v>28</v>
      </c>
      <c r="P109" t="s">
        <v>28</v>
      </c>
      <c r="Q109">
        <v>28</v>
      </c>
      <c r="R109">
        <v>16</v>
      </c>
      <c r="S109">
        <v>1</v>
      </c>
      <c r="T109" t="s">
        <v>30</v>
      </c>
      <c r="U109" t="str">
        <f>IF(AND(Employees_Data[[#This Row],[Age]]&gt;=20,Employees_Data[[#This Row],[Age]]&lt;=30),"Young",IF(AND(Employees_Data[[#This Row],[Age]]&gt;=31,Employees_Data[[#This Row],[Age]]&lt;=40),"Mid-Age",IF(Employees_Data[[#This Row],[Age]]&gt;=41,"Senior")))</f>
        <v>Senior</v>
      </c>
      <c r="V109" t="str">
        <f>IF(Employees_Data[[#This Row],[Salary]]&lt;=30000,"Low",IF(AND(Employees_Data[[#This Row],[Salary]]&gt;30000,Employees_Data[[#This Row],[Salary]]&lt;=60000),"Medium",IF(AND(Employees_Data[[#This Row],[Salary]]&gt;60000,Employees_Data[[#This Row],[Salary]]&lt;=90000),"High",IF(Employees_Data[[#This Row],[Salary]]&gt;90000,"Executive"))))</f>
        <v>High</v>
      </c>
      <c r="W10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09" s="14" t="str">
        <f>VLOOKUP(Employees_Data[[#This Row],[Department]],Departments!$A$2:$B$7,2,FALSE)</f>
        <v>D03</v>
      </c>
      <c r="Y109" s="14" t="str">
        <f>INDEX(Departments!$B$2:$B$7,MATCH(Employees_Data[[#This Row],[Department]],Departments!$A$2:$A$7,0))</f>
        <v>D03</v>
      </c>
      <c r="Z109" s="14" t="str">
        <f>INDEX(Salary_Bands!$C$2:$C$5,MATCH(Employees_Data[[#This Row],[Salary]],Salary_Bands!$A$2:$A$5,1))</f>
        <v>High</v>
      </c>
    </row>
    <row r="110" spans="1:26" x14ac:dyDescent="0.3">
      <c r="A110" t="s">
        <v>281</v>
      </c>
      <c r="B110" t="s">
        <v>282</v>
      </c>
      <c r="C110" t="s">
        <v>40</v>
      </c>
      <c r="D110" s="12">
        <v>32</v>
      </c>
      <c r="E110" t="s">
        <v>23</v>
      </c>
      <c r="F110" t="s">
        <v>109</v>
      </c>
      <c r="G110" t="s">
        <v>51</v>
      </c>
      <c r="H110">
        <v>11</v>
      </c>
      <c r="I110" s="1">
        <v>43685</v>
      </c>
      <c r="J110" s="10">
        <v>136236</v>
      </c>
      <c r="K110" s="10">
        <v>14545</v>
      </c>
      <c r="L110">
        <v>5</v>
      </c>
      <c r="M110" t="s">
        <v>52</v>
      </c>
      <c r="N110" t="s">
        <v>27</v>
      </c>
      <c r="O110" s="5" t="s">
        <v>29</v>
      </c>
      <c r="P110" t="s">
        <v>29</v>
      </c>
      <c r="Q110">
        <v>48</v>
      </c>
      <c r="R110">
        <v>14</v>
      </c>
      <c r="S110">
        <v>8</v>
      </c>
      <c r="T110" t="s">
        <v>43</v>
      </c>
      <c r="U110" t="str">
        <f>IF(AND(Employees_Data[[#This Row],[Age]]&gt;=20,Employees_Data[[#This Row],[Age]]&lt;=30),"Young",IF(AND(Employees_Data[[#This Row],[Age]]&gt;=31,Employees_Data[[#This Row],[Age]]&lt;=40),"Mid-Age",IF(Employees_Data[[#This Row],[Age]]&gt;=41,"Senior")))</f>
        <v>Mid-Age</v>
      </c>
      <c r="V110" t="str">
        <f>IF(Employees_Data[[#This Row],[Salary]]&lt;=30000,"Low",IF(AND(Employees_Data[[#This Row],[Salary]]&gt;30000,Employees_Data[[#This Row],[Salary]]&lt;=60000),"Medium",IF(AND(Employees_Data[[#This Row],[Salary]]&gt;60000,Employees_Data[[#This Row],[Salary]]&lt;=90000),"High",IF(Employees_Data[[#This Row],[Salary]]&gt;90000,"Executive"))))</f>
        <v>Executive</v>
      </c>
      <c r="W11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10" s="14" t="str">
        <f>VLOOKUP(Employees_Data[[#This Row],[Department]],Departments!$A$2:$B$7,2,FALSE)</f>
        <v>D06</v>
      </c>
      <c r="Y110" s="14" t="str">
        <f>INDEX(Departments!$B$2:$B$7,MATCH(Employees_Data[[#This Row],[Department]],Departments!$A$2:$A$7,0))</f>
        <v>D06</v>
      </c>
      <c r="Z110" s="14" t="str">
        <f>INDEX(Salary_Bands!$C$2:$C$5,MATCH(Employees_Data[[#This Row],[Salary]],Salary_Bands!$A$2:$A$5,1))</f>
        <v>Executive</v>
      </c>
    </row>
    <row r="111" spans="1:26" hidden="1" x14ac:dyDescent="0.3">
      <c r="A111" t="s">
        <v>283</v>
      </c>
      <c r="B111" t="s">
        <v>284</v>
      </c>
      <c r="C111" t="s">
        <v>22</v>
      </c>
      <c r="D111" s="12">
        <v>50</v>
      </c>
      <c r="E111" t="s">
        <v>41</v>
      </c>
      <c r="F111" t="s">
        <v>232</v>
      </c>
      <c r="G111" t="s">
        <v>80</v>
      </c>
      <c r="H111">
        <v>29</v>
      </c>
      <c r="I111" s="1">
        <v>45451</v>
      </c>
      <c r="J111" s="10">
        <v>43047</v>
      </c>
      <c r="K111" s="10">
        <v>2849</v>
      </c>
      <c r="L111">
        <v>5</v>
      </c>
      <c r="M111" t="s">
        <v>52</v>
      </c>
      <c r="N111" t="s">
        <v>76</v>
      </c>
      <c r="O111" t="s">
        <v>28</v>
      </c>
      <c r="P111" t="s">
        <v>28</v>
      </c>
      <c r="Q111">
        <v>38</v>
      </c>
      <c r="R111">
        <v>12</v>
      </c>
      <c r="S111">
        <v>6</v>
      </c>
      <c r="T111" t="s">
        <v>30</v>
      </c>
      <c r="U111" t="str">
        <f>IF(AND(Employees_Data[[#This Row],[Age]]&gt;=20,Employees_Data[[#This Row],[Age]]&lt;=30),"Young",IF(AND(Employees_Data[[#This Row],[Age]]&gt;=31,Employees_Data[[#This Row],[Age]]&lt;=40),"Mid-Age",IF(Employees_Data[[#This Row],[Age]]&gt;=41,"Senior")))</f>
        <v>Senior</v>
      </c>
      <c r="V111" t="str">
        <f>IF(Employees_Data[[#This Row],[Salary]]&lt;=30000,"Low",IF(AND(Employees_Data[[#This Row],[Salary]]&gt;30000,Employees_Data[[#This Row],[Salary]]&lt;=60000),"Medium",IF(AND(Employees_Data[[#This Row],[Salary]]&gt;60000,Employees_Data[[#This Row],[Salary]]&lt;=90000),"High",IF(Employees_Data[[#This Row],[Salary]]&gt;90000,"Executive"))))</f>
        <v>Medium</v>
      </c>
      <c r="W11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11" s="14" t="str">
        <f>VLOOKUP(Employees_Data[[#This Row],[Department]],Departments!$A$2:$B$7,2,FALSE)</f>
        <v>D03</v>
      </c>
      <c r="Y111" s="14" t="str">
        <f>INDEX(Departments!$B$2:$B$7,MATCH(Employees_Data[[#This Row],[Department]],Departments!$A$2:$A$7,0))</f>
        <v>D03</v>
      </c>
      <c r="Z111" s="14" t="str">
        <f>INDEX(Salary_Bands!$C$2:$C$5,MATCH(Employees_Data[[#This Row],[Salary]],Salary_Bands!$A$2:$A$5,1))</f>
        <v>Medium</v>
      </c>
    </row>
    <row r="112" spans="1:26" hidden="1" x14ac:dyDescent="0.3">
      <c r="A112" t="s">
        <v>285</v>
      </c>
      <c r="B112" t="s">
        <v>286</v>
      </c>
      <c r="C112" t="s">
        <v>22</v>
      </c>
      <c r="D112" s="12">
        <v>38</v>
      </c>
      <c r="E112" t="s">
        <v>33</v>
      </c>
      <c r="F112" t="s">
        <v>118</v>
      </c>
      <c r="G112" t="s">
        <v>80</v>
      </c>
      <c r="H112">
        <v>15</v>
      </c>
      <c r="I112" s="1">
        <v>44928</v>
      </c>
      <c r="J112" s="10">
        <v>53124</v>
      </c>
      <c r="K112" s="10">
        <v>6447</v>
      </c>
      <c r="L112">
        <v>5</v>
      </c>
      <c r="M112" t="s">
        <v>26</v>
      </c>
      <c r="N112" t="s">
        <v>58</v>
      </c>
      <c r="O112" t="s">
        <v>28</v>
      </c>
      <c r="P112" t="s">
        <v>29</v>
      </c>
      <c r="Q112">
        <v>50</v>
      </c>
      <c r="R112">
        <v>14</v>
      </c>
      <c r="S112">
        <v>5</v>
      </c>
      <c r="T112" t="s">
        <v>30</v>
      </c>
      <c r="U112" t="str">
        <f>IF(AND(Employees_Data[[#This Row],[Age]]&gt;=20,Employees_Data[[#This Row],[Age]]&lt;=30),"Young",IF(AND(Employees_Data[[#This Row],[Age]]&gt;=31,Employees_Data[[#This Row],[Age]]&lt;=40),"Mid-Age",IF(Employees_Data[[#This Row],[Age]]&gt;=41,"Senior")))</f>
        <v>Mid-Age</v>
      </c>
      <c r="V112" t="str">
        <f>IF(Employees_Data[[#This Row],[Salary]]&lt;=30000,"Low",IF(AND(Employees_Data[[#This Row],[Salary]]&gt;30000,Employees_Data[[#This Row],[Salary]]&lt;=60000),"Medium",IF(AND(Employees_Data[[#This Row],[Salary]]&gt;60000,Employees_Data[[#This Row],[Salary]]&lt;=90000),"High",IF(Employees_Data[[#This Row],[Salary]]&gt;90000,"Executive"))))</f>
        <v>Medium</v>
      </c>
      <c r="W11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12" s="14" t="str">
        <f>VLOOKUP(Employees_Data[[#This Row],[Department]],Departments!$A$2:$B$7,2,FALSE)</f>
        <v>D05</v>
      </c>
      <c r="Y112" s="14" t="str">
        <f>INDEX(Departments!$B$2:$B$7,MATCH(Employees_Data[[#This Row],[Department]],Departments!$A$2:$A$7,0))</f>
        <v>D05</v>
      </c>
      <c r="Z112" s="14" t="str">
        <f>INDEX(Salary_Bands!$C$2:$C$5,MATCH(Employees_Data[[#This Row],[Salary]],Salary_Bands!$A$2:$A$5,1))</f>
        <v>Medium</v>
      </c>
    </row>
    <row r="113" spans="1:26" hidden="1" x14ac:dyDescent="0.3">
      <c r="A113" t="s">
        <v>287</v>
      </c>
      <c r="B113" t="s">
        <v>288</v>
      </c>
      <c r="C113" t="s">
        <v>22</v>
      </c>
      <c r="D113" s="12">
        <v>42</v>
      </c>
      <c r="E113" t="s">
        <v>56</v>
      </c>
      <c r="F113" t="s">
        <v>79</v>
      </c>
      <c r="G113" t="s">
        <v>35</v>
      </c>
      <c r="H113">
        <v>16</v>
      </c>
      <c r="I113" s="1">
        <v>44524</v>
      </c>
      <c r="J113" s="10">
        <v>118000</v>
      </c>
      <c r="K113" s="10">
        <v>13845</v>
      </c>
      <c r="L113">
        <v>1</v>
      </c>
      <c r="M113" t="s">
        <v>52</v>
      </c>
      <c r="N113" t="s">
        <v>76</v>
      </c>
      <c r="O113" t="s">
        <v>28</v>
      </c>
      <c r="P113" t="s">
        <v>29</v>
      </c>
      <c r="Q113">
        <v>17</v>
      </c>
      <c r="R113">
        <v>4</v>
      </c>
      <c r="S113">
        <v>9</v>
      </c>
      <c r="T113" t="s">
        <v>30</v>
      </c>
      <c r="U113" t="str">
        <f>IF(AND(Employees_Data[[#This Row],[Age]]&gt;=20,Employees_Data[[#This Row],[Age]]&lt;=30),"Young",IF(AND(Employees_Data[[#This Row],[Age]]&gt;=31,Employees_Data[[#This Row],[Age]]&lt;=40),"Mid-Age",IF(Employees_Data[[#This Row],[Age]]&gt;=41,"Senior")))</f>
        <v>Senior</v>
      </c>
      <c r="V113" t="str">
        <f>IF(Employees_Data[[#This Row],[Salary]]&lt;=30000,"Low",IF(AND(Employees_Data[[#This Row],[Salary]]&gt;30000,Employees_Data[[#This Row],[Salary]]&lt;=60000),"Medium",IF(AND(Employees_Data[[#This Row],[Salary]]&gt;60000,Employees_Data[[#This Row],[Salary]]&lt;=90000),"High",IF(Employees_Data[[#This Row],[Salary]]&gt;90000,"Executive"))))</f>
        <v>Executive</v>
      </c>
      <c r="W11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13" s="14" t="str">
        <f>VLOOKUP(Employees_Data[[#This Row],[Department]],Departments!$A$2:$B$7,2,FALSE)</f>
        <v>D01</v>
      </c>
      <c r="Y113" s="14" t="str">
        <f>INDEX(Departments!$B$2:$B$7,MATCH(Employees_Data[[#This Row],[Department]],Departments!$A$2:$A$7,0))</f>
        <v>D01</v>
      </c>
      <c r="Z113" s="14" t="str">
        <f>INDEX(Salary_Bands!$C$2:$C$5,MATCH(Employees_Data[[#This Row],[Salary]],Salary_Bands!$A$2:$A$5,1))</f>
        <v>Executive</v>
      </c>
    </row>
    <row r="114" spans="1:26" hidden="1" x14ac:dyDescent="0.3">
      <c r="A114" t="s">
        <v>289</v>
      </c>
      <c r="B114" t="s">
        <v>290</v>
      </c>
      <c r="C114" t="s">
        <v>22</v>
      </c>
      <c r="D114" s="12">
        <v>23</v>
      </c>
      <c r="E114" t="s">
        <v>61</v>
      </c>
      <c r="F114" t="s">
        <v>229</v>
      </c>
      <c r="G114" t="s">
        <v>80</v>
      </c>
      <c r="H114">
        <v>0</v>
      </c>
      <c r="I114" s="1">
        <v>45370</v>
      </c>
      <c r="J114" s="10">
        <v>100009</v>
      </c>
      <c r="K114" s="10">
        <v>12134</v>
      </c>
      <c r="L114">
        <v>3</v>
      </c>
      <c r="M114" t="s">
        <v>36</v>
      </c>
      <c r="N114" t="s">
        <v>48</v>
      </c>
      <c r="O114" t="s">
        <v>28</v>
      </c>
      <c r="P114" t="s">
        <v>28</v>
      </c>
      <c r="Q114">
        <v>38</v>
      </c>
      <c r="R114">
        <v>13</v>
      </c>
      <c r="S114">
        <v>8</v>
      </c>
      <c r="T114" t="s">
        <v>30</v>
      </c>
      <c r="U114" t="str">
        <f>IF(AND(Employees_Data[[#This Row],[Age]]&gt;=20,Employees_Data[[#This Row],[Age]]&lt;=30),"Young",IF(AND(Employees_Data[[#This Row],[Age]]&gt;=31,Employees_Data[[#This Row],[Age]]&lt;=40),"Mid-Age",IF(Employees_Data[[#This Row],[Age]]&gt;=41,"Senior")))</f>
        <v>Young</v>
      </c>
      <c r="V114" t="str">
        <f>IF(Employees_Data[[#This Row],[Salary]]&lt;=30000,"Low",IF(AND(Employees_Data[[#This Row],[Salary]]&gt;30000,Employees_Data[[#This Row],[Salary]]&lt;=60000),"Medium",IF(AND(Employees_Data[[#This Row],[Salary]]&gt;60000,Employees_Data[[#This Row],[Salary]]&lt;=90000),"High",IF(Employees_Data[[#This Row],[Salary]]&gt;90000,"Executive"))))</f>
        <v>Executive</v>
      </c>
      <c r="W11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14" s="14" t="str">
        <f>VLOOKUP(Employees_Data[[#This Row],[Department]],Departments!$A$2:$B$7,2,FALSE)</f>
        <v>D02</v>
      </c>
      <c r="Y114" s="14" t="str">
        <f>INDEX(Departments!$B$2:$B$7,MATCH(Employees_Data[[#This Row],[Department]],Departments!$A$2:$A$7,0))</f>
        <v>D02</v>
      </c>
      <c r="Z114" s="14" t="str">
        <f>INDEX(Salary_Bands!$C$2:$C$5,MATCH(Employees_Data[[#This Row],[Salary]],Salary_Bands!$A$2:$A$5,1))</f>
        <v>Executive</v>
      </c>
    </row>
    <row r="115" spans="1:26" hidden="1" x14ac:dyDescent="0.3">
      <c r="A115" t="s">
        <v>291</v>
      </c>
      <c r="B115" t="s">
        <v>292</v>
      </c>
      <c r="C115" t="s">
        <v>22</v>
      </c>
      <c r="D115" s="12">
        <v>26</v>
      </c>
      <c r="E115" t="s">
        <v>87</v>
      </c>
      <c r="F115" t="s">
        <v>88</v>
      </c>
      <c r="G115" t="s">
        <v>25</v>
      </c>
      <c r="H115">
        <v>4</v>
      </c>
      <c r="I115" s="1">
        <v>44399</v>
      </c>
      <c r="J115" s="10">
        <v>109192</v>
      </c>
      <c r="K115" s="10">
        <v>22964</v>
      </c>
      <c r="L115">
        <v>1</v>
      </c>
      <c r="M115" t="s">
        <v>52</v>
      </c>
      <c r="N115" t="s">
        <v>76</v>
      </c>
      <c r="O115" t="s">
        <v>28</v>
      </c>
      <c r="P115" t="s">
        <v>29</v>
      </c>
      <c r="Q115">
        <v>32</v>
      </c>
      <c r="R115">
        <v>16</v>
      </c>
      <c r="S115">
        <v>8</v>
      </c>
      <c r="T115" t="s">
        <v>30</v>
      </c>
      <c r="U115" t="str">
        <f>IF(AND(Employees_Data[[#This Row],[Age]]&gt;=20,Employees_Data[[#This Row],[Age]]&lt;=30),"Young",IF(AND(Employees_Data[[#This Row],[Age]]&gt;=31,Employees_Data[[#This Row],[Age]]&lt;=40),"Mid-Age",IF(Employees_Data[[#This Row],[Age]]&gt;=41,"Senior")))</f>
        <v>Young</v>
      </c>
      <c r="V115" t="str">
        <f>IF(Employees_Data[[#This Row],[Salary]]&lt;=30000,"Low",IF(AND(Employees_Data[[#This Row],[Salary]]&gt;30000,Employees_Data[[#This Row],[Salary]]&lt;=60000),"Medium",IF(AND(Employees_Data[[#This Row],[Salary]]&gt;60000,Employees_Data[[#This Row],[Salary]]&lt;=90000),"High",IF(Employees_Data[[#This Row],[Salary]]&gt;90000,"Executive"))))</f>
        <v>Executive</v>
      </c>
      <c r="W11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115" s="14" t="str">
        <f>VLOOKUP(Employees_Data[[#This Row],[Department]],Departments!$A$2:$B$7,2,FALSE)</f>
        <v>D04</v>
      </c>
      <c r="Y115" s="14" t="str">
        <f>INDEX(Departments!$B$2:$B$7,MATCH(Employees_Data[[#This Row],[Department]],Departments!$A$2:$A$7,0))</f>
        <v>D04</v>
      </c>
      <c r="Z115" s="14" t="str">
        <f>INDEX(Salary_Bands!$C$2:$C$5,MATCH(Employees_Data[[#This Row],[Salary]],Salary_Bands!$A$2:$A$5,1))</f>
        <v>Executive</v>
      </c>
    </row>
    <row r="116" spans="1:26" hidden="1" x14ac:dyDescent="0.3">
      <c r="A116" t="s">
        <v>293</v>
      </c>
      <c r="B116" t="s">
        <v>294</v>
      </c>
      <c r="C116" t="s">
        <v>40</v>
      </c>
      <c r="D116" s="12">
        <v>55</v>
      </c>
      <c r="E116" t="s">
        <v>56</v>
      </c>
      <c r="F116" t="s">
        <v>57</v>
      </c>
      <c r="G116" t="s">
        <v>80</v>
      </c>
      <c r="H116">
        <v>33</v>
      </c>
      <c r="I116" s="1">
        <v>44346</v>
      </c>
      <c r="J116" s="10">
        <v>46581</v>
      </c>
      <c r="K116" s="10">
        <v>10211</v>
      </c>
      <c r="L116">
        <v>2</v>
      </c>
      <c r="M116" t="s">
        <v>26</v>
      </c>
      <c r="N116" t="s">
        <v>48</v>
      </c>
      <c r="O116" t="s">
        <v>28</v>
      </c>
      <c r="P116" t="s">
        <v>28</v>
      </c>
      <c r="Q116">
        <v>13</v>
      </c>
      <c r="R116">
        <v>20</v>
      </c>
      <c r="S116">
        <v>6</v>
      </c>
      <c r="T116" t="s">
        <v>30</v>
      </c>
      <c r="U116" t="str">
        <f>IF(AND(Employees_Data[[#This Row],[Age]]&gt;=20,Employees_Data[[#This Row],[Age]]&lt;=30),"Young",IF(AND(Employees_Data[[#This Row],[Age]]&gt;=31,Employees_Data[[#This Row],[Age]]&lt;=40),"Mid-Age",IF(Employees_Data[[#This Row],[Age]]&gt;=41,"Senior")))</f>
        <v>Senior</v>
      </c>
      <c r="V116" t="str">
        <f>IF(Employees_Data[[#This Row],[Salary]]&lt;=30000,"Low",IF(AND(Employees_Data[[#This Row],[Salary]]&gt;30000,Employees_Data[[#This Row],[Salary]]&lt;=60000),"Medium",IF(AND(Employees_Data[[#This Row],[Salary]]&gt;60000,Employees_Data[[#This Row],[Salary]]&lt;=90000),"High",IF(Employees_Data[[#This Row],[Salary]]&gt;90000,"Executive"))))</f>
        <v>Medium</v>
      </c>
      <c r="W11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16" s="14" t="str">
        <f>VLOOKUP(Employees_Data[[#This Row],[Department]],Departments!$A$2:$B$7,2,FALSE)</f>
        <v>D01</v>
      </c>
      <c r="Y116" s="14" t="str">
        <f>INDEX(Departments!$B$2:$B$7,MATCH(Employees_Data[[#This Row],[Department]],Departments!$A$2:$A$7,0))</f>
        <v>D01</v>
      </c>
      <c r="Z116" s="14" t="str">
        <f>INDEX(Salary_Bands!$C$2:$C$5,MATCH(Employees_Data[[#This Row],[Salary]],Salary_Bands!$A$2:$A$5,1))</f>
        <v>Medium</v>
      </c>
    </row>
    <row r="117" spans="1:26" hidden="1" x14ac:dyDescent="0.3">
      <c r="A117" t="s">
        <v>295</v>
      </c>
      <c r="B117" t="s">
        <v>296</v>
      </c>
      <c r="C117" t="s">
        <v>40</v>
      </c>
      <c r="D117" s="12">
        <v>27</v>
      </c>
      <c r="E117" t="s">
        <v>41</v>
      </c>
      <c r="F117" t="s">
        <v>69</v>
      </c>
      <c r="G117" t="s">
        <v>25</v>
      </c>
      <c r="H117">
        <v>2</v>
      </c>
      <c r="I117" s="1">
        <v>43791</v>
      </c>
      <c r="J117" s="10">
        <v>102569</v>
      </c>
      <c r="K117" s="10">
        <v>3349</v>
      </c>
      <c r="L117">
        <v>5</v>
      </c>
      <c r="M117" t="s">
        <v>26</v>
      </c>
      <c r="N117" t="s">
        <v>27</v>
      </c>
      <c r="O117" t="s">
        <v>28</v>
      </c>
      <c r="P117" t="s">
        <v>29</v>
      </c>
      <c r="Q117">
        <v>46</v>
      </c>
      <c r="R117">
        <v>18</v>
      </c>
      <c r="S117">
        <v>3</v>
      </c>
      <c r="T117" t="s">
        <v>30</v>
      </c>
      <c r="U117" t="str">
        <f>IF(AND(Employees_Data[[#This Row],[Age]]&gt;=20,Employees_Data[[#This Row],[Age]]&lt;=30),"Young",IF(AND(Employees_Data[[#This Row],[Age]]&gt;=31,Employees_Data[[#This Row],[Age]]&lt;=40),"Mid-Age",IF(Employees_Data[[#This Row],[Age]]&gt;=41,"Senior")))</f>
        <v>Young</v>
      </c>
      <c r="V117" t="str">
        <f>IF(Employees_Data[[#This Row],[Salary]]&lt;=30000,"Low",IF(AND(Employees_Data[[#This Row],[Salary]]&gt;30000,Employees_Data[[#This Row],[Salary]]&lt;=60000),"Medium",IF(AND(Employees_Data[[#This Row],[Salary]]&gt;60000,Employees_Data[[#This Row],[Salary]]&lt;=90000),"High",IF(Employees_Data[[#This Row],[Salary]]&gt;90000,"Executive"))))</f>
        <v>Executive</v>
      </c>
      <c r="W11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17" s="14" t="str">
        <f>VLOOKUP(Employees_Data[[#This Row],[Department]],Departments!$A$2:$B$7,2,FALSE)</f>
        <v>D03</v>
      </c>
      <c r="Y117" s="14" t="str">
        <f>INDEX(Departments!$B$2:$B$7,MATCH(Employees_Data[[#This Row],[Department]],Departments!$A$2:$A$7,0))</f>
        <v>D03</v>
      </c>
      <c r="Z117" s="14" t="str">
        <f>INDEX(Salary_Bands!$C$2:$C$5,MATCH(Employees_Data[[#This Row],[Salary]],Salary_Bands!$A$2:$A$5,1))</f>
        <v>Executive</v>
      </c>
    </row>
    <row r="118" spans="1:26" hidden="1" x14ac:dyDescent="0.3">
      <c r="A118" t="s">
        <v>297</v>
      </c>
      <c r="B118" t="s">
        <v>298</v>
      </c>
      <c r="C118" t="s">
        <v>40</v>
      </c>
      <c r="D118" s="12">
        <v>35</v>
      </c>
      <c r="E118" t="s">
        <v>41</v>
      </c>
      <c r="F118" t="s">
        <v>69</v>
      </c>
      <c r="G118" t="s">
        <v>47</v>
      </c>
      <c r="H118">
        <v>10</v>
      </c>
      <c r="I118" s="1">
        <v>44807</v>
      </c>
      <c r="J118" s="10">
        <v>106016</v>
      </c>
      <c r="K118" s="10">
        <v>10024</v>
      </c>
      <c r="L118">
        <v>1</v>
      </c>
      <c r="M118" t="s">
        <v>52</v>
      </c>
      <c r="N118" t="s">
        <v>58</v>
      </c>
      <c r="O118" t="s">
        <v>28</v>
      </c>
      <c r="P118" t="s">
        <v>28</v>
      </c>
      <c r="Q118">
        <v>34</v>
      </c>
      <c r="R118">
        <v>2</v>
      </c>
      <c r="S118">
        <v>8</v>
      </c>
      <c r="T118" t="s">
        <v>30</v>
      </c>
      <c r="U118" t="str">
        <f>IF(AND(Employees_Data[[#This Row],[Age]]&gt;=20,Employees_Data[[#This Row],[Age]]&lt;=30),"Young",IF(AND(Employees_Data[[#This Row],[Age]]&gt;=31,Employees_Data[[#This Row],[Age]]&lt;=40),"Mid-Age",IF(Employees_Data[[#This Row],[Age]]&gt;=41,"Senior")))</f>
        <v>Mid-Age</v>
      </c>
      <c r="V118" t="str">
        <f>IF(Employees_Data[[#This Row],[Salary]]&lt;=30000,"Low",IF(AND(Employees_Data[[#This Row],[Salary]]&gt;30000,Employees_Data[[#This Row],[Salary]]&lt;=60000),"Medium",IF(AND(Employees_Data[[#This Row],[Salary]]&gt;60000,Employees_Data[[#This Row],[Salary]]&lt;=90000),"High",IF(Employees_Data[[#This Row],[Salary]]&gt;90000,"Executive"))))</f>
        <v>Executive</v>
      </c>
      <c r="W11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18" s="14" t="str">
        <f>VLOOKUP(Employees_Data[[#This Row],[Department]],Departments!$A$2:$B$7,2,FALSE)</f>
        <v>D03</v>
      </c>
      <c r="Y118" s="14" t="str">
        <f>INDEX(Departments!$B$2:$B$7,MATCH(Employees_Data[[#This Row],[Department]],Departments!$A$2:$A$7,0))</f>
        <v>D03</v>
      </c>
      <c r="Z118" s="14" t="str">
        <f>INDEX(Salary_Bands!$C$2:$C$5,MATCH(Employees_Data[[#This Row],[Salary]],Salary_Bands!$A$2:$A$5,1))</f>
        <v>Executive</v>
      </c>
    </row>
    <row r="119" spans="1:26" hidden="1" x14ac:dyDescent="0.3">
      <c r="A119" t="s">
        <v>299</v>
      </c>
      <c r="B119" t="s">
        <v>300</v>
      </c>
      <c r="C119" t="s">
        <v>40</v>
      </c>
      <c r="D119" s="12">
        <v>32</v>
      </c>
      <c r="E119" t="s">
        <v>23</v>
      </c>
      <c r="F119" t="s">
        <v>24</v>
      </c>
      <c r="G119" t="s">
        <v>51</v>
      </c>
      <c r="H119">
        <v>8</v>
      </c>
      <c r="I119" s="1">
        <v>44803</v>
      </c>
      <c r="J119" s="10">
        <v>88471</v>
      </c>
      <c r="K119" s="10">
        <v>15065</v>
      </c>
      <c r="L119">
        <v>4</v>
      </c>
      <c r="M119" t="s">
        <v>26</v>
      </c>
      <c r="N119" t="s">
        <v>63</v>
      </c>
      <c r="O119" t="s">
        <v>28</v>
      </c>
      <c r="P119" t="s">
        <v>28</v>
      </c>
      <c r="Q119">
        <v>37</v>
      </c>
      <c r="R119">
        <v>17</v>
      </c>
      <c r="S119">
        <v>4</v>
      </c>
      <c r="T119" t="s">
        <v>43</v>
      </c>
      <c r="U119" t="str">
        <f>IF(AND(Employees_Data[[#This Row],[Age]]&gt;=20,Employees_Data[[#This Row],[Age]]&lt;=30),"Young",IF(AND(Employees_Data[[#This Row],[Age]]&gt;=31,Employees_Data[[#This Row],[Age]]&lt;=40),"Mid-Age",IF(Employees_Data[[#This Row],[Age]]&gt;=41,"Senior")))</f>
        <v>Mid-Age</v>
      </c>
      <c r="V119" t="str">
        <f>IF(Employees_Data[[#This Row],[Salary]]&lt;=30000,"Low",IF(AND(Employees_Data[[#This Row],[Salary]]&gt;30000,Employees_Data[[#This Row],[Salary]]&lt;=60000),"Medium",IF(AND(Employees_Data[[#This Row],[Salary]]&gt;60000,Employees_Data[[#This Row],[Salary]]&lt;=90000),"High",IF(Employees_Data[[#This Row],[Salary]]&gt;90000,"Executive"))))</f>
        <v>High</v>
      </c>
      <c r="W11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19" s="14" t="str">
        <f>VLOOKUP(Employees_Data[[#This Row],[Department]],Departments!$A$2:$B$7,2,FALSE)</f>
        <v>D06</v>
      </c>
      <c r="Y119" s="14" t="str">
        <f>INDEX(Departments!$B$2:$B$7,MATCH(Employees_Data[[#This Row],[Department]],Departments!$A$2:$A$7,0))</f>
        <v>D06</v>
      </c>
      <c r="Z119" s="14" t="str">
        <f>INDEX(Salary_Bands!$C$2:$C$5,MATCH(Employees_Data[[#This Row],[Salary]],Salary_Bands!$A$2:$A$5,1))</f>
        <v>High</v>
      </c>
    </row>
    <row r="120" spans="1:26" x14ac:dyDescent="0.3">
      <c r="A120" t="s">
        <v>301</v>
      </c>
      <c r="B120" t="s">
        <v>302</v>
      </c>
      <c r="C120" t="s">
        <v>40</v>
      </c>
      <c r="D120" s="12">
        <v>37</v>
      </c>
      <c r="E120" t="s">
        <v>56</v>
      </c>
      <c r="F120" t="s">
        <v>125</v>
      </c>
      <c r="G120" t="s">
        <v>25</v>
      </c>
      <c r="H120">
        <v>13</v>
      </c>
      <c r="I120" s="1">
        <v>43602</v>
      </c>
      <c r="J120" s="10">
        <v>60058</v>
      </c>
      <c r="K120" s="10">
        <v>15701</v>
      </c>
      <c r="L120">
        <v>4</v>
      </c>
      <c r="M120" t="s">
        <v>26</v>
      </c>
      <c r="N120" t="s">
        <v>63</v>
      </c>
      <c r="O120" s="5" t="s">
        <v>29</v>
      </c>
      <c r="P120" t="s">
        <v>29</v>
      </c>
      <c r="Q120">
        <v>57</v>
      </c>
      <c r="R120">
        <v>10</v>
      </c>
      <c r="S120">
        <v>4</v>
      </c>
      <c r="T120" t="s">
        <v>43</v>
      </c>
      <c r="U120" t="str">
        <f>IF(AND(Employees_Data[[#This Row],[Age]]&gt;=20,Employees_Data[[#This Row],[Age]]&lt;=30),"Young",IF(AND(Employees_Data[[#This Row],[Age]]&gt;=31,Employees_Data[[#This Row],[Age]]&lt;=40),"Mid-Age",IF(Employees_Data[[#This Row],[Age]]&gt;=41,"Senior")))</f>
        <v>Mid-Age</v>
      </c>
      <c r="V120" t="str">
        <f>IF(Employees_Data[[#This Row],[Salary]]&lt;=30000,"Low",IF(AND(Employees_Data[[#This Row],[Salary]]&gt;30000,Employees_Data[[#This Row],[Salary]]&lt;=60000),"Medium",IF(AND(Employees_Data[[#This Row],[Salary]]&gt;60000,Employees_Data[[#This Row],[Salary]]&lt;=90000),"High",IF(Employees_Data[[#This Row],[Salary]]&gt;90000,"Executive"))))</f>
        <v>High</v>
      </c>
      <c r="W12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20" s="14" t="str">
        <f>VLOOKUP(Employees_Data[[#This Row],[Department]],Departments!$A$2:$B$7,2,FALSE)</f>
        <v>D01</v>
      </c>
      <c r="Y120" s="14" t="str">
        <f>INDEX(Departments!$B$2:$B$7,MATCH(Employees_Data[[#This Row],[Department]],Departments!$A$2:$A$7,0))</f>
        <v>D01</v>
      </c>
      <c r="Z120" s="14" t="str">
        <f>INDEX(Salary_Bands!$C$2:$C$5,MATCH(Employees_Data[[#This Row],[Salary]],Salary_Bands!$A$2:$A$5,1))</f>
        <v>High</v>
      </c>
    </row>
    <row r="121" spans="1:26" hidden="1" x14ac:dyDescent="0.3">
      <c r="A121" t="s">
        <v>303</v>
      </c>
      <c r="B121" t="s">
        <v>304</v>
      </c>
      <c r="C121" t="s">
        <v>22</v>
      </c>
      <c r="D121" s="12">
        <v>42</v>
      </c>
      <c r="E121" t="s">
        <v>33</v>
      </c>
      <c r="F121" t="s">
        <v>34</v>
      </c>
      <c r="G121" t="s">
        <v>80</v>
      </c>
      <c r="H121">
        <v>20</v>
      </c>
      <c r="I121" s="1">
        <v>43753</v>
      </c>
      <c r="J121" s="10">
        <v>90308</v>
      </c>
      <c r="K121" s="10">
        <v>14885</v>
      </c>
      <c r="L121">
        <v>5</v>
      </c>
      <c r="M121" t="s">
        <v>52</v>
      </c>
      <c r="N121" t="s">
        <v>58</v>
      </c>
      <c r="O121" t="s">
        <v>28</v>
      </c>
      <c r="P121" t="s">
        <v>29</v>
      </c>
      <c r="Q121">
        <v>18</v>
      </c>
      <c r="R121">
        <v>18</v>
      </c>
      <c r="S121">
        <v>8</v>
      </c>
      <c r="T121" t="s">
        <v>30</v>
      </c>
      <c r="U121" t="str">
        <f>IF(AND(Employees_Data[[#This Row],[Age]]&gt;=20,Employees_Data[[#This Row],[Age]]&lt;=30),"Young",IF(AND(Employees_Data[[#This Row],[Age]]&gt;=31,Employees_Data[[#This Row],[Age]]&lt;=40),"Mid-Age",IF(Employees_Data[[#This Row],[Age]]&gt;=41,"Senior")))</f>
        <v>Senior</v>
      </c>
      <c r="V121" t="str">
        <f>IF(Employees_Data[[#This Row],[Salary]]&lt;=30000,"Low",IF(AND(Employees_Data[[#This Row],[Salary]]&gt;30000,Employees_Data[[#This Row],[Salary]]&lt;=60000),"Medium",IF(AND(Employees_Data[[#This Row],[Salary]]&gt;60000,Employees_Data[[#This Row],[Salary]]&lt;=90000),"High",IF(Employees_Data[[#This Row],[Salary]]&gt;90000,"Executive"))))</f>
        <v>Executive</v>
      </c>
      <c r="W12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21" s="14" t="str">
        <f>VLOOKUP(Employees_Data[[#This Row],[Department]],Departments!$A$2:$B$7,2,FALSE)</f>
        <v>D05</v>
      </c>
      <c r="Y121" s="14" t="str">
        <f>INDEX(Departments!$B$2:$B$7,MATCH(Employees_Data[[#This Row],[Department]],Departments!$A$2:$A$7,0))</f>
        <v>D05</v>
      </c>
      <c r="Z121" s="14" t="str">
        <f>INDEX(Salary_Bands!$C$2:$C$5,MATCH(Employees_Data[[#This Row],[Salary]],Salary_Bands!$A$2:$A$5,1))</f>
        <v>Executive</v>
      </c>
    </row>
    <row r="122" spans="1:26" hidden="1" x14ac:dyDescent="0.3">
      <c r="A122" t="s">
        <v>305</v>
      </c>
      <c r="B122" t="s">
        <v>306</v>
      </c>
      <c r="C122" t="s">
        <v>40</v>
      </c>
      <c r="D122" s="12">
        <v>25</v>
      </c>
      <c r="E122" t="s">
        <v>41</v>
      </c>
      <c r="F122" t="s">
        <v>42</v>
      </c>
      <c r="G122" t="s">
        <v>35</v>
      </c>
      <c r="H122">
        <v>2</v>
      </c>
      <c r="I122" s="1">
        <v>45128</v>
      </c>
      <c r="J122" s="10">
        <v>103317</v>
      </c>
      <c r="K122" s="10">
        <v>10666</v>
      </c>
      <c r="L122">
        <v>4</v>
      </c>
      <c r="M122" t="s">
        <v>52</v>
      </c>
      <c r="N122" t="s">
        <v>37</v>
      </c>
      <c r="O122" t="s">
        <v>28</v>
      </c>
      <c r="P122" t="s">
        <v>28</v>
      </c>
      <c r="Q122">
        <v>28</v>
      </c>
      <c r="R122">
        <v>1</v>
      </c>
      <c r="S122">
        <v>5</v>
      </c>
      <c r="T122" t="s">
        <v>30</v>
      </c>
      <c r="U122" t="str">
        <f>IF(AND(Employees_Data[[#This Row],[Age]]&gt;=20,Employees_Data[[#This Row],[Age]]&lt;=30),"Young",IF(AND(Employees_Data[[#This Row],[Age]]&gt;=31,Employees_Data[[#This Row],[Age]]&lt;=40),"Mid-Age",IF(Employees_Data[[#This Row],[Age]]&gt;=41,"Senior")))</f>
        <v>Young</v>
      </c>
      <c r="V122" t="str">
        <f>IF(Employees_Data[[#This Row],[Salary]]&lt;=30000,"Low",IF(AND(Employees_Data[[#This Row],[Salary]]&gt;30000,Employees_Data[[#This Row],[Salary]]&lt;=60000),"Medium",IF(AND(Employees_Data[[#This Row],[Salary]]&gt;60000,Employees_Data[[#This Row],[Salary]]&lt;=90000),"High",IF(Employees_Data[[#This Row],[Salary]]&gt;90000,"Executive"))))</f>
        <v>Executive</v>
      </c>
      <c r="W12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22" s="14" t="str">
        <f>VLOOKUP(Employees_Data[[#This Row],[Department]],Departments!$A$2:$B$7,2,FALSE)</f>
        <v>D03</v>
      </c>
      <c r="Y122" s="14" t="str">
        <f>INDEX(Departments!$B$2:$B$7,MATCH(Employees_Data[[#This Row],[Department]],Departments!$A$2:$A$7,0))</f>
        <v>D03</v>
      </c>
      <c r="Z122" s="14" t="str">
        <f>INDEX(Salary_Bands!$C$2:$C$5,MATCH(Employees_Data[[#This Row],[Salary]],Salary_Bands!$A$2:$A$5,1))</f>
        <v>Executive</v>
      </c>
    </row>
    <row r="123" spans="1:26" hidden="1" x14ac:dyDescent="0.3">
      <c r="A123" t="s">
        <v>307</v>
      </c>
      <c r="B123" t="s">
        <v>308</v>
      </c>
      <c r="C123" t="s">
        <v>40</v>
      </c>
      <c r="D123" s="12">
        <v>34</v>
      </c>
      <c r="E123" t="s">
        <v>87</v>
      </c>
      <c r="F123" t="s">
        <v>91</v>
      </c>
      <c r="G123" t="s">
        <v>25</v>
      </c>
      <c r="H123">
        <v>11</v>
      </c>
      <c r="I123" s="1">
        <v>45367</v>
      </c>
      <c r="J123" s="10">
        <v>62827</v>
      </c>
      <c r="K123" s="10">
        <v>24295</v>
      </c>
      <c r="L123">
        <v>1</v>
      </c>
      <c r="M123" t="s">
        <v>52</v>
      </c>
      <c r="N123" t="s">
        <v>27</v>
      </c>
      <c r="O123" t="s">
        <v>28</v>
      </c>
      <c r="P123" t="s">
        <v>29</v>
      </c>
      <c r="Q123">
        <v>11</v>
      </c>
      <c r="R123">
        <v>12</v>
      </c>
      <c r="S123">
        <v>7</v>
      </c>
      <c r="T123" t="s">
        <v>30</v>
      </c>
      <c r="U123" t="str">
        <f>IF(AND(Employees_Data[[#This Row],[Age]]&gt;=20,Employees_Data[[#This Row],[Age]]&lt;=30),"Young",IF(AND(Employees_Data[[#This Row],[Age]]&gt;=31,Employees_Data[[#This Row],[Age]]&lt;=40),"Mid-Age",IF(Employees_Data[[#This Row],[Age]]&gt;=41,"Senior")))</f>
        <v>Mid-Age</v>
      </c>
      <c r="V123" t="str">
        <f>IF(Employees_Data[[#This Row],[Salary]]&lt;=30000,"Low",IF(AND(Employees_Data[[#This Row],[Salary]]&gt;30000,Employees_Data[[#This Row],[Salary]]&lt;=60000),"Medium",IF(AND(Employees_Data[[#This Row],[Salary]]&gt;60000,Employees_Data[[#This Row],[Salary]]&lt;=90000),"High",IF(Employees_Data[[#This Row],[Salary]]&gt;90000,"Executive"))))</f>
        <v>High</v>
      </c>
      <c r="W12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23" s="14" t="str">
        <f>VLOOKUP(Employees_Data[[#This Row],[Department]],Departments!$A$2:$B$7,2,FALSE)</f>
        <v>D04</v>
      </c>
      <c r="Y123" s="14" t="str">
        <f>INDEX(Departments!$B$2:$B$7,MATCH(Employees_Data[[#This Row],[Department]],Departments!$A$2:$A$7,0))</f>
        <v>D04</v>
      </c>
      <c r="Z123" s="14" t="str">
        <f>INDEX(Salary_Bands!$C$2:$C$5,MATCH(Employees_Data[[#This Row],[Salary]],Salary_Bands!$A$2:$A$5,1))</f>
        <v>High</v>
      </c>
    </row>
    <row r="124" spans="1:26" hidden="1" x14ac:dyDescent="0.3">
      <c r="A124" t="s">
        <v>309</v>
      </c>
      <c r="B124" t="s">
        <v>310</v>
      </c>
      <c r="C124" t="s">
        <v>22</v>
      </c>
      <c r="D124" s="12">
        <v>45</v>
      </c>
      <c r="E124" t="s">
        <v>41</v>
      </c>
      <c r="F124" t="s">
        <v>232</v>
      </c>
      <c r="G124" t="s">
        <v>51</v>
      </c>
      <c r="H124">
        <v>23</v>
      </c>
      <c r="I124" s="1">
        <v>43916</v>
      </c>
      <c r="J124" s="10">
        <v>103966</v>
      </c>
      <c r="K124" s="10">
        <v>17523</v>
      </c>
      <c r="L124">
        <v>5</v>
      </c>
      <c r="M124" t="s">
        <v>52</v>
      </c>
      <c r="N124" t="s">
        <v>58</v>
      </c>
      <c r="O124" t="s">
        <v>28</v>
      </c>
      <c r="P124" t="s">
        <v>29</v>
      </c>
      <c r="Q124">
        <v>43</v>
      </c>
      <c r="R124">
        <v>16</v>
      </c>
      <c r="S124">
        <v>7</v>
      </c>
      <c r="T124" t="s">
        <v>43</v>
      </c>
      <c r="U124" t="str">
        <f>IF(AND(Employees_Data[[#This Row],[Age]]&gt;=20,Employees_Data[[#This Row],[Age]]&lt;=30),"Young",IF(AND(Employees_Data[[#This Row],[Age]]&gt;=31,Employees_Data[[#This Row],[Age]]&lt;=40),"Mid-Age",IF(Employees_Data[[#This Row],[Age]]&gt;=41,"Senior")))</f>
        <v>Senior</v>
      </c>
      <c r="V124" t="str">
        <f>IF(Employees_Data[[#This Row],[Salary]]&lt;=30000,"Low",IF(AND(Employees_Data[[#This Row],[Salary]]&gt;30000,Employees_Data[[#This Row],[Salary]]&lt;=60000),"Medium",IF(AND(Employees_Data[[#This Row],[Salary]]&gt;60000,Employees_Data[[#This Row],[Salary]]&lt;=90000),"High",IF(Employees_Data[[#This Row],[Salary]]&gt;90000,"Executive"))))</f>
        <v>Executive</v>
      </c>
      <c r="W12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24" s="14" t="str">
        <f>VLOOKUP(Employees_Data[[#This Row],[Department]],Departments!$A$2:$B$7,2,FALSE)</f>
        <v>D03</v>
      </c>
      <c r="Y124" s="14" t="str">
        <f>INDEX(Departments!$B$2:$B$7,MATCH(Employees_Data[[#This Row],[Department]],Departments!$A$2:$A$7,0))</f>
        <v>D03</v>
      </c>
      <c r="Z124" s="14" t="str">
        <f>INDEX(Salary_Bands!$C$2:$C$5,MATCH(Employees_Data[[#This Row],[Salary]],Salary_Bands!$A$2:$A$5,1))</f>
        <v>Executive</v>
      </c>
    </row>
    <row r="125" spans="1:26" hidden="1" x14ac:dyDescent="0.3">
      <c r="A125" t="s">
        <v>311</v>
      </c>
      <c r="B125" t="s">
        <v>312</v>
      </c>
      <c r="C125" t="s">
        <v>40</v>
      </c>
      <c r="D125" s="12">
        <v>42</v>
      </c>
      <c r="E125" t="s">
        <v>61</v>
      </c>
      <c r="F125" t="s">
        <v>229</v>
      </c>
      <c r="G125" t="s">
        <v>25</v>
      </c>
      <c r="H125">
        <v>20</v>
      </c>
      <c r="I125" s="1">
        <v>44710</v>
      </c>
      <c r="J125" s="10">
        <v>105805</v>
      </c>
      <c r="K125" s="10">
        <v>11823</v>
      </c>
      <c r="L125">
        <v>3</v>
      </c>
      <c r="M125" t="s">
        <v>36</v>
      </c>
      <c r="N125" t="s">
        <v>63</v>
      </c>
      <c r="O125" t="s">
        <v>28</v>
      </c>
      <c r="P125" t="s">
        <v>29</v>
      </c>
      <c r="Q125">
        <v>28</v>
      </c>
      <c r="R125">
        <v>10</v>
      </c>
      <c r="S125">
        <v>10</v>
      </c>
      <c r="T125" t="s">
        <v>30</v>
      </c>
      <c r="U125" t="str">
        <f>IF(AND(Employees_Data[[#This Row],[Age]]&gt;=20,Employees_Data[[#This Row],[Age]]&lt;=30),"Young",IF(AND(Employees_Data[[#This Row],[Age]]&gt;=31,Employees_Data[[#This Row],[Age]]&lt;=40),"Mid-Age",IF(Employees_Data[[#This Row],[Age]]&gt;=41,"Senior")))</f>
        <v>Senior</v>
      </c>
      <c r="V125" t="str">
        <f>IF(Employees_Data[[#This Row],[Salary]]&lt;=30000,"Low",IF(AND(Employees_Data[[#This Row],[Salary]]&gt;30000,Employees_Data[[#This Row],[Salary]]&lt;=60000),"Medium",IF(AND(Employees_Data[[#This Row],[Salary]]&gt;60000,Employees_Data[[#This Row],[Salary]]&lt;=90000),"High",IF(Employees_Data[[#This Row],[Salary]]&gt;90000,"Executive"))))</f>
        <v>Executive</v>
      </c>
      <c r="W12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25" s="14" t="str">
        <f>VLOOKUP(Employees_Data[[#This Row],[Department]],Departments!$A$2:$B$7,2,FALSE)</f>
        <v>D02</v>
      </c>
      <c r="Y125" s="14" t="str">
        <f>INDEX(Departments!$B$2:$B$7,MATCH(Employees_Data[[#This Row],[Department]],Departments!$A$2:$A$7,0))</f>
        <v>D02</v>
      </c>
      <c r="Z125" s="14" t="str">
        <f>INDEX(Salary_Bands!$C$2:$C$5,MATCH(Employees_Data[[#This Row],[Salary]],Salary_Bands!$A$2:$A$5,1))</f>
        <v>Executive</v>
      </c>
    </row>
    <row r="126" spans="1:26" hidden="1" x14ac:dyDescent="0.3">
      <c r="A126" t="s">
        <v>313</v>
      </c>
      <c r="B126" t="s">
        <v>314</v>
      </c>
      <c r="C126" t="s">
        <v>22</v>
      </c>
      <c r="D126" s="12">
        <v>48</v>
      </c>
      <c r="E126" t="s">
        <v>23</v>
      </c>
      <c r="F126" t="s">
        <v>24</v>
      </c>
      <c r="G126" t="s">
        <v>80</v>
      </c>
      <c r="H126">
        <v>23</v>
      </c>
      <c r="I126" s="1">
        <v>44361</v>
      </c>
      <c r="J126" s="10">
        <v>129432</v>
      </c>
      <c r="K126" s="10">
        <v>21120</v>
      </c>
      <c r="L126">
        <v>1</v>
      </c>
      <c r="M126" t="s">
        <v>36</v>
      </c>
      <c r="N126" t="s">
        <v>76</v>
      </c>
      <c r="O126" t="s">
        <v>28</v>
      </c>
      <c r="P126" t="s">
        <v>28</v>
      </c>
      <c r="Q126">
        <v>14</v>
      </c>
      <c r="R126">
        <v>7</v>
      </c>
      <c r="S126">
        <v>10</v>
      </c>
      <c r="T126" t="s">
        <v>30</v>
      </c>
      <c r="U126" t="str">
        <f>IF(AND(Employees_Data[[#This Row],[Age]]&gt;=20,Employees_Data[[#This Row],[Age]]&lt;=30),"Young",IF(AND(Employees_Data[[#This Row],[Age]]&gt;=31,Employees_Data[[#This Row],[Age]]&lt;=40),"Mid-Age",IF(Employees_Data[[#This Row],[Age]]&gt;=41,"Senior")))</f>
        <v>Senior</v>
      </c>
      <c r="V126" t="str">
        <f>IF(Employees_Data[[#This Row],[Salary]]&lt;=30000,"Low",IF(AND(Employees_Data[[#This Row],[Salary]]&gt;30000,Employees_Data[[#This Row],[Salary]]&lt;=60000),"Medium",IF(AND(Employees_Data[[#This Row],[Salary]]&gt;60000,Employees_Data[[#This Row],[Salary]]&lt;=90000),"High",IF(Employees_Data[[#This Row],[Salary]]&gt;90000,"Executive"))))</f>
        <v>Executive</v>
      </c>
      <c r="W12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26" s="14" t="str">
        <f>VLOOKUP(Employees_Data[[#This Row],[Department]],Departments!$A$2:$B$7,2,FALSE)</f>
        <v>D06</v>
      </c>
      <c r="Y126" s="14" t="str">
        <f>INDEX(Departments!$B$2:$B$7,MATCH(Employees_Data[[#This Row],[Department]],Departments!$A$2:$A$7,0))</f>
        <v>D06</v>
      </c>
      <c r="Z126" s="14" t="str">
        <f>INDEX(Salary_Bands!$C$2:$C$5,MATCH(Employees_Data[[#This Row],[Salary]],Salary_Bands!$A$2:$A$5,1))</f>
        <v>Executive</v>
      </c>
    </row>
    <row r="127" spans="1:26" hidden="1" x14ac:dyDescent="0.3">
      <c r="A127" t="s">
        <v>315</v>
      </c>
      <c r="B127" t="s">
        <v>316</v>
      </c>
      <c r="C127" t="s">
        <v>40</v>
      </c>
      <c r="D127" s="12">
        <v>29</v>
      </c>
      <c r="E127" t="s">
        <v>56</v>
      </c>
      <c r="F127" t="s">
        <v>79</v>
      </c>
      <c r="G127" t="s">
        <v>25</v>
      </c>
      <c r="H127">
        <v>7</v>
      </c>
      <c r="I127" s="1">
        <v>43178</v>
      </c>
      <c r="J127" s="10">
        <v>82807</v>
      </c>
      <c r="K127" s="10">
        <v>22036</v>
      </c>
      <c r="L127">
        <v>3</v>
      </c>
      <c r="M127" t="s">
        <v>36</v>
      </c>
      <c r="N127" t="s">
        <v>63</v>
      </c>
      <c r="O127" t="s">
        <v>28</v>
      </c>
      <c r="P127" t="s">
        <v>29</v>
      </c>
      <c r="Q127">
        <v>50</v>
      </c>
      <c r="R127">
        <v>4</v>
      </c>
      <c r="S127">
        <v>7</v>
      </c>
      <c r="T127" t="s">
        <v>30</v>
      </c>
      <c r="U127" t="str">
        <f>IF(AND(Employees_Data[[#This Row],[Age]]&gt;=20,Employees_Data[[#This Row],[Age]]&lt;=30),"Young",IF(AND(Employees_Data[[#This Row],[Age]]&gt;=31,Employees_Data[[#This Row],[Age]]&lt;=40),"Mid-Age",IF(Employees_Data[[#This Row],[Age]]&gt;=41,"Senior")))</f>
        <v>Young</v>
      </c>
      <c r="V127" t="str">
        <f>IF(Employees_Data[[#This Row],[Salary]]&lt;=30000,"Low",IF(AND(Employees_Data[[#This Row],[Salary]]&gt;30000,Employees_Data[[#This Row],[Salary]]&lt;=60000),"Medium",IF(AND(Employees_Data[[#This Row],[Salary]]&gt;60000,Employees_Data[[#This Row],[Salary]]&lt;=90000),"High",IF(Employees_Data[[#This Row],[Salary]]&gt;90000,"Executive"))))</f>
        <v>High</v>
      </c>
      <c r="W12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27" s="14" t="str">
        <f>VLOOKUP(Employees_Data[[#This Row],[Department]],Departments!$A$2:$B$7,2,FALSE)</f>
        <v>D01</v>
      </c>
      <c r="Y127" s="14" t="str">
        <f>INDEX(Departments!$B$2:$B$7,MATCH(Employees_Data[[#This Row],[Department]],Departments!$A$2:$A$7,0))</f>
        <v>D01</v>
      </c>
      <c r="Z127" s="14" t="str">
        <f>INDEX(Salary_Bands!$C$2:$C$5,MATCH(Employees_Data[[#This Row],[Salary]],Salary_Bands!$A$2:$A$5,1))</f>
        <v>High</v>
      </c>
    </row>
    <row r="128" spans="1:26" hidden="1" x14ac:dyDescent="0.3">
      <c r="A128" t="s">
        <v>317</v>
      </c>
      <c r="B128" t="s">
        <v>318</v>
      </c>
      <c r="C128" t="s">
        <v>40</v>
      </c>
      <c r="D128" s="12">
        <v>42</v>
      </c>
      <c r="E128" t="s">
        <v>33</v>
      </c>
      <c r="F128" t="s">
        <v>118</v>
      </c>
      <c r="G128" t="s">
        <v>25</v>
      </c>
      <c r="H128">
        <v>16</v>
      </c>
      <c r="I128" s="1">
        <v>45060</v>
      </c>
      <c r="J128" s="10">
        <v>93875</v>
      </c>
      <c r="K128" s="10">
        <v>13609</v>
      </c>
      <c r="L128">
        <v>4</v>
      </c>
      <c r="M128" t="s">
        <v>52</v>
      </c>
      <c r="N128" t="s">
        <v>63</v>
      </c>
      <c r="O128" t="s">
        <v>28</v>
      </c>
      <c r="P128" t="s">
        <v>28</v>
      </c>
      <c r="Q128">
        <v>44</v>
      </c>
      <c r="R128">
        <v>15</v>
      </c>
      <c r="S128">
        <v>6</v>
      </c>
      <c r="T128" t="s">
        <v>30</v>
      </c>
      <c r="U128" t="str">
        <f>IF(AND(Employees_Data[[#This Row],[Age]]&gt;=20,Employees_Data[[#This Row],[Age]]&lt;=30),"Young",IF(AND(Employees_Data[[#This Row],[Age]]&gt;=31,Employees_Data[[#This Row],[Age]]&lt;=40),"Mid-Age",IF(Employees_Data[[#This Row],[Age]]&gt;=41,"Senior")))</f>
        <v>Senior</v>
      </c>
      <c r="V128" t="str">
        <f>IF(Employees_Data[[#This Row],[Salary]]&lt;=30000,"Low",IF(AND(Employees_Data[[#This Row],[Salary]]&gt;30000,Employees_Data[[#This Row],[Salary]]&lt;=60000),"Medium",IF(AND(Employees_Data[[#This Row],[Salary]]&gt;60000,Employees_Data[[#This Row],[Salary]]&lt;=90000),"High",IF(Employees_Data[[#This Row],[Salary]]&gt;90000,"Executive"))))</f>
        <v>Executive</v>
      </c>
      <c r="W12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28" s="14" t="str">
        <f>VLOOKUP(Employees_Data[[#This Row],[Department]],Departments!$A$2:$B$7,2,FALSE)</f>
        <v>D05</v>
      </c>
      <c r="Y128" s="14" t="str">
        <f>INDEX(Departments!$B$2:$B$7,MATCH(Employees_Data[[#This Row],[Department]],Departments!$A$2:$A$7,0))</f>
        <v>D05</v>
      </c>
      <c r="Z128" s="14" t="str">
        <f>INDEX(Salary_Bands!$C$2:$C$5,MATCH(Employees_Data[[#This Row],[Salary]],Salary_Bands!$A$2:$A$5,1))</f>
        <v>Executive</v>
      </c>
    </row>
    <row r="129" spans="1:26" hidden="1" x14ac:dyDescent="0.3">
      <c r="A129" t="s">
        <v>319</v>
      </c>
      <c r="B129" t="s">
        <v>320</v>
      </c>
      <c r="C129" t="s">
        <v>40</v>
      </c>
      <c r="D129" s="12">
        <v>39</v>
      </c>
      <c r="E129" t="s">
        <v>61</v>
      </c>
      <c r="F129" t="s">
        <v>62</v>
      </c>
      <c r="G129" t="s">
        <v>51</v>
      </c>
      <c r="H129">
        <v>14</v>
      </c>
      <c r="I129" s="1">
        <v>44323</v>
      </c>
      <c r="J129" s="10">
        <v>54473</v>
      </c>
      <c r="K129" s="10">
        <v>17722</v>
      </c>
      <c r="L129">
        <v>3</v>
      </c>
      <c r="M129" t="s">
        <v>36</v>
      </c>
      <c r="N129" t="s">
        <v>53</v>
      </c>
      <c r="O129" t="s">
        <v>28</v>
      </c>
      <c r="P129" t="s">
        <v>28</v>
      </c>
      <c r="Q129">
        <v>23</v>
      </c>
      <c r="R129">
        <v>3</v>
      </c>
      <c r="S129">
        <v>5</v>
      </c>
      <c r="T129" t="s">
        <v>30</v>
      </c>
      <c r="U129" t="str">
        <f>IF(AND(Employees_Data[[#This Row],[Age]]&gt;=20,Employees_Data[[#This Row],[Age]]&lt;=30),"Young",IF(AND(Employees_Data[[#This Row],[Age]]&gt;=31,Employees_Data[[#This Row],[Age]]&lt;=40),"Mid-Age",IF(Employees_Data[[#This Row],[Age]]&gt;=41,"Senior")))</f>
        <v>Mid-Age</v>
      </c>
      <c r="V129" t="str">
        <f>IF(Employees_Data[[#This Row],[Salary]]&lt;=30000,"Low",IF(AND(Employees_Data[[#This Row],[Salary]]&gt;30000,Employees_Data[[#This Row],[Salary]]&lt;=60000),"Medium",IF(AND(Employees_Data[[#This Row],[Salary]]&gt;60000,Employees_Data[[#This Row],[Salary]]&lt;=90000),"High",IF(Employees_Data[[#This Row],[Salary]]&gt;90000,"Executive"))))</f>
        <v>Medium</v>
      </c>
      <c r="W12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29" s="14" t="str">
        <f>VLOOKUP(Employees_Data[[#This Row],[Department]],Departments!$A$2:$B$7,2,FALSE)</f>
        <v>D02</v>
      </c>
      <c r="Y129" s="14" t="str">
        <f>INDEX(Departments!$B$2:$B$7,MATCH(Employees_Data[[#This Row],[Department]],Departments!$A$2:$A$7,0))</f>
        <v>D02</v>
      </c>
      <c r="Z129" s="14" t="str">
        <f>INDEX(Salary_Bands!$C$2:$C$5,MATCH(Employees_Data[[#This Row],[Salary]],Salary_Bands!$A$2:$A$5,1))</f>
        <v>Medium</v>
      </c>
    </row>
    <row r="130" spans="1:26" x14ac:dyDescent="0.3">
      <c r="A130" t="s">
        <v>321</v>
      </c>
      <c r="B130" t="s">
        <v>322</v>
      </c>
      <c r="C130" t="s">
        <v>22</v>
      </c>
      <c r="D130" s="12">
        <v>46</v>
      </c>
      <c r="E130" t="s">
        <v>33</v>
      </c>
      <c r="F130" t="s">
        <v>34</v>
      </c>
      <c r="G130" t="s">
        <v>51</v>
      </c>
      <c r="H130">
        <v>22</v>
      </c>
      <c r="I130" s="1">
        <v>44514</v>
      </c>
      <c r="J130" s="10">
        <v>126327</v>
      </c>
      <c r="K130" s="10">
        <v>16495</v>
      </c>
      <c r="L130">
        <v>2</v>
      </c>
      <c r="M130" t="s">
        <v>52</v>
      </c>
      <c r="N130" t="s">
        <v>37</v>
      </c>
      <c r="O130" s="5" t="s">
        <v>29</v>
      </c>
      <c r="P130" t="s">
        <v>28</v>
      </c>
      <c r="Q130">
        <v>18</v>
      </c>
      <c r="R130">
        <v>6</v>
      </c>
      <c r="S130">
        <v>5</v>
      </c>
      <c r="T130" t="s">
        <v>30</v>
      </c>
      <c r="U130" t="str">
        <f>IF(AND(Employees_Data[[#This Row],[Age]]&gt;=20,Employees_Data[[#This Row],[Age]]&lt;=30),"Young",IF(AND(Employees_Data[[#This Row],[Age]]&gt;=31,Employees_Data[[#This Row],[Age]]&lt;=40),"Mid-Age",IF(Employees_Data[[#This Row],[Age]]&gt;=41,"Senior")))</f>
        <v>Senior</v>
      </c>
      <c r="V130" t="str">
        <f>IF(Employees_Data[[#This Row],[Salary]]&lt;=30000,"Low",IF(AND(Employees_Data[[#This Row],[Salary]]&gt;30000,Employees_Data[[#This Row],[Salary]]&lt;=60000),"Medium",IF(AND(Employees_Data[[#This Row],[Salary]]&gt;60000,Employees_Data[[#This Row],[Salary]]&lt;=90000),"High",IF(Employees_Data[[#This Row],[Salary]]&gt;90000,"Executive"))))</f>
        <v>Executive</v>
      </c>
      <c r="W13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30" s="14" t="str">
        <f>VLOOKUP(Employees_Data[[#This Row],[Department]],Departments!$A$2:$B$7,2,FALSE)</f>
        <v>D05</v>
      </c>
      <c r="Y130" s="14" t="str">
        <f>INDEX(Departments!$B$2:$B$7,MATCH(Employees_Data[[#This Row],[Department]],Departments!$A$2:$A$7,0))</f>
        <v>D05</v>
      </c>
      <c r="Z130" s="14" t="str">
        <f>INDEX(Salary_Bands!$C$2:$C$5,MATCH(Employees_Data[[#This Row],[Salary]],Salary_Bands!$A$2:$A$5,1))</f>
        <v>Executive</v>
      </c>
    </row>
    <row r="131" spans="1:26" hidden="1" x14ac:dyDescent="0.3">
      <c r="A131" t="s">
        <v>323</v>
      </c>
      <c r="B131" t="s">
        <v>324</v>
      </c>
      <c r="C131" t="s">
        <v>22</v>
      </c>
      <c r="D131" s="12">
        <v>39</v>
      </c>
      <c r="E131" t="s">
        <v>33</v>
      </c>
      <c r="F131" t="s">
        <v>46</v>
      </c>
      <c r="G131" t="s">
        <v>35</v>
      </c>
      <c r="H131">
        <v>17</v>
      </c>
      <c r="I131" s="1">
        <v>43548</v>
      </c>
      <c r="J131" s="10">
        <v>105698</v>
      </c>
      <c r="K131" s="10">
        <v>3720</v>
      </c>
      <c r="L131">
        <v>5</v>
      </c>
      <c r="M131" t="s">
        <v>26</v>
      </c>
      <c r="N131" t="s">
        <v>58</v>
      </c>
      <c r="O131" t="s">
        <v>28</v>
      </c>
      <c r="P131" t="s">
        <v>28</v>
      </c>
      <c r="Q131">
        <v>50</v>
      </c>
      <c r="R131">
        <v>15</v>
      </c>
      <c r="S131">
        <v>4</v>
      </c>
      <c r="T131" t="s">
        <v>30</v>
      </c>
      <c r="U131" t="str">
        <f>IF(AND(Employees_Data[[#This Row],[Age]]&gt;=20,Employees_Data[[#This Row],[Age]]&lt;=30),"Young",IF(AND(Employees_Data[[#This Row],[Age]]&gt;=31,Employees_Data[[#This Row],[Age]]&lt;=40),"Mid-Age",IF(Employees_Data[[#This Row],[Age]]&gt;=41,"Senior")))</f>
        <v>Mid-Age</v>
      </c>
      <c r="V131" t="str">
        <f>IF(Employees_Data[[#This Row],[Salary]]&lt;=30000,"Low",IF(AND(Employees_Data[[#This Row],[Salary]]&gt;30000,Employees_Data[[#This Row],[Salary]]&lt;=60000),"Medium",IF(AND(Employees_Data[[#This Row],[Salary]]&gt;60000,Employees_Data[[#This Row],[Salary]]&lt;=90000),"High",IF(Employees_Data[[#This Row],[Salary]]&gt;90000,"Executive"))))</f>
        <v>Executive</v>
      </c>
      <c r="W13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31" s="14" t="str">
        <f>VLOOKUP(Employees_Data[[#This Row],[Department]],Departments!$A$2:$B$7,2,FALSE)</f>
        <v>D05</v>
      </c>
      <c r="Y131" s="14" t="str">
        <f>INDEX(Departments!$B$2:$B$7,MATCH(Employees_Data[[#This Row],[Department]],Departments!$A$2:$A$7,0))</f>
        <v>D05</v>
      </c>
      <c r="Z131" s="14" t="str">
        <f>INDEX(Salary_Bands!$C$2:$C$5,MATCH(Employees_Data[[#This Row],[Salary]],Salary_Bands!$A$2:$A$5,1))</f>
        <v>Executive</v>
      </c>
    </row>
    <row r="132" spans="1:26" hidden="1" x14ac:dyDescent="0.3">
      <c r="A132" t="s">
        <v>325</v>
      </c>
      <c r="B132" t="s">
        <v>326</v>
      </c>
      <c r="C132" t="s">
        <v>40</v>
      </c>
      <c r="D132" s="12">
        <v>30</v>
      </c>
      <c r="E132" t="s">
        <v>56</v>
      </c>
      <c r="F132" t="s">
        <v>79</v>
      </c>
      <c r="G132" t="s">
        <v>47</v>
      </c>
      <c r="H132">
        <v>9</v>
      </c>
      <c r="I132" s="1">
        <v>45355</v>
      </c>
      <c r="J132" s="10">
        <v>146778</v>
      </c>
      <c r="K132" s="10">
        <v>23316</v>
      </c>
      <c r="L132">
        <v>2</v>
      </c>
      <c r="M132" t="s">
        <v>26</v>
      </c>
      <c r="N132" t="s">
        <v>63</v>
      </c>
      <c r="O132" t="s">
        <v>28</v>
      </c>
      <c r="P132" t="s">
        <v>28</v>
      </c>
      <c r="Q132">
        <v>25</v>
      </c>
      <c r="R132">
        <v>9</v>
      </c>
      <c r="S132">
        <v>7</v>
      </c>
      <c r="T132" t="s">
        <v>30</v>
      </c>
      <c r="U132" t="str">
        <f>IF(AND(Employees_Data[[#This Row],[Age]]&gt;=20,Employees_Data[[#This Row],[Age]]&lt;=30),"Young",IF(AND(Employees_Data[[#This Row],[Age]]&gt;=31,Employees_Data[[#This Row],[Age]]&lt;=40),"Mid-Age",IF(Employees_Data[[#This Row],[Age]]&gt;=41,"Senior")))</f>
        <v>Young</v>
      </c>
      <c r="V132" t="str">
        <f>IF(Employees_Data[[#This Row],[Salary]]&lt;=30000,"Low",IF(AND(Employees_Data[[#This Row],[Salary]]&gt;30000,Employees_Data[[#This Row],[Salary]]&lt;=60000),"Medium",IF(AND(Employees_Data[[#This Row],[Salary]]&gt;60000,Employees_Data[[#This Row],[Salary]]&lt;=90000),"High",IF(Employees_Data[[#This Row],[Salary]]&gt;90000,"Executive"))))</f>
        <v>Executive</v>
      </c>
      <c r="W13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32" s="14" t="str">
        <f>VLOOKUP(Employees_Data[[#This Row],[Department]],Departments!$A$2:$B$7,2,FALSE)</f>
        <v>D01</v>
      </c>
      <c r="Y132" s="14" t="str">
        <f>INDEX(Departments!$B$2:$B$7,MATCH(Employees_Data[[#This Row],[Department]],Departments!$A$2:$A$7,0))</f>
        <v>D01</v>
      </c>
      <c r="Z132" s="14" t="str">
        <f>INDEX(Salary_Bands!$C$2:$C$5,MATCH(Employees_Data[[#This Row],[Salary]],Salary_Bands!$A$2:$A$5,1))</f>
        <v>Executive</v>
      </c>
    </row>
    <row r="133" spans="1:26" hidden="1" x14ac:dyDescent="0.3">
      <c r="A133" t="s">
        <v>327</v>
      </c>
      <c r="B133" t="s">
        <v>328</v>
      </c>
      <c r="C133" t="s">
        <v>22</v>
      </c>
      <c r="D133" s="12">
        <v>27</v>
      </c>
      <c r="E133" t="s">
        <v>23</v>
      </c>
      <c r="F133" t="s">
        <v>24</v>
      </c>
      <c r="G133" t="s">
        <v>80</v>
      </c>
      <c r="H133">
        <v>1</v>
      </c>
      <c r="I133" s="1">
        <v>45452</v>
      </c>
      <c r="J133" s="10">
        <v>55437</v>
      </c>
      <c r="K133" s="10">
        <v>15008</v>
      </c>
      <c r="L133">
        <v>5</v>
      </c>
      <c r="M133" t="s">
        <v>36</v>
      </c>
      <c r="N133" t="s">
        <v>76</v>
      </c>
      <c r="O133" t="s">
        <v>28</v>
      </c>
      <c r="P133" t="s">
        <v>28</v>
      </c>
      <c r="Q133">
        <v>7</v>
      </c>
      <c r="R133">
        <v>0</v>
      </c>
      <c r="S133">
        <v>1</v>
      </c>
      <c r="T133" t="s">
        <v>43</v>
      </c>
      <c r="U133" t="str">
        <f>IF(AND(Employees_Data[[#This Row],[Age]]&gt;=20,Employees_Data[[#This Row],[Age]]&lt;=30),"Young",IF(AND(Employees_Data[[#This Row],[Age]]&gt;=31,Employees_Data[[#This Row],[Age]]&lt;=40),"Mid-Age",IF(Employees_Data[[#This Row],[Age]]&gt;=41,"Senior")))</f>
        <v>Young</v>
      </c>
      <c r="V133" t="str">
        <f>IF(Employees_Data[[#This Row],[Salary]]&lt;=30000,"Low",IF(AND(Employees_Data[[#This Row],[Salary]]&gt;30000,Employees_Data[[#This Row],[Salary]]&lt;=60000),"Medium",IF(AND(Employees_Data[[#This Row],[Salary]]&gt;60000,Employees_Data[[#This Row],[Salary]]&lt;=90000),"High",IF(Employees_Data[[#This Row],[Salary]]&gt;90000,"Executive"))))</f>
        <v>Medium</v>
      </c>
      <c r="W13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33" s="14" t="str">
        <f>VLOOKUP(Employees_Data[[#This Row],[Department]],Departments!$A$2:$B$7,2,FALSE)</f>
        <v>D06</v>
      </c>
      <c r="Y133" s="14" t="str">
        <f>INDEX(Departments!$B$2:$B$7,MATCH(Employees_Data[[#This Row],[Department]],Departments!$A$2:$A$7,0))</f>
        <v>D06</v>
      </c>
      <c r="Z133" s="14" t="str">
        <f>INDEX(Salary_Bands!$C$2:$C$5,MATCH(Employees_Data[[#This Row],[Salary]],Salary_Bands!$A$2:$A$5,1))</f>
        <v>Medium</v>
      </c>
    </row>
    <row r="134" spans="1:26" hidden="1" x14ac:dyDescent="0.3">
      <c r="A134" t="s">
        <v>329</v>
      </c>
      <c r="B134" t="s">
        <v>330</v>
      </c>
      <c r="C134" t="s">
        <v>40</v>
      </c>
      <c r="D134" s="12">
        <v>28</v>
      </c>
      <c r="E134" t="s">
        <v>41</v>
      </c>
      <c r="F134" t="s">
        <v>69</v>
      </c>
      <c r="G134" t="s">
        <v>51</v>
      </c>
      <c r="H134">
        <v>5</v>
      </c>
      <c r="I134" s="1">
        <v>44266</v>
      </c>
      <c r="J134" s="10">
        <v>84552</v>
      </c>
      <c r="K134" s="10">
        <v>8318</v>
      </c>
      <c r="L134">
        <v>5</v>
      </c>
      <c r="M134" t="s">
        <v>26</v>
      </c>
      <c r="N134" t="s">
        <v>37</v>
      </c>
      <c r="O134" t="s">
        <v>28</v>
      </c>
      <c r="P134" t="s">
        <v>29</v>
      </c>
      <c r="Q134">
        <v>51</v>
      </c>
      <c r="R134">
        <v>14</v>
      </c>
      <c r="S134">
        <v>9</v>
      </c>
      <c r="T134" t="s">
        <v>30</v>
      </c>
      <c r="U134" t="str">
        <f>IF(AND(Employees_Data[[#This Row],[Age]]&gt;=20,Employees_Data[[#This Row],[Age]]&lt;=30),"Young",IF(AND(Employees_Data[[#This Row],[Age]]&gt;=31,Employees_Data[[#This Row],[Age]]&lt;=40),"Mid-Age",IF(Employees_Data[[#This Row],[Age]]&gt;=41,"Senior")))</f>
        <v>Young</v>
      </c>
      <c r="V134" t="str">
        <f>IF(Employees_Data[[#This Row],[Salary]]&lt;=30000,"Low",IF(AND(Employees_Data[[#This Row],[Salary]]&gt;30000,Employees_Data[[#This Row],[Salary]]&lt;=60000),"Medium",IF(AND(Employees_Data[[#This Row],[Salary]]&gt;60000,Employees_Data[[#This Row],[Salary]]&lt;=90000),"High",IF(Employees_Data[[#This Row],[Salary]]&gt;90000,"Executive"))))</f>
        <v>High</v>
      </c>
      <c r="W13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134" s="14" t="str">
        <f>VLOOKUP(Employees_Data[[#This Row],[Department]],Departments!$A$2:$B$7,2,FALSE)</f>
        <v>D03</v>
      </c>
      <c r="Y134" s="14" t="str">
        <f>INDEX(Departments!$B$2:$B$7,MATCH(Employees_Data[[#This Row],[Department]],Departments!$A$2:$A$7,0))</f>
        <v>D03</v>
      </c>
      <c r="Z134" s="14" t="str">
        <f>INDEX(Salary_Bands!$C$2:$C$5,MATCH(Employees_Data[[#This Row],[Salary]],Salary_Bands!$A$2:$A$5,1))</f>
        <v>High</v>
      </c>
    </row>
    <row r="135" spans="1:26" hidden="1" x14ac:dyDescent="0.3">
      <c r="A135" t="s">
        <v>331</v>
      </c>
      <c r="B135" t="s">
        <v>332</v>
      </c>
      <c r="C135" t="s">
        <v>40</v>
      </c>
      <c r="D135" s="12">
        <v>33</v>
      </c>
      <c r="E135" t="s">
        <v>23</v>
      </c>
      <c r="F135" t="s">
        <v>100</v>
      </c>
      <c r="G135" t="s">
        <v>47</v>
      </c>
      <c r="H135">
        <v>12</v>
      </c>
      <c r="I135" s="1">
        <v>44481</v>
      </c>
      <c r="J135" s="10">
        <v>128647</v>
      </c>
      <c r="K135" s="10">
        <v>18884</v>
      </c>
      <c r="L135">
        <v>3</v>
      </c>
      <c r="M135" t="s">
        <v>36</v>
      </c>
      <c r="N135" t="s">
        <v>27</v>
      </c>
      <c r="O135" t="s">
        <v>28</v>
      </c>
      <c r="P135" t="s">
        <v>28</v>
      </c>
      <c r="Q135">
        <v>47</v>
      </c>
      <c r="R135">
        <v>3</v>
      </c>
      <c r="S135">
        <v>10</v>
      </c>
      <c r="T135" t="s">
        <v>43</v>
      </c>
      <c r="U135" t="str">
        <f>IF(AND(Employees_Data[[#This Row],[Age]]&gt;=20,Employees_Data[[#This Row],[Age]]&lt;=30),"Young",IF(AND(Employees_Data[[#This Row],[Age]]&gt;=31,Employees_Data[[#This Row],[Age]]&lt;=40),"Mid-Age",IF(Employees_Data[[#This Row],[Age]]&gt;=41,"Senior")))</f>
        <v>Mid-Age</v>
      </c>
      <c r="V135" t="str">
        <f>IF(Employees_Data[[#This Row],[Salary]]&lt;=30000,"Low",IF(AND(Employees_Data[[#This Row],[Salary]]&gt;30000,Employees_Data[[#This Row],[Salary]]&lt;=60000),"Medium",IF(AND(Employees_Data[[#This Row],[Salary]]&gt;60000,Employees_Data[[#This Row],[Salary]]&lt;=90000),"High",IF(Employees_Data[[#This Row],[Salary]]&gt;90000,"Executive"))))</f>
        <v>Executive</v>
      </c>
      <c r="W13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35" s="14" t="str">
        <f>VLOOKUP(Employees_Data[[#This Row],[Department]],Departments!$A$2:$B$7,2,FALSE)</f>
        <v>D06</v>
      </c>
      <c r="Y135" s="14" t="str">
        <f>INDEX(Departments!$B$2:$B$7,MATCH(Employees_Data[[#This Row],[Department]],Departments!$A$2:$A$7,0))</f>
        <v>D06</v>
      </c>
      <c r="Z135" s="14" t="str">
        <f>INDEX(Salary_Bands!$C$2:$C$5,MATCH(Employees_Data[[#This Row],[Salary]],Salary_Bands!$A$2:$A$5,1))</f>
        <v>Executive</v>
      </c>
    </row>
    <row r="136" spans="1:26" hidden="1" x14ac:dyDescent="0.3">
      <c r="A136" t="s">
        <v>333</v>
      </c>
      <c r="B136" t="s">
        <v>334</v>
      </c>
      <c r="C136" t="s">
        <v>40</v>
      </c>
      <c r="D136" s="12">
        <v>52</v>
      </c>
      <c r="E136" t="s">
        <v>61</v>
      </c>
      <c r="F136" t="s">
        <v>62</v>
      </c>
      <c r="G136" t="s">
        <v>51</v>
      </c>
      <c r="H136">
        <v>29</v>
      </c>
      <c r="I136" s="1">
        <v>44117</v>
      </c>
      <c r="J136" s="10">
        <v>25895</v>
      </c>
      <c r="K136" s="10">
        <v>21086</v>
      </c>
      <c r="L136">
        <v>3</v>
      </c>
      <c r="M136" t="s">
        <v>52</v>
      </c>
      <c r="N136" t="s">
        <v>53</v>
      </c>
      <c r="O136" t="s">
        <v>28</v>
      </c>
      <c r="P136" t="s">
        <v>29</v>
      </c>
      <c r="Q136">
        <v>21</v>
      </c>
      <c r="R136">
        <v>20</v>
      </c>
      <c r="S136">
        <v>7</v>
      </c>
      <c r="T136" t="s">
        <v>30</v>
      </c>
      <c r="U136" t="str">
        <f>IF(AND(Employees_Data[[#This Row],[Age]]&gt;=20,Employees_Data[[#This Row],[Age]]&lt;=30),"Young",IF(AND(Employees_Data[[#This Row],[Age]]&gt;=31,Employees_Data[[#This Row],[Age]]&lt;=40),"Mid-Age",IF(Employees_Data[[#This Row],[Age]]&gt;=41,"Senior")))</f>
        <v>Senior</v>
      </c>
      <c r="V136" t="str">
        <f>IF(Employees_Data[[#This Row],[Salary]]&lt;=30000,"Low",IF(AND(Employees_Data[[#This Row],[Salary]]&gt;30000,Employees_Data[[#This Row],[Salary]]&lt;=60000),"Medium",IF(AND(Employees_Data[[#This Row],[Salary]]&gt;60000,Employees_Data[[#This Row],[Salary]]&lt;=90000),"High",IF(Employees_Data[[#This Row],[Salary]]&gt;90000,"Executive"))))</f>
        <v>Low</v>
      </c>
      <c r="W13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36" s="14" t="str">
        <f>VLOOKUP(Employees_Data[[#This Row],[Department]],Departments!$A$2:$B$7,2,FALSE)</f>
        <v>D02</v>
      </c>
      <c r="Y136" s="14" t="str">
        <f>INDEX(Departments!$B$2:$B$7,MATCH(Employees_Data[[#This Row],[Department]],Departments!$A$2:$A$7,0))</f>
        <v>D02</v>
      </c>
      <c r="Z136" s="14" t="str">
        <f>INDEX(Salary_Bands!$C$2:$C$5,MATCH(Employees_Data[[#This Row],[Salary]],Salary_Bands!$A$2:$A$5,1))</f>
        <v>Low</v>
      </c>
    </row>
    <row r="137" spans="1:26" hidden="1" x14ac:dyDescent="0.3">
      <c r="A137" t="s">
        <v>335</v>
      </c>
      <c r="B137" t="s">
        <v>336</v>
      </c>
      <c r="C137" t="s">
        <v>40</v>
      </c>
      <c r="D137" s="12">
        <v>37</v>
      </c>
      <c r="E137" t="s">
        <v>41</v>
      </c>
      <c r="F137" t="s">
        <v>69</v>
      </c>
      <c r="G137" t="s">
        <v>80</v>
      </c>
      <c r="H137">
        <v>16</v>
      </c>
      <c r="I137" s="1">
        <v>43585</v>
      </c>
      <c r="J137" s="10">
        <v>86000</v>
      </c>
      <c r="K137" s="10">
        <v>22929</v>
      </c>
      <c r="L137">
        <v>3</v>
      </c>
      <c r="M137" t="s">
        <v>36</v>
      </c>
      <c r="N137" t="s">
        <v>37</v>
      </c>
      <c r="O137" t="s">
        <v>28</v>
      </c>
      <c r="P137" t="s">
        <v>29</v>
      </c>
      <c r="Q137">
        <v>19</v>
      </c>
      <c r="R137">
        <v>4</v>
      </c>
      <c r="S137">
        <v>3</v>
      </c>
      <c r="T137" t="s">
        <v>30</v>
      </c>
      <c r="U137" t="str">
        <f>IF(AND(Employees_Data[[#This Row],[Age]]&gt;=20,Employees_Data[[#This Row],[Age]]&lt;=30),"Young",IF(AND(Employees_Data[[#This Row],[Age]]&gt;=31,Employees_Data[[#This Row],[Age]]&lt;=40),"Mid-Age",IF(Employees_Data[[#This Row],[Age]]&gt;=41,"Senior")))</f>
        <v>Mid-Age</v>
      </c>
      <c r="V137" t="str">
        <f>IF(Employees_Data[[#This Row],[Salary]]&lt;=30000,"Low",IF(AND(Employees_Data[[#This Row],[Salary]]&gt;30000,Employees_Data[[#This Row],[Salary]]&lt;=60000),"Medium",IF(AND(Employees_Data[[#This Row],[Salary]]&gt;60000,Employees_Data[[#This Row],[Salary]]&lt;=90000),"High",IF(Employees_Data[[#This Row],[Salary]]&gt;90000,"Executive"))))</f>
        <v>High</v>
      </c>
      <c r="W13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37" s="14" t="str">
        <f>VLOOKUP(Employees_Data[[#This Row],[Department]],Departments!$A$2:$B$7,2,FALSE)</f>
        <v>D03</v>
      </c>
      <c r="Y137" s="14" t="str">
        <f>INDEX(Departments!$B$2:$B$7,MATCH(Employees_Data[[#This Row],[Department]],Departments!$A$2:$A$7,0))</f>
        <v>D03</v>
      </c>
      <c r="Z137" s="14" t="str">
        <f>INDEX(Salary_Bands!$C$2:$C$5,MATCH(Employees_Data[[#This Row],[Salary]],Salary_Bands!$A$2:$A$5,1))</f>
        <v>High</v>
      </c>
    </row>
    <row r="138" spans="1:26" hidden="1" x14ac:dyDescent="0.3">
      <c r="A138" t="s">
        <v>337</v>
      </c>
      <c r="B138" t="s">
        <v>338</v>
      </c>
      <c r="C138" t="s">
        <v>22</v>
      </c>
      <c r="D138" s="12">
        <v>51</v>
      </c>
      <c r="E138" t="s">
        <v>87</v>
      </c>
      <c r="F138" t="s">
        <v>91</v>
      </c>
      <c r="G138" t="s">
        <v>35</v>
      </c>
      <c r="H138">
        <v>25</v>
      </c>
      <c r="I138" s="1">
        <v>45582</v>
      </c>
      <c r="J138" s="10">
        <v>73971</v>
      </c>
      <c r="K138" s="10">
        <v>24293</v>
      </c>
      <c r="L138">
        <v>4</v>
      </c>
      <c r="M138" t="s">
        <v>52</v>
      </c>
      <c r="N138" t="s">
        <v>63</v>
      </c>
      <c r="O138" t="s">
        <v>28</v>
      </c>
      <c r="P138" t="s">
        <v>29</v>
      </c>
      <c r="Q138">
        <v>38</v>
      </c>
      <c r="R138">
        <v>14</v>
      </c>
      <c r="S138">
        <v>9</v>
      </c>
      <c r="T138" t="s">
        <v>30</v>
      </c>
      <c r="U138" t="str">
        <f>IF(AND(Employees_Data[[#This Row],[Age]]&gt;=20,Employees_Data[[#This Row],[Age]]&lt;=30),"Young",IF(AND(Employees_Data[[#This Row],[Age]]&gt;=31,Employees_Data[[#This Row],[Age]]&lt;=40),"Mid-Age",IF(Employees_Data[[#This Row],[Age]]&gt;=41,"Senior")))</f>
        <v>Senior</v>
      </c>
      <c r="V138" t="str">
        <f>IF(Employees_Data[[#This Row],[Salary]]&lt;=30000,"Low",IF(AND(Employees_Data[[#This Row],[Salary]]&gt;30000,Employees_Data[[#This Row],[Salary]]&lt;=60000),"Medium",IF(AND(Employees_Data[[#This Row],[Salary]]&gt;60000,Employees_Data[[#This Row],[Salary]]&lt;=90000),"High",IF(Employees_Data[[#This Row],[Salary]]&gt;90000,"Executive"))))</f>
        <v>High</v>
      </c>
      <c r="W13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38" s="14" t="str">
        <f>VLOOKUP(Employees_Data[[#This Row],[Department]],Departments!$A$2:$B$7,2,FALSE)</f>
        <v>D04</v>
      </c>
      <c r="Y138" s="14" t="str">
        <f>INDEX(Departments!$B$2:$B$7,MATCH(Employees_Data[[#This Row],[Department]],Departments!$A$2:$A$7,0))</f>
        <v>D04</v>
      </c>
      <c r="Z138" s="14" t="str">
        <f>INDEX(Salary_Bands!$C$2:$C$5,MATCH(Employees_Data[[#This Row],[Salary]],Salary_Bands!$A$2:$A$5,1))</f>
        <v>High</v>
      </c>
    </row>
    <row r="139" spans="1:26" hidden="1" x14ac:dyDescent="0.3">
      <c r="A139" t="s">
        <v>339</v>
      </c>
      <c r="B139" t="s">
        <v>340</v>
      </c>
      <c r="C139" t="s">
        <v>22</v>
      </c>
      <c r="D139" s="12">
        <v>45</v>
      </c>
      <c r="E139" t="s">
        <v>33</v>
      </c>
      <c r="F139" t="s">
        <v>34</v>
      </c>
      <c r="G139" t="s">
        <v>35</v>
      </c>
      <c r="H139">
        <v>24</v>
      </c>
      <c r="I139" s="1">
        <v>45411</v>
      </c>
      <c r="J139" s="10">
        <v>39707</v>
      </c>
      <c r="K139" s="10">
        <v>12751</v>
      </c>
      <c r="L139">
        <v>1</v>
      </c>
      <c r="M139" t="s">
        <v>52</v>
      </c>
      <c r="N139" t="s">
        <v>58</v>
      </c>
      <c r="O139" t="s">
        <v>28</v>
      </c>
      <c r="P139" t="s">
        <v>29</v>
      </c>
      <c r="Q139">
        <v>48</v>
      </c>
      <c r="R139">
        <v>6</v>
      </c>
      <c r="S139">
        <v>9</v>
      </c>
      <c r="T139" t="s">
        <v>30</v>
      </c>
      <c r="U139" t="str">
        <f>IF(AND(Employees_Data[[#This Row],[Age]]&gt;=20,Employees_Data[[#This Row],[Age]]&lt;=30),"Young",IF(AND(Employees_Data[[#This Row],[Age]]&gt;=31,Employees_Data[[#This Row],[Age]]&lt;=40),"Mid-Age",IF(Employees_Data[[#This Row],[Age]]&gt;=41,"Senior")))</f>
        <v>Senior</v>
      </c>
      <c r="V139" t="str">
        <f>IF(Employees_Data[[#This Row],[Salary]]&lt;=30000,"Low",IF(AND(Employees_Data[[#This Row],[Salary]]&gt;30000,Employees_Data[[#This Row],[Salary]]&lt;=60000),"Medium",IF(AND(Employees_Data[[#This Row],[Salary]]&gt;60000,Employees_Data[[#This Row],[Salary]]&lt;=90000),"High",IF(Employees_Data[[#This Row],[Salary]]&gt;90000,"Executive"))))</f>
        <v>Medium</v>
      </c>
      <c r="W13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39" s="14" t="str">
        <f>VLOOKUP(Employees_Data[[#This Row],[Department]],Departments!$A$2:$B$7,2,FALSE)</f>
        <v>D05</v>
      </c>
      <c r="Y139" s="14" t="str">
        <f>INDEX(Departments!$B$2:$B$7,MATCH(Employees_Data[[#This Row],[Department]],Departments!$A$2:$A$7,0))</f>
        <v>D05</v>
      </c>
      <c r="Z139" s="14" t="str">
        <f>INDEX(Salary_Bands!$C$2:$C$5,MATCH(Employees_Data[[#This Row],[Salary]],Salary_Bands!$A$2:$A$5,1))</f>
        <v>Medium</v>
      </c>
    </row>
    <row r="140" spans="1:26" x14ac:dyDescent="0.3">
      <c r="A140" t="s">
        <v>341</v>
      </c>
      <c r="B140" t="s">
        <v>342</v>
      </c>
      <c r="C140" t="s">
        <v>22</v>
      </c>
      <c r="D140" s="12">
        <v>53</v>
      </c>
      <c r="E140" t="s">
        <v>23</v>
      </c>
      <c r="F140" t="s">
        <v>109</v>
      </c>
      <c r="G140" t="s">
        <v>25</v>
      </c>
      <c r="H140">
        <v>32</v>
      </c>
      <c r="I140" s="1">
        <v>45191</v>
      </c>
      <c r="J140" s="10">
        <v>83390</v>
      </c>
      <c r="K140" s="10">
        <v>17151</v>
      </c>
      <c r="L140">
        <v>1</v>
      </c>
      <c r="M140" t="s">
        <v>52</v>
      </c>
      <c r="N140" t="s">
        <v>63</v>
      </c>
      <c r="O140" s="5" t="s">
        <v>29</v>
      </c>
      <c r="P140" t="s">
        <v>28</v>
      </c>
      <c r="Q140">
        <v>51</v>
      </c>
      <c r="R140">
        <v>0</v>
      </c>
      <c r="S140">
        <v>8</v>
      </c>
      <c r="T140" t="s">
        <v>30</v>
      </c>
      <c r="U140" t="str">
        <f>IF(AND(Employees_Data[[#This Row],[Age]]&gt;=20,Employees_Data[[#This Row],[Age]]&lt;=30),"Young",IF(AND(Employees_Data[[#This Row],[Age]]&gt;=31,Employees_Data[[#This Row],[Age]]&lt;=40),"Mid-Age",IF(Employees_Data[[#This Row],[Age]]&gt;=41,"Senior")))</f>
        <v>Senior</v>
      </c>
      <c r="V140" t="str">
        <f>IF(Employees_Data[[#This Row],[Salary]]&lt;=30000,"Low",IF(AND(Employees_Data[[#This Row],[Salary]]&gt;30000,Employees_Data[[#This Row],[Salary]]&lt;=60000),"Medium",IF(AND(Employees_Data[[#This Row],[Salary]]&gt;60000,Employees_Data[[#This Row],[Salary]]&lt;=90000),"High",IF(Employees_Data[[#This Row],[Salary]]&gt;90000,"Executive"))))</f>
        <v>High</v>
      </c>
      <c r="W14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40" s="14" t="str">
        <f>VLOOKUP(Employees_Data[[#This Row],[Department]],Departments!$A$2:$B$7,2,FALSE)</f>
        <v>D06</v>
      </c>
      <c r="Y140" s="14" t="str">
        <f>INDEX(Departments!$B$2:$B$7,MATCH(Employees_Data[[#This Row],[Department]],Departments!$A$2:$A$7,0))</f>
        <v>D06</v>
      </c>
      <c r="Z140" s="14" t="str">
        <f>INDEX(Salary_Bands!$C$2:$C$5,MATCH(Employees_Data[[#This Row],[Salary]],Salary_Bands!$A$2:$A$5,1))</f>
        <v>High</v>
      </c>
    </row>
    <row r="141" spans="1:26" hidden="1" x14ac:dyDescent="0.3">
      <c r="A141" t="s">
        <v>343</v>
      </c>
      <c r="B141" t="s">
        <v>344</v>
      </c>
      <c r="C141" t="s">
        <v>22</v>
      </c>
      <c r="D141" s="12">
        <v>22</v>
      </c>
      <c r="E141" t="s">
        <v>87</v>
      </c>
      <c r="F141" t="s">
        <v>220</v>
      </c>
      <c r="G141" t="s">
        <v>80</v>
      </c>
      <c r="H141">
        <v>0</v>
      </c>
      <c r="I141" s="1">
        <v>43993</v>
      </c>
      <c r="J141" s="10">
        <v>100800</v>
      </c>
      <c r="K141" s="10">
        <v>17468</v>
      </c>
      <c r="L141">
        <v>1</v>
      </c>
      <c r="M141" t="s">
        <v>26</v>
      </c>
      <c r="N141" t="s">
        <v>37</v>
      </c>
      <c r="O141" t="s">
        <v>28</v>
      </c>
      <c r="P141" t="s">
        <v>28</v>
      </c>
      <c r="Q141">
        <v>16</v>
      </c>
      <c r="R141">
        <v>4</v>
      </c>
      <c r="S141">
        <v>1</v>
      </c>
      <c r="T141" t="s">
        <v>30</v>
      </c>
      <c r="U141" t="str">
        <f>IF(AND(Employees_Data[[#This Row],[Age]]&gt;=20,Employees_Data[[#This Row],[Age]]&lt;=30),"Young",IF(AND(Employees_Data[[#This Row],[Age]]&gt;=31,Employees_Data[[#This Row],[Age]]&lt;=40),"Mid-Age",IF(Employees_Data[[#This Row],[Age]]&gt;=41,"Senior")))</f>
        <v>Young</v>
      </c>
      <c r="V141" t="str">
        <f>IF(Employees_Data[[#This Row],[Salary]]&lt;=30000,"Low",IF(AND(Employees_Data[[#This Row],[Salary]]&gt;30000,Employees_Data[[#This Row],[Salary]]&lt;=60000),"Medium",IF(AND(Employees_Data[[#This Row],[Salary]]&gt;60000,Employees_Data[[#This Row],[Salary]]&lt;=90000),"High",IF(Employees_Data[[#This Row],[Salary]]&gt;90000,"Executive"))))</f>
        <v>Executive</v>
      </c>
      <c r="W14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41" s="14" t="str">
        <f>VLOOKUP(Employees_Data[[#This Row],[Department]],Departments!$A$2:$B$7,2,FALSE)</f>
        <v>D04</v>
      </c>
      <c r="Y141" s="14" t="str">
        <f>INDEX(Departments!$B$2:$B$7,MATCH(Employees_Data[[#This Row],[Department]],Departments!$A$2:$A$7,0))</f>
        <v>D04</v>
      </c>
      <c r="Z141" s="14" t="str">
        <f>INDEX(Salary_Bands!$C$2:$C$5,MATCH(Employees_Data[[#This Row],[Salary]],Salary_Bands!$A$2:$A$5,1))</f>
        <v>Executive</v>
      </c>
    </row>
    <row r="142" spans="1:26" x14ac:dyDescent="0.3">
      <c r="A142" t="s">
        <v>345</v>
      </c>
      <c r="B142" t="s">
        <v>346</v>
      </c>
      <c r="C142" t="s">
        <v>22</v>
      </c>
      <c r="D142" s="12">
        <v>48</v>
      </c>
      <c r="E142" t="s">
        <v>23</v>
      </c>
      <c r="F142" t="s">
        <v>109</v>
      </c>
      <c r="G142" t="s">
        <v>51</v>
      </c>
      <c r="H142">
        <v>25</v>
      </c>
      <c r="I142" s="1">
        <v>44667</v>
      </c>
      <c r="J142" s="10">
        <v>83790</v>
      </c>
      <c r="K142" s="10">
        <v>5887</v>
      </c>
      <c r="L142">
        <v>4</v>
      </c>
      <c r="M142" t="s">
        <v>26</v>
      </c>
      <c r="N142" t="s">
        <v>53</v>
      </c>
      <c r="O142" s="5" t="s">
        <v>29</v>
      </c>
      <c r="P142" t="s">
        <v>28</v>
      </c>
      <c r="Q142">
        <v>38</v>
      </c>
      <c r="R142">
        <v>4</v>
      </c>
      <c r="S142">
        <v>7</v>
      </c>
      <c r="T142" t="s">
        <v>30</v>
      </c>
      <c r="U142" t="str">
        <f>IF(AND(Employees_Data[[#This Row],[Age]]&gt;=20,Employees_Data[[#This Row],[Age]]&lt;=30),"Young",IF(AND(Employees_Data[[#This Row],[Age]]&gt;=31,Employees_Data[[#This Row],[Age]]&lt;=40),"Mid-Age",IF(Employees_Data[[#This Row],[Age]]&gt;=41,"Senior")))</f>
        <v>Senior</v>
      </c>
      <c r="V142" t="str">
        <f>IF(Employees_Data[[#This Row],[Salary]]&lt;=30000,"Low",IF(AND(Employees_Data[[#This Row],[Salary]]&gt;30000,Employees_Data[[#This Row],[Salary]]&lt;=60000),"Medium",IF(AND(Employees_Data[[#This Row],[Salary]]&gt;60000,Employees_Data[[#This Row],[Salary]]&lt;=90000),"High",IF(Employees_Data[[#This Row],[Salary]]&gt;90000,"Executive"))))</f>
        <v>High</v>
      </c>
      <c r="W14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42" s="14" t="str">
        <f>VLOOKUP(Employees_Data[[#This Row],[Department]],Departments!$A$2:$B$7,2,FALSE)</f>
        <v>D06</v>
      </c>
      <c r="Y142" s="14" t="str">
        <f>INDEX(Departments!$B$2:$B$7,MATCH(Employees_Data[[#This Row],[Department]],Departments!$A$2:$A$7,0))</f>
        <v>D06</v>
      </c>
      <c r="Z142" s="14" t="str">
        <f>INDEX(Salary_Bands!$C$2:$C$5,MATCH(Employees_Data[[#This Row],[Salary]],Salary_Bands!$A$2:$A$5,1))</f>
        <v>High</v>
      </c>
    </row>
    <row r="143" spans="1:26" hidden="1" x14ac:dyDescent="0.3">
      <c r="A143" t="s">
        <v>347</v>
      </c>
      <c r="B143" t="s">
        <v>348</v>
      </c>
      <c r="C143" t="s">
        <v>22</v>
      </c>
      <c r="D143" s="12">
        <v>22</v>
      </c>
      <c r="E143" t="s">
        <v>23</v>
      </c>
      <c r="F143" t="s">
        <v>24</v>
      </c>
      <c r="G143" t="s">
        <v>47</v>
      </c>
      <c r="H143">
        <v>1</v>
      </c>
      <c r="I143" s="1">
        <v>44323</v>
      </c>
      <c r="J143" s="10">
        <v>85686</v>
      </c>
      <c r="K143" s="10">
        <v>13342</v>
      </c>
      <c r="L143">
        <v>5</v>
      </c>
      <c r="M143" t="s">
        <v>26</v>
      </c>
      <c r="N143" t="s">
        <v>37</v>
      </c>
      <c r="O143" t="s">
        <v>28</v>
      </c>
      <c r="P143" t="s">
        <v>29</v>
      </c>
      <c r="Q143">
        <v>51</v>
      </c>
      <c r="R143">
        <v>3</v>
      </c>
      <c r="S143">
        <v>7</v>
      </c>
      <c r="T143" t="s">
        <v>30</v>
      </c>
      <c r="U143" t="str">
        <f>IF(AND(Employees_Data[[#This Row],[Age]]&gt;=20,Employees_Data[[#This Row],[Age]]&lt;=30),"Young",IF(AND(Employees_Data[[#This Row],[Age]]&gt;=31,Employees_Data[[#This Row],[Age]]&lt;=40),"Mid-Age",IF(Employees_Data[[#This Row],[Age]]&gt;=41,"Senior")))</f>
        <v>Young</v>
      </c>
      <c r="V143" t="str">
        <f>IF(Employees_Data[[#This Row],[Salary]]&lt;=30000,"Low",IF(AND(Employees_Data[[#This Row],[Salary]]&gt;30000,Employees_Data[[#This Row],[Salary]]&lt;=60000),"Medium",IF(AND(Employees_Data[[#This Row],[Salary]]&gt;60000,Employees_Data[[#This Row],[Salary]]&lt;=90000),"High",IF(Employees_Data[[#This Row],[Salary]]&gt;90000,"Executive"))))</f>
        <v>High</v>
      </c>
      <c r="W14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43" s="14" t="str">
        <f>VLOOKUP(Employees_Data[[#This Row],[Department]],Departments!$A$2:$B$7,2,FALSE)</f>
        <v>D06</v>
      </c>
      <c r="Y143" s="14" t="str">
        <f>INDEX(Departments!$B$2:$B$7,MATCH(Employees_Data[[#This Row],[Department]],Departments!$A$2:$A$7,0))</f>
        <v>D06</v>
      </c>
      <c r="Z143" s="14" t="str">
        <f>INDEX(Salary_Bands!$C$2:$C$5,MATCH(Employees_Data[[#This Row],[Salary]],Salary_Bands!$A$2:$A$5,1))</f>
        <v>High</v>
      </c>
    </row>
    <row r="144" spans="1:26" x14ac:dyDescent="0.3">
      <c r="A144" t="s">
        <v>349</v>
      </c>
      <c r="B144" t="s">
        <v>350</v>
      </c>
      <c r="C144" t="s">
        <v>22</v>
      </c>
      <c r="D144" s="12">
        <v>48</v>
      </c>
      <c r="E144" t="s">
        <v>56</v>
      </c>
      <c r="F144" t="s">
        <v>79</v>
      </c>
      <c r="G144" t="s">
        <v>35</v>
      </c>
      <c r="H144">
        <v>23</v>
      </c>
      <c r="I144" s="1">
        <v>43165</v>
      </c>
      <c r="J144" s="10">
        <v>56544</v>
      </c>
      <c r="K144" s="10">
        <v>3449</v>
      </c>
      <c r="L144">
        <v>2</v>
      </c>
      <c r="M144" t="s">
        <v>36</v>
      </c>
      <c r="N144" t="s">
        <v>58</v>
      </c>
      <c r="O144" s="5" t="s">
        <v>29</v>
      </c>
      <c r="P144" t="s">
        <v>29</v>
      </c>
      <c r="Q144">
        <v>39</v>
      </c>
      <c r="R144">
        <v>6</v>
      </c>
      <c r="S144">
        <v>2</v>
      </c>
      <c r="T144" t="s">
        <v>43</v>
      </c>
      <c r="U144" t="str">
        <f>IF(AND(Employees_Data[[#This Row],[Age]]&gt;=20,Employees_Data[[#This Row],[Age]]&lt;=30),"Young",IF(AND(Employees_Data[[#This Row],[Age]]&gt;=31,Employees_Data[[#This Row],[Age]]&lt;=40),"Mid-Age",IF(Employees_Data[[#This Row],[Age]]&gt;=41,"Senior")))</f>
        <v>Senior</v>
      </c>
      <c r="V144" t="str">
        <f>IF(Employees_Data[[#This Row],[Salary]]&lt;=30000,"Low",IF(AND(Employees_Data[[#This Row],[Salary]]&gt;30000,Employees_Data[[#This Row],[Salary]]&lt;=60000),"Medium",IF(AND(Employees_Data[[#This Row],[Salary]]&gt;60000,Employees_Data[[#This Row],[Salary]]&lt;=90000),"High",IF(Employees_Data[[#This Row],[Salary]]&gt;90000,"Executive"))))</f>
        <v>Medium</v>
      </c>
      <c r="W14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44" s="14" t="str">
        <f>VLOOKUP(Employees_Data[[#This Row],[Department]],Departments!$A$2:$B$7,2,FALSE)</f>
        <v>D01</v>
      </c>
      <c r="Y144" s="14" t="str">
        <f>INDEX(Departments!$B$2:$B$7,MATCH(Employees_Data[[#This Row],[Department]],Departments!$A$2:$A$7,0))</f>
        <v>D01</v>
      </c>
      <c r="Z144" s="14" t="str">
        <f>INDEX(Salary_Bands!$C$2:$C$5,MATCH(Employees_Data[[#This Row],[Salary]],Salary_Bands!$A$2:$A$5,1))</f>
        <v>Medium</v>
      </c>
    </row>
    <row r="145" spans="1:26" hidden="1" x14ac:dyDescent="0.3">
      <c r="A145" t="s">
        <v>351</v>
      </c>
      <c r="B145" t="s">
        <v>352</v>
      </c>
      <c r="C145" t="s">
        <v>40</v>
      </c>
      <c r="D145" s="12">
        <v>54</v>
      </c>
      <c r="E145" t="s">
        <v>56</v>
      </c>
      <c r="F145" t="s">
        <v>57</v>
      </c>
      <c r="G145" t="s">
        <v>35</v>
      </c>
      <c r="H145">
        <v>31</v>
      </c>
      <c r="I145" s="1">
        <v>44060</v>
      </c>
      <c r="J145" s="10">
        <v>131926</v>
      </c>
      <c r="K145" s="10">
        <v>11888</v>
      </c>
      <c r="L145">
        <v>5</v>
      </c>
      <c r="M145" t="s">
        <v>26</v>
      </c>
      <c r="N145" t="s">
        <v>48</v>
      </c>
      <c r="O145" t="s">
        <v>28</v>
      </c>
      <c r="P145" t="s">
        <v>29</v>
      </c>
      <c r="Q145">
        <v>31</v>
      </c>
      <c r="R145">
        <v>9</v>
      </c>
      <c r="S145">
        <v>6</v>
      </c>
      <c r="T145" t="s">
        <v>30</v>
      </c>
      <c r="U145" t="str">
        <f>IF(AND(Employees_Data[[#This Row],[Age]]&gt;=20,Employees_Data[[#This Row],[Age]]&lt;=30),"Young",IF(AND(Employees_Data[[#This Row],[Age]]&gt;=31,Employees_Data[[#This Row],[Age]]&lt;=40),"Mid-Age",IF(Employees_Data[[#This Row],[Age]]&gt;=41,"Senior")))</f>
        <v>Senior</v>
      </c>
      <c r="V145" t="str">
        <f>IF(Employees_Data[[#This Row],[Salary]]&lt;=30000,"Low",IF(AND(Employees_Data[[#This Row],[Salary]]&gt;30000,Employees_Data[[#This Row],[Salary]]&lt;=60000),"Medium",IF(AND(Employees_Data[[#This Row],[Salary]]&gt;60000,Employees_Data[[#This Row],[Salary]]&lt;=90000),"High",IF(Employees_Data[[#This Row],[Salary]]&gt;90000,"Executive"))))</f>
        <v>Executive</v>
      </c>
      <c r="W14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45" s="14" t="str">
        <f>VLOOKUP(Employees_Data[[#This Row],[Department]],Departments!$A$2:$B$7,2,FALSE)</f>
        <v>D01</v>
      </c>
      <c r="Y145" s="14" t="str">
        <f>INDEX(Departments!$B$2:$B$7,MATCH(Employees_Data[[#This Row],[Department]],Departments!$A$2:$A$7,0))</f>
        <v>D01</v>
      </c>
      <c r="Z145" s="14" t="str">
        <f>INDEX(Salary_Bands!$C$2:$C$5,MATCH(Employees_Data[[#This Row],[Salary]],Salary_Bands!$A$2:$A$5,1))</f>
        <v>Executive</v>
      </c>
    </row>
    <row r="146" spans="1:26" hidden="1" x14ac:dyDescent="0.3">
      <c r="A146" t="s">
        <v>353</v>
      </c>
      <c r="B146" t="s">
        <v>354</v>
      </c>
      <c r="C146" t="s">
        <v>40</v>
      </c>
      <c r="D146" s="12">
        <v>33</v>
      </c>
      <c r="E146" t="s">
        <v>41</v>
      </c>
      <c r="F146" t="s">
        <v>42</v>
      </c>
      <c r="G146" t="s">
        <v>25</v>
      </c>
      <c r="H146">
        <v>7</v>
      </c>
      <c r="I146" s="1">
        <v>44850</v>
      </c>
      <c r="J146" s="10">
        <v>97856</v>
      </c>
      <c r="K146" s="10">
        <v>12444</v>
      </c>
      <c r="L146">
        <v>4</v>
      </c>
      <c r="M146" t="s">
        <v>52</v>
      </c>
      <c r="N146" t="s">
        <v>58</v>
      </c>
      <c r="O146" t="s">
        <v>28</v>
      </c>
      <c r="P146" t="s">
        <v>28</v>
      </c>
      <c r="Q146">
        <v>14</v>
      </c>
      <c r="R146">
        <v>9</v>
      </c>
      <c r="S146">
        <v>1</v>
      </c>
      <c r="T146" t="s">
        <v>30</v>
      </c>
      <c r="U146" t="str">
        <f>IF(AND(Employees_Data[[#This Row],[Age]]&gt;=20,Employees_Data[[#This Row],[Age]]&lt;=30),"Young",IF(AND(Employees_Data[[#This Row],[Age]]&gt;=31,Employees_Data[[#This Row],[Age]]&lt;=40),"Mid-Age",IF(Employees_Data[[#This Row],[Age]]&gt;=41,"Senior")))</f>
        <v>Mid-Age</v>
      </c>
      <c r="V146" t="str">
        <f>IF(Employees_Data[[#This Row],[Salary]]&lt;=30000,"Low",IF(AND(Employees_Data[[#This Row],[Salary]]&gt;30000,Employees_Data[[#This Row],[Salary]]&lt;=60000),"Medium",IF(AND(Employees_Data[[#This Row],[Salary]]&gt;60000,Employees_Data[[#This Row],[Salary]]&lt;=90000),"High",IF(Employees_Data[[#This Row],[Salary]]&gt;90000,"Executive"))))</f>
        <v>Executive</v>
      </c>
      <c r="W14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46" s="14" t="str">
        <f>VLOOKUP(Employees_Data[[#This Row],[Department]],Departments!$A$2:$B$7,2,FALSE)</f>
        <v>D03</v>
      </c>
      <c r="Y146" s="14" t="str">
        <f>INDEX(Departments!$B$2:$B$7,MATCH(Employees_Data[[#This Row],[Department]],Departments!$A$2:$A$7,0))</f>
        <v>D03</v>
      </c>
      <c r="Z146" s="14" t="str">
        <f>INDEX(Salary_Bands!$C$2:$C$5,MATCH(Employees_Data[[#This Row],[Salary]],Salary_Bands!$A$2:$A$5,1))</f>
        <v>Executive</v>
      </c>
    </row>
    <row r="147" spans="1:26" hidden="1" x14ac:dyDescent="0.3">
      <c r="A147" t="s">
        <v>355</v>
      </c>
      <c r="B147" t="s">
        <v>356</v>
      </c>
      <c r="C147" t="s">
        <v>40</v>
      </c>
      <c r="D147" s="12">
        <v>52</v>
      </c>
      <c r="E147" t="s">
        <v>87</v>
      </c>
      <c r="F147" t="s">
        <v>91</v>
      </c>
      <c r="G147" t="s">
        <v>25</v>
      </c>
      <c r="H147">
        <v>30</v>
      </c>
      <c r="I147" s="1">
        <v>44024</v>
      </c>
      <c r="J147" s="10">
        <v>64418</v>
      </c>
      <c r="K147" s="10">
        <v>19366</v>
      </c>
      <c r="L147">
        <v>2</v>
      </c>
      <c r="M147" t="s">
        <v>26</v>
      </c>
      <c r="N147" t="s">
        <v>58</v>
      </c>
      <c r="O147" t="s">
        <v>28</v>
      </c>
      <c r="P147" t="s">
        <v>29</v>
      </c>
      <c r="Q147">
        <v>21</v>
      </c>
      <c r="R147">
        <v>6</v>
      </c>
      <c r="S147">
        <v>8</v>
      </c>
      <c r="T147" t="s">
        <v>30</v>
      </c>
      <c r="U147" t="str">
        <f>IF(AND(Employees_Data[[#This Row],[Age]]&gt;=20,Employees_Data[[#This Row],[Age]]&lt;=30),"Young",IF(AND(Employees_Data[[#This Row],[Age]]&gt;=31,Employees_Data[[#This Row],[Age]]&lt;=40),"Mid-Age",IF(Employees_Data[[#This Row],[Age]]&gt;=41,"Senior")))</f>
        <v>Senior</v>
      </c>
      <c r="V147" t="str">
        <f>IF(Employees_Data[[#This Row],[Salary]]&lt;=30000,"Low",IF(AND(Employees_Data[[#This Row],[Salary]]&gt;30000,Employees_Data[[#This Row],[Salary]]&lt;=60000),"Medium",IF(AND(Employees_Data[[#This Row],[Salary]]&gt;60000,Employees_Data[[#This Row],[Salary]]&lt;=90000),"High",IF(Employees_Data[[#This Row],[Salary]]&gt;90000,"Executive"))))</f>
        <v>High</v>
      </c>
      <c r="W14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47" s="14" t="str">
        <f>VLOOKUP(Employees_Data[[#This Row],[Department]],Departments!$A$2:$B$7,2,FALSE)</f>
        <v>D04</v>
      </c>
      <c r="Y147" s="14" t="str">
        <f>INDEX(Departments!$B$2:$B$7,MATCH(Employees_Data[[#This Row],[Department]],Departments!$A$2:$A$7,0))</f>
        <v>D04</v>
      </c>
      <c r="Z147" s="14" t="str">
        <f>INDEX(Salary_Bands!$C$2:$C$5,MATCH(Employees_Data[[#This Row],[Salary]],Salary_Bands!$A$2:$A$5,1))</f>
        <v>High</v>
      </c>
    </row>
    <row r="148" spans="1:26" x14ac:dyDescent="0.3">
      <c r="A148" t="s">
        <v>357</v>
      </c>
      <c r="B148" t="s">
        <v>358</v>
      </c>
      <c r="C148" t="s">
        <v>22</v>
      </c>
      <c r="D148" s="12">
        <v>27</v>
      </c>
      <c r="E148" t="s">
        <v>41</v>
      </c>
      <c r="F148" t="s">
        <v>69</v>
      </c>
      <c r="G148" t="s">
        <v>80</v>
      </c>
      <c r="H148">
        <v>3</v>
      </c>
      <c r="I148" s="1">
        <v>44620</v>
      </c>
      <c r="J148" s="10">
        <v>37119</v>
      </c>
      <c r="K148" s="10">
        <v>8165</v>
      </c>
      <c r="L148">
        <v>5</v>
      </c>
      <c r="M148" t="s">
        <v>52</v>
      </c>
      <c r="N148" t="s">
        <v>48</v>
      </c>
      <c r="O148" s="5" t="s">
        <v>29</v>
      </c>
      <c r="P148" t="s">
        <v>29</v>
      </c>
      <c r="Q148">
        <v>35</v>
      </c>
      <c r="R148">
        <v>6</v>
      </c>
      <c r="S148">
        <v>4</v>
      </c>
      <c r="T148" t="s">
        <v>30</v>
      </c>
      <c r="U148" t="str">
        <f>IF(AND(Employees_Data[[#This Row],[Age]]&gt;=20,Employees_Data[[#This Row],[Age]]&lt;=30),"Young",IF(AND(Employees_Data[[#This Row],[Age]]&gt;=31,Employees_Data[[#This Row],[Age]]&lt;=40),"Mid-Age",IF(Employees_Data[[#This Row],[Age]]&gt;=41,"Senior")))</f>
        <v>Young</v>
      </c>
      <c r="V148" t="str">
        <f>IF(Employees_Data[[#This Row],[Salary]]&lt;=30000,"Low",IF(AND(Employees_Data[[#This Row],[Salary]]&gt;30000,Employees_Data[[#This Row],[Salary]]&lt;=60000),"Medium",IF(AND(Employees_Data[[#This Row],[Salary]]&gt;60000,Employees_Data[[#This Row],[Salary]]&lt;=90000),"High",IF(Employees_Data[[#This Row],[Salary]]&gt;90000,"Executive"))))</f>
        <v>Medium</v>
      </c>
      <c r="W14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148" s="14" t="str">
        <f>VLOOKUP(Employees_Data[[#This Row],[Department]],Departments!$A$2:$B$7,2,FALSE)</f>
        <v>D03</v>
      </c>
      <c r="Y148" s="14" t="str">
        <f>INDEX(Departments!$B$2:$B$7,MATCH(Employees_Data[[#This Row],[Department]],Departments!$A$2:$A$7,0))</f>
        <v>D03</v>
      </c>
      <c r="Z148" s="14" t="str">
        <f>INDEX(Salary_Bands!$C$2:$C$5,MATCH(Employees_Data[[#This Row],[Salary]],Salary_Bands!$A$2:$A$5,1))</f>
        <v>Medium</v>
      </c>
    </row>
    <row r="149" spans="1:26" hidden="1" x14ac:dyDescent="0.3">
      <c r="A149" t="s">
        <v>359</v>
      </c>
      <c r="B149" t="s">
        <v>360</v>
      </c>
      <c r="C149" t="s">
        <v>22</v>
      </c>
      <c r="D149" s="12">
        <v>22</v>
      </c>
      <c r="E149" t="s">
        <v>41</v>
      </c>
      <c r="F149" t="s">
        <v>232</v>
      </c>
      <c r="G149" t="s">
        <v>47</v>
      </c>
      <c r="H149">
        <v>0</v>
      </c>
      <c r="I149" s="1">
        <v>43879</v>
      </c>
      <c r="J149" s="10">
        <v>122186</v>
      </c>
      <c r="K149" s="10">
        <v>9842</v>
      </c>
      <c r="L149">
        <v>1</v>
      </c>
      <c r="M149" t="s">
        <v>52</v>
      </c>
      <c r="N149" t="s">
        <v>37</v>
      </c>
      <c r="O149" t="s">
        <v>28</v>
      </c>
      <c r="P149" t="s">
        <v>28</v>
      </c>
      <c r="Q149">
        <v>29</v>
      </c>
      <c r="R149">
        <v>14</v>
      </c>
      <c r="S149">
        <v>8</v>
      </c>
      <c r="T149" t="s">
        <v>30</v>
      </c>
      <c r="U149" t="str">
        <f>IF(AND(Employees_Data[[#This Row],[Age]]&gt;=20,Employees_Data[[#This Row],[Age]]&lt;=30),"Young",IF(AND(Employees_Data[[#This Row],[Age]]&gt;=31,Employees_Data[[#This Row],[Age]]&lt;=40),"Mid-Age",IF(Employees_Data[[#This Row],[Age]]&gt;=41,"Senior")))</f>
        <v>Young</v>
      </c>
      <c r="V149" t="str">
        <f>IF(Employees_Data[[#This Row],[Salary]]&lt;=30000,"Low",IF(AND(Employees_Data[[#This Row],[Salary]]&gt;30000,Employees_Data[[#This Row],[Salary]]&lt;=60000),"Medium",IF(AND(Employees_Data[[#This Row],[Salary]]&gt;60000,Employees_Data[[#This Row],[Salary]]&lt;=90000),"High",IF(Employees_Data[[#This Row],[Salary]]&gt;90000,"Executive"))))</f>
        <v>Executive</v>
      </c>
      <c r="W14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49" s="14" t="str">
        <f>VLOOKUP(Employees_Data[[#This Row],[Department]],Departments!$A$2:$B$7,2,FALSE)</f>
        <v>D03</v>
      </c>
      <c r="Y149" s="14" t="str">
        <f>INDEX(Departments!$B$2:$B$7,MATCH(Employees_Data[[#This Row],[Department]],Departments!$A$2:$A$7,0))</f>
        <v>D03</v>
      </c>
      <c r="Z149" s="14" t="str">
        <f>INDEX(Salary_Bands!$C$2:$C$5,MATCH(Employees_Data[[#This Row],[Salary]],Salary_Bands!$A$2:$A$5,1))</f>
        <v>Executive</v>
      </c>
    </row>
    <row r="150" spans="1:26" hidden="1" x14ac:dyDescent="0.3">
      <c r="A150" t="s">
        <v>361</v>
      </c>
      <c r="B150" t="s">
        <v>362</v>
      </c>
      <c r="C150" t="s">
        <v>40</v>
      </c>
      <c r="D150" s="12">
        <v>44</v>
      </c>
      <c r="E150" t="s">
        <v>33</v>
      </c>
      <c r="F150" t="s">
        <v>34</v>
      </c>
      <c r="G150" t="s">
        <v>51</v>
      </c>
      <c r="H150">
        <v>21</v>
      </c>
      <c r="I150" s="1">
        <v>44172</v>
      </c>
      <c r="J150" s="10">
        <v>72139</v>
      </c>
      <c r="K150" s="10">
        <v>8656</v>
      </c>
      <c r="L150">
        <v>5</v>
      </c>
      <c r="M150" t="s">
        <v>36</v>
      </c>
      <c r="N150" t="s">
        <v>37</v>
      </c>
      <c r="O150" t="s">
        <v>28</v>
      </c>
      <c r="P150" t="s">
        <v>28</v>
      </c>
      <c r="Q150">
        <v>7</v>
      </c>
      <c r="R150">
        <v>18</v>
      </c>
      <c r="S150">
        <v>8</v>
      </c>
      <c r="T150" t="s">
        <v>30</v>
      </c>
      <c r="U150" t="str">
        <f>IF(AND(Employees_Data[[#This Row],[Age]]&gt;=20,Employees_Data[[#This Row],[Age]]&lt;=30),"Young",IF(AND(Employees_Data[[#This Row],[Age]]&gt;=31,Employees_Data[[#This Row],[Age]]&lt;=40),"Mid-Age",IF(Employees_Data[[#This Row],[Age]]&gt;=41,"Senior")))</f>
        <v>Senior</v>
      </c>
      <c r="V150" t="str">
        <f>IF(Employees_Data[[#This Row],[Salary]]&lt;=30000,"Low",IF(AND(Employees_Data[[#This Row],[Salary]]&gt;30000,Employees_Data[[#This Row],[Salary]]&lt;=60000),"Medium",IF(AND(Employees_Data[[#This Row],[Salary]]&gt;60000,Employees_Data[[#This Row],[Salary]]&lt;=90000),"High",IF(Employees_Data[[#This Row],[Salary]]&gt;90000,"Executive"))))</f>
        <v>High</v>
      </c>
      <c r="W15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50" s="14" t="str">
        <f>VLOOKUP(Employees_Data[[#This Row],[Department]],Departments!$A$2:$B$7,2,FALSE)</f>
        <v>D05</v>
      </c>
      <c r="Y150" s="14" t="str">
        <f>INDEX(Departments!$B$2:$B$7,MATCH(Employees_Data[[#This Row],[Department]],Departments!$A$2:$A$7,0))</f>
        <v>D05</v>
      </c>
      <c r="Z150" s="14" t="str">
        <f>INDEX(Salary_Bands!$C$2:$C$5,MATCH(Employees_Data[[#This Row],[Salary]],Salary_Bands!$A$2:$A$5,1))</f>
        <v>High</v>
      </c>
    </row>
    <row r="151" spans="1:26" hidden="1" x14ac:dyDescent="0.3">
      <c r="A151" t="s">
        <v>363</v>
      </c>
      <c r="B151" t="s">
        <v>364</v>
      </c>
      <c r="C151" t="s">
        <v>22</v>
      </c>
      <c r="D151" s="12">
        <v>31</v>
      </c>
      <c r="E151" t="s">
        <v>61</v>
      </c>
      <c r="F151" t="s">
        <v>66</v>
      </c>
      <c r="G151" t="s">
        <v>51</v>
      </c>
      <c r="H151">
        <v>10</v>
      </c>
      <c r="I151" s="1">
        <v>44169</v>
      </c>
      <c r="J151" s="10">
        <v>97523</v>
      </c>
      <c r="K151" s="10">
        <v>9537</v>
      </c>
      <c r="L151">
        <v>5</v>
      </c>
      <c r="M151" t="s">
        <v>36</v>
      </c>
      <c r="N151" t="s">
        <v>53</v>
      </c>
      <c r="O151" t="s">
        <v>28</v>
      </c>
      <c r="P151" t="s">
        <v>29</v>
      </c>
      <c r="Q151">
        <v>36</v>
      </c>
      <c r="R151">
        <v>17</v>
      </c>
      <c r="S151">
        <v>10</v>
      </c>
      <c r="T151" t="s">
        <v>30</v>
      </c>
      <c r="U151" t="str">
        <f>IF(AND(Employees_Data[[#This Row],[Age]]&gt;=20,Employees_Data[[#This Row],[Age]]&lt;=30),"Young",IF(AND(Employees_Data[[#This Row],[Age]]&gt;=31,Employees_Data[[#This Row],[Age]]&lt;=40),"Mid-Age",IF(Employees_Data[[#This Row],[Age]]&gt;=41,"Senior")))</f>
        <v>Mid-Age</v>
      </c>
      <c r="V151" t="str">
        <f>IF(Employees_Data[[#This Row],[Salary]]&lt;=30000,"Low",IF(AND(Employees_Data[[#This Row],[Salary]]&gt;30000,Employees_Data[[#This Row],[Salary]]&lt;=60000),"Medium",IF(AND(Employees_Data[[#This Row],[Salary]]&gt;60000,Employees_Data[[#This Row],[Salary]]&lt;=90000),"High",IF(Employees_Data[[#This Row],[Salary]]&gt;90000,"Executive"))))</f>
        <v>Executive</v>
      </c>
      <c r="W15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51" s="14" t="str">
        <f>VLOOKUP(Employees_Data[[#This Row],[Department]],Departments!$A$2:$B$7,2,FALSE)</f>
        <v>D02</v>
      </c>
      <c r="Y151" s="14" t="str">
        <f>INDEX(Departments!$B$2:$B$7,MATCH(Employees_Data[[#This Row],[Department]],Departments!$A$2:$A$7,0))</f>
        <v>D02</v>
      </c>
      <c r="Z151" s="14" t="str">
        <f>INDEX(Salary_Bands!$C$2:$C$5,MATCH(Employees_Data[[#This Row],[Salary]],Salary_Bands!$A$2:$A$5,1))</f>
        <v>Executive</v>
      </c>
    </row>
    <row r="152" spans="1:26" hidden="1" x14ac:dyDescent="0.3">
      <c r="A152" t="s">
        <v>365</v>
      </c>
      <c r="B152" t="s">
        <v>366</v>
      </c>
      <c r="C152" t="s">
        <v>22</v>
      </c>
      <c r="D152" s="12">
        <v>43</v>
      </c>
      <c r="E152" t="s">
        <v>23</v>
      </c>
      <c r="F152" t="s">
        <v>109</v>
      </c>
      <c r="G152" t="s">
        <v>35</v>
      </c>
      <c r="H152">
        <v>20</v>
      </c>
      <c r="I152" s="1">
        <v>45102</v>
      </c>
      <c r="J152" s="10">
        <v>119838</v>
      </c>
      <c r="K152" s="10">
        <v>19909</v>
      </c>
      <c r="L152">
        <v>4</v>
      </c>
      <c r="M152" t="s">
        <v>36</v>
      </c>
      <c r="N152" t="s">
        <v>76</v>
      </c>
      <c r="O152" t="s">
        <v>28</v>
      </c>
      <c r="P152" t="s">
        <v>29</v>
      </c>
      <c r="Q152">
        <v>38</v>
      </c>
      <c r="R152">
        <v>1</v>
      </c>
      <c r="S152">
        <v>8</v>
      </c>
      <c r="T152" t="s">
        <v>30</v>
      </c>
      <c r="U152" t="str">
        <f>IF(AND(Employees_Data[[#This Row],[Age]]&gt;=20,Employees_Data[[#This Row],[Age]]&lt;=30),"Young",IF(AND(Employees_Data[[#This Row],[Age]]&gt;=31,Employees_Data[[#This Row],[Age]]&lt;=40),"Mid-Age",IF(Employees_Data[[#This Row],[Age]]&gt;=41,"Senior")))</f>
        <v>Senior</v>
      </c>
      <c r="V152" t="str">
        <f>IF(Employees_Data[[#This Row],[Salary]]&lt;=30000,"Low",IF(AND(Employees_Data[[#This Row],[Salary]]&gt;30000,Employees_Data[[#This Row],[Salary]]&lt;=60000),"Medium",IF(AND(Employees_Data[[#This Row],[Salary]]&gt;60000,Employees_Data[[#This Row],[Salary]]&lt;=90000),"High",IF(Employees_Data[[#This Row],[Salary]]&gt;90000,"Executive"))))</f>
        <v>Executive</v>
      </c>
      <c r="W15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52" s="14" t="str">
        <f>VLOOKUP(Employees_Data[[#This Row],[Department]],Departments!$A$2:$B$7,2,FALSE)</f>
        <v>D06</v>
      </c>
      <c r="Y152" s="14" t="str">
        <f>INDEX(Departments!$B$2:$B$7,MATCH(Employees_Data[[#This Row],[Department]],Departments!$A$2:$A$7,0))</f>
        <v>D06</v>
      </c>
      <c r="Z152" s="14" t="str">
        <f>INDEX(Salary_Bands!$C$2:$C$5,MATCH(Employees_Data[[#This Row],[Salary]],Salary_Bands!$A$2:$A$5,1))</f>
        <v>Executive</v>
      </c>
    </row>
    <row r="153" spans="1:26" hidden="1" x14ac:dyDescent="0.3">
      <c r="A153" t="s">
        <v>367</v>
      </c>
      <c r="B153" t="s">
        <v>368</v>
      </c>
      <c r="C153" t="s">
        <v>40</v>
      </c>
      <c r="D153" s="12">
        <v>25</v>
      </c>
      <c r="E153" t="s">
        <v>56</v>
      </c>
      <c r="F153" t="s">
        <v>79</v>
      </c>
      <c r="G153" t="s">
        <v>51</v>
      </c>
      <c r="H153">
        <v>4</v>
      </c>
      <c r="I153" s="1">
        <v>44790</v>
      </c>
      <c r="J153" s="10">
        <v>43021</v>
      </c>
      <c r="K153" s="10">
        <v>3980</v>
      </c>
      <c r="L153">
        <v>2</v>
      </c>
      <c r="M153" t="s">
        <v>52</v>
      </c>
      <c r="N153" t="s">
        <v>48</v>
      </c>
      <c r="O153" t="s">
        <v>28</v>
      </c>
      <c r="P153" t="s">
        <v>28</v>
      </c>
      <c r="Q153">
        <v>47</v>
      </c>
      <c r="R153">
        <v>15</v>
      </c>
      <c r="S153">
        <v>2</v>
      </c>
      <c r="T153" t="s">
        <v>43</v>
      </c>
      <c r="U153" t="str">
        <f>IF(AND(Employees_Data[[#This Row],[Age]]&gt;=20,Employees_Data[[#This Row],[Age]]&lt;=30),"Young",IF(AND(Employees_Data[[#This Row],[Age]]&gt;=31,Employees_Data[[#This Row],[Age]]&lt;=40),"Mid-Age",IF(Employees_Data[[#This Row],[Age]]&gt;=41,"Senior")))</f>
        <v>Young</v>
      </c>
      <c r="V153" t="str">
        <f>IF(Employees_Data[[#This Row],[Salary]]&lt;=30000,"Low",IF(AND(Employees_Data[[#This Row],[Salary]]&gt;30000,Employees_Data[[#This Row],[Salary]]&lt;=60000),"Medium",IF(AND(Employees_Data[[#This Row],[Salary]]&gt;60000,Employees_Data[[#This Row],[Salary]]&lt;=90000),"High",IF(Employees_Data[[#This Row],[Salary]]&gt;90000,"Executive"))))</f>
        <v>Medium</v>
      </c>
      <c r="W15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153" s="14" t="str">
        <f>VLOOKUP(Employees_Data[[#This Row],[Department]],Departments!$A$2:$B$7,2,FALSE)</f>
        <v>D01</v>
      </c>
      <c r="Y153" s="14" t="str">
        <f>INDEX(Departments!$B$2:$B$7,MATCH(Employees_Data[[#This Row],[Department]],Departments!$A$2:$A$7,0))</f>
        <v>D01</v>
      </c>
      <c r="Z153" s="14" t="str">
        <f>INDEX(Salary_Bands!$C$2:$C$5,MATCH(Employees_Data[[#This Row],[Salary]],Salary_Bands!$A$2:$A$5,1))</f>
        <v>Medium</v>
      </c>
    </row>
    <row r="154" spans="1:26" hidden="1" x14ac:dyDescent="0.3">
      <c r="A154" t="s">
        <v>369</v>
      </c>
      <c r="B154" t="s">
        <v>370</v>
      </c>
      <c r="C154" t="s">
        <v>40</v>
      </c>
      <c r="D154" s="12">
        <v>48</v>
      </c>
      <c r="E154" t="s">
        <v>56</v>
      </c>
      <c r="F154" t="s">
        <v>57</v>
      </c>
      <c r="G154" t="s">
        <v>35</v>
      </c>
      <c r="H154">
        <v>27</v>
      </c>
      <c r="I154" s="1">
        <v>43169</v>
      </c>
      <c r="J154" s="10">
        <v>94391</v>
      </c>
      <c r="K154" s="10">
        <v>5506</v>
      </c>
      <c r="L154">
        <v>3</v>
      </c>
      <c r="M154" t="s">
        <v>26</v>
      </c>
      <c r="N154" t="s">
        <v>53</v>
      </c>
      <c r="O154" t="s">
        <v>28</v>
      </c>
      <c r="P154" t="s">
        <v>29</v>
      </c>
      <c r="Q154">
        <v>20</v>
      </c>
      <c r="R154">
        <v>6</v>
      </c>
      <c r="S154">
        <v>9</v>
      </c>
      <c r="T154" t="s">
        <v>43</v>
      </c>
      <c r="U154" t="str">
        <f>IF(AND(Employees_Data[[#This Row],[Age]]&gt;=20,Employees_Data[[#This Row],[Age]]&lt;=30),"Young",IF(AND(Employees_Data[[#This Row],[Age]]&gt;=31,Employees_Data[[#This Row],[Age]]&lt;=40),"Mid-Age",IF(Employees_Data[[#This Row],[Age]]&gt;=41,"Senior")))</f>
        <v>Senior</v>
      </c>
      <c r="V154" t="str">
        <f>IF(Employees_Data[[#This Row],[Salary]]&lt;=30000,"Low",IF(AND(Employees_Data[[#This Row],[Salary]]&gt;30000,Employees_Data[[#This Row],[Salary]]&lt;=60000),"Medium",IF(AND(Employees_Data[[#This Row],[Salary]]&gt;60000,Employees_Data[[#This Row],[Salary]]&lt;=90000),"High",IF(Employees_Data[[#This Row],[Salary]]&gt;90000,"Executive"))))</f>
        <v>Executive</v>
      </c>
      <c r="W15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54" s="14" t="str">
        <f>VLOOKUP(Employees_Data[[#This Row],[Department]],Departments!$A$2:$B$7,2,FALSE)</f>
        <v>D01</v>
      </c>
      <c r="Y154" s="14" t="str">
        <f>INDEX(Departments!$B$2:$B$7,MATCH(Employees_Data[[#This Row],[Department]],Departments!$A$2:$A$7,0))</f>
        <v>D01</v>
      </c>
      <c r="Z154" s="14" t="str">
        <f>INDEX(Salary_Bands!$C$2:$C$5,MATCH(Employees_Data[[#This Row],[Salary]],Salary_Bands!$A$2:$A$5,1))</f>
        <v>Executive</v>
      </c>
    </row>
    <row r="155" spans="1:26" hidden="1" x14ac:dyDescent="0.3">
      <c r="A155" t="s">
        <v>371</v>
      </c>
      <c r="B155" t="s">
        <v>372</v>
      </c>
      <c r="C155" t="s">
        <v>22</v>
      </c>
      <c r="D155" s="12">
        <v>38</v>
      </c>
      <c r="E155" t="s">
        <v>33</v>
      </c>
      <c r="F155" t="s">
        <v>34</v>
      </c>
      <c r="G155" t="s">
        <v>35</v>
      </c>
      <c r="H155">
        <v>15</v>
      </c>
      <c r="I155" s="1">
        <v>44195</v>
      </c>
      <c r="J155" s="10">
        <v>129193</v>
      </c>
      <c r="K155" s="10">
        <v>11829</v>
      </c>
      <c r="L155">
        <v>4</v>
      </c>
      <c r="M155" t="s">
        <v>52</v>
      </c>
      <c r="N155" t="s">
        <v>63</v>
      </c>
      <c r="O155" t="s">
        <v>28</v>
      </c>
      <c r="P155" t="s">
        <v>29</v>
      </c>
      <c r="Q155">
        <v>46</v>
      </c>
      <c r="R155">
        <v>20</v>
      </c>
      <c r="S155">
        <v>2</v>
      </c>
      <c r="T155" t="s">
        <v>30</v>
      </c>
      <c r="U155" t="str">
        <f>IF(AND(Employees_Data[[#This Row],[Age]]&gt;=20,Employees_Data[[#This Row],[Age]]&lt;=30),"Young",IF(AND(Employees_Data[[#This Row],[Age]]&gt;=31,Employees_Data[[#This Row],[Age]]&lt;=40),"Mid-Age",IF(Employees_Data[[#This Row],[Age]]&gt;=41,"Senior")))</f>
        <v>Mid-Age</v>
      </c>
      <c r="V155" t="str">
        <f>IF(Employees_Data[[#This Row],[Salary]]&lt;=30000,"Low",IF(AND(Employees_Data[[#This Row],[Salary]]&gt;30000,Employees_Data[[#This Row],[Salary]]&lt;=60000),"Medium",IF(AND(Employees_Data[[#This Row],[Salary]]&gt;60000,Employees_Data[[#This Row],[Salary]]&lt;=90000),"High",IF(Employees_Data[[#This Row],[Salary]]&gt;90000,"Executive"))))</f>
        <v>Executive</v>
      </c>
      <c r="W15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55" s="14" t="str">
        <f>VLOOKUP(Employees_Data[[#This Row],[Department]],Departments!$A$2:$B$7,2,FALSE)</f>
        <v>D05</v>
      </c>
      <c r="Y155" s="14" t="str">
        <f>INDEX(Departments!$B$2:$B$7,MATCH(Employees_Data[[#This Row],[Department]],Departments!$A$2:$A$7,0))</f>
        <v>D05</v>
      </c>
      <c r="Z155" s="14" t="str">
        <f>INDEX(Salary_Bands!$C$2:$C$5,MATCH(Employees_Data[[#This Row],[Salary]],Salary_Bands!$A$2:$A$5,1))</f>
        <v>Executive</v>
      </c>
    </row>
    <row r="156" spans="1:26" hidden="1" x14ac:dyDescent="0.3">
      <c r="A156" t="s">
        <v>373</v>
      </c>
      <c r="B156" t="s">
        <v>374</v>
      </c>
      <c r="C156" t="s">
        <v>22</v>
      </c>
      <c r="D156" s="12">
        <v>47</v>
      </c>
      <c r="E156" t="s">
        <v>56</v>
      </c>
      <c r="F156" t="s">
        <v>57</v>
      </c>
      <c r="G156" t="s">
        <v>47</v>
      </c>
      <c r="H156">
        <v>23</v>
      </c>
      <c r="I156" s="1">
        <v>44645</v>
      </c>
      <c r="J156" s="10">
        <v>97443</v>
      </c>
      <c r="K156" s="10">
        <v>16218</v>
      </c>
      <c r="L156">
        <v>4</v>
      </c>
      <c r="M156" t="s">
        <v>52</v>
      </c>
      <c r="N156" t="s">
        <v>63</v>
      </c>
      <c r="O156" t="s">
        <v>28</v>
      </c>
      <c r="P156" t="s">
        <v>28</v>
      </c>
      <c r="Q156">
        <v>41</v>
      </c>
      <c r="R156">
        <v>3</v>
      </c>
      <c r="S156">
        <v>1</v>
      </c>
      <c r="T156" t="s">
        <v>30</v>
      </c>
      <c r="U156" t="str">
        <f>IF(AND(Employees_Data[[#This Row],[Age]]&gt;=20,Employees_Data[[#This Row],[Age]]&lt;=30),"Young",IF(AND(Employees_Data[[#This Row],[Age]]&gt;=31,Employees_Data[[#This Row],[Age]]&lt;=40),"Mid-Age",IF(Employees_Data[[#This Row],[Age]]&gt;=41,"Senior")))</f>
        <v>Senior</v>
      </c>
      <c r="V156" t="str">
        <f>IF(Employees_Data[[#This Row],[Salary]]&lt;=30000,"Low",IF(AND(Employees_Data[[#This Row],[Salary]]&gt;30000,Employees_Data[[#This Row],[Salary]]&lt;=60000),"Medium",IF(AND(Employees_Data[[#This Row],[Salary]]&gt;60000,Employees_Data[[#This Row],[Salary]]&lt;=90000),"High",IF(Employees_Data[[#This Row],[Salary]]&gt;90000,"Executive"))))</f>
        <v>Executive</v>
      </c>
      <c r="W15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56" s="14" t="str">
        <f>VLOOKUP(Employees_Data[[#This Row],[Department]],Departments!$A$2:$B$7,2,FALSE)</f>
        <v>D01</v>
      </c>
      <c r="Y156" s="14" t="str">
        <f>INDEX(Departments!$B$2:$B$7,MATCH(Employees_Data[[#This Row],[Department]],Departments!$A$2:$A$7,0))</f>
        <v>D01</v>
      </c>
      <c r="Z156" s="14" t="str">
        <f>INDEX(Salary_Bands!$C$2:$C$5,MATCH(Employees_Data[[#This Row],[Salary]],Salary_Bands!$A$2:$A$5,1))</f>
        <v>Executive</v>
      </c>
    </row>
    <row r="157" spans="1:26" hidden="1" x14ac:dyDescent="0.3">
      <c r="A157" t="s">
        <v>375</v>
      </c>
      <c r="B157" t="s">
        <v>376</v>
      </c>
      <c r="C157" t="s">
        <v>40</v>
      </c>
      <c r="D157" s="12">
        <v>36</v>
      </c>
      <c r="E157" t="s">
        <v>33</v>
      </c>
      <c r="F157" t="s">
        <v>118</v>
      </c>
      <c r="G157" t="s">
        <v>25</v>
      </c>
      <c r="H157">
        <v>14</v>
      </c>
      <c r="I157" s="1">
        <v>45422</v>
      </c>
      <c r="J157" s="10">
        <v>87324</v>
      </c>
      <c r="K157" s="10">
        <v>20465</v>
      </c>
      <c r="L157">
        <v>3</v>
      </c>
      <c r="M157" t="s">
        <v>52</v>
      </c>
      <c r="N157" t="s">
        <v>27</v>
      </c>
      <c r="O157" t="s">
        <v>28</v>
      </c>
      <c r="P157" t="s">
        <v>29</v>
      </c>
      <c r="Q157">
        <v>59</v>
      </c>
      <c r="R157">
        <v>10</v>
      </c>
      <c r="S157">
        <v>1</v>
      </c>
      <c r="T157" t="s">
        <v>30</v>
      </c>
      <c r="U157" t="str">
        <f>IF(AND(Employees_Data[[#This Row],[Age]]&gt;=20,Employees_Data[[#This Row],[Age]]&lt;=30),"Young",IF(AND(Employees_Data[[#This Row],[Age]]&gt;=31,Employees_Data[[#This Row],[Age]]&lt;=40),"Mid-Age",IF(Employees_Data[[#This Row],[Age]]&gt;=41,"Senior")))</f>
        <v>Mid-Age</v>
      </c>
      <c r="V157" t="str">
        <f>IF(Employees_Data[[#This Row],[Salary]]&lt;=30000,"Low",IF(AND(Employees_Data[[#This Row],[Salary]]&gt;30000,Employees_Data[[#This Row],[Salary]]&lt;=60000),"Medium",IF(AND(Employees_Data[[#This Row],[Salary]]&gt;60000,Employees_Data[[#This Row],[Salary]]&lt;=90000),"High",IF(Employees_Data[[#This Row],[Salary]]&gt;90000,"Executive"))))</f>
        <v>High</v>
      </c>
      <c r="W15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57" s="14" t="str">
        <f>VLOOKUP(Employees_Data[[#This Row],[Department]],Departments!$A$2:$B$7,2,FALSE)</f>
        <v>D05</v>
      </c>
      <c r="Y157" s="14" t="str">
        <f>INDEX(Departments!$B$2:$B$7,MATCH(Employees_Data[[#This Row],[Department]],Departments!$A$2:$A$7,0))</f>
        <v>D05</v>
      </c>
      <c r="Z157" s="14" t="str">
        <f>INDEX(Salary_Bands!$C$2:$C$5,MATCH(Employees_Data[[#This Row],[Salary]],Salary_Bands!$A$2:$A$5,1))</f>
        <v>High</v>
      </c>
    </row>
    <row r="158" spans="1:26" hidden="1" x14ac:dyDescent="0.3">
      <c r="A158" t="s">
        <v>377</v>
      </c>
      <c r="B158" t="s">
        <v>378</v>
      </c>
      <c r="C158" t="s">
        <v>40</v>
      </c>
      <c r="D158" s="12">
        <v>31</v>
      </c>
      <c r="E158" t="s">
        <v>56</v>
      </c>
      <c r="F158" t="s">
        <v>57</v>
      </c>
      <c r="G158" t="s">
        <v>25</v>
      </c>
      <c r="H158">
        <v>5</v>
      </c>
      <c r="I158" s="1">
        <v>44732</v>
      </c>
      <c r="J158" s="10">
        <v>146749</v>
      </c>
      <c r="K158" s="10">
        <v>12870</v>
      </c>
      <c r="L158">
        <v>1</v>
      </c>
      <c r="M158" t="s">
        <v>36</v>
      </c>
      <c r="N158" t="s">
        <v>63</v>
      </c>
      <c r="O158" t="s">
        <v>28</v>
      </c>
      <c r="P158" t="s">
        <v>29</v>
      </c>
      <c r="Q158">
        <v>55</v>
      </c>
      <c r="R158">
        <v>2</v>
      </c>
      <c r="S158">
        <v>5</v>
      </c>
      <c r="T158" t="s">
        <v>30</v>
      </c>
      <c r="U158" t="str">
        <f>IF(AND(Employees_Data[[#This Row],[Age]]&gt;=20,Employees_Data[[#This Row],[Age]]&lt;=30),"Young",IF(AND(Employees_Data[[#This Row],[Age]]&gt;=31,Employees_Data[[#This Row],[Age]]&lt;=40),"Mid-Age",IF(Employees_Data[[#This Row],[Age]]&gt;=41,"Senior")))</f>
        <v>Mid-Age</v>
      </c>
      <c r="V158" t="str">
        <f>IF(Employees_Data[[#This Row],[Salary]]&lt;=30000,"Low",IF(AND(Employees_Data[[#This Row],[Salary]]&gt;30000,Employees_Data[[#This Row],[Salary]]&lt;=60000),"Medium",IF(AND(Employees_Data[[#This Row],[Salary]]&gt;60000,Employees_Data[[#This Row],[Salary]]&lt;=90000),"High",IF(Employees_Data[[#This Row],[Salary]]&gt;90000,"Executive"))))</f>
        <v>Executive</v>
      </c>
      <c r="W15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158" s="14" t="str">
        <f>VLOOKUP(Employees_Data[[#This Row],[Department]],Departments!$A$2:$B$7,2,FALSE)</f>
        <v>D01</v>
      </c>
      <c r="Y158" s="14" t="str">
        <f>INDEX(Departments!$B$2:$B$7,MATCH(Employees_Data[[#This Row],[Department]],Departments!$A$2:$A$7,0))</f>
        <v>D01</v>
      </c>
      <c r="Z158" s="14" t="str">
        <f>INDEX(Salary_Bands!$C$2:$C$5,MATCH(Employees_Data[[#This Row],[Salary]],Salary_Bands!$A$2:$A$5,1))</f>
        <v>Executive</v>
      </c>
    </row>
    <row r="159" spans="1:26" hidden="1" x14ac:dyDescent="0.3">
      <c r="A159" t="s">
        <v>379</v>
      </c>
      <c r="B159" t="s">
        <v>380</v>
      </c>
      <c r="C159" t="s">
        <v>40</v>
      </c>
      <c r="D159" s="12">
        <v>44</v>
      </c>
      <c r="E159" t="s">
        <v>33</v>
      </c>
      <c r="F159" t="s">
        <v>34</v>
      </c>
      <c r="G159" t="s">
        <v>51</v>
      </c>
      <c r="H159">
        <v>23</v>
      </c>
      <c r="I159" s="1">
        <v>43501</v>
      </c>
      <c r="J159" s="10">
        <v>82290</v>
      </c>
      <c r="K159" s="10">
        <v>2970</v>
      </c>
      <c r="L159">
        <v>2</v>
      </c>
      <c r="M159" t="s">
        <v>52</v>
      </c>
      <c r="N159" t="s">
        <v>37</v>
      </c>
      <c r="O159" t="s">
        <v>28</v>
      </c>
      <c r="P159" t="s">
        <v>28</v>
      </c>
      <c r="Q159">
        <v>36</v>
      </c>
      <c r="R159">
        <v>7</v>
      </c>
      <c r="S159">
        <v>2</v>
      </c>
      <c r="T159" t="s">
        <v>30</v>
      </c>
      <c r="U159" t="str">
        <f>IF(AND(Employees_Data[[#This Row],[Age]]&gt;=20,Employees_Data[[#This Row],[Age]]&lt;=30),"Young",IF(AND(Employees_Data[[#This Row],[Age]]&gt;=31,Employees_Data[[#This Row],[Age]]&lt;=40),"Mid-Age",IF(Employees_Data[[#This Row],[Age]]&gt;=41,"Senior")))</f>
        <v>Senior</v>
      </c>
      <c r="V159" t="str">
        <f>IF(Employees_Data[[#This Row],[Salary]]&lt;=30000,"Low",IF(AND(Employees_Data[[#This Row],[Salary]]&gt;30000,Employees_Data[[#This Row],[Salary]]&lt;=60000),"Medium",IF(AND(Employees_Data[[#This Row],[Salary]]&gt;60000,Employees_Data[[#This Row],[Salary]]&lt;=90000),"High",IF(Employees_Data[[#This Row],[Salary]]&gt;90000,"Executive"))))</f>
        <v>High</v>
      </c>
      <c r="W15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59" s="14" t="str">
        <f>VLOOKUP(Employees_Data[[#This Row],[Department]],Departments!$A$2:$B$7,2,FALSE)</f>
        <v>D05</v>
      </c>
      <c r="Y159" s="14" t="str">
        <f>INDEX(Departments!$B$2:$B$7,MATCH(Employees_Data[[#This Row],[Department]],Departments!$A$2:$A$7,0))</f>
        <v>D05</v>
      </c>
      <c r="Z159" s="14" t="str">
        <f>INDEX(Salary_Bands!$C$2:$C$5,MATCH(Employees_Data[[#This Row],[Salary]],Salary_Bands!$A$2:$A$5,1))</f>
        <v>High</v>
      </c>
    </row>
    <row r="160" spans="1:26" x14ac:dyDescent="0.3">
      <c r="A160" t="s">
        <v>381</v>
      </c>
      <c r="B160" t="s">
        <v>382</v>
      </c>
      <c r="C160" t="s">
        <v>22</v>
      </c>
      <c r="D160" s="12">
        <v>46</v>
      </c>
      <c r="E160" t="s">
        <v>41</v>
      </c>
      <c r="F160" t="s">
        <v>69</v>
      </c>
      <c r="G160" t="s">
        <v>80</v>
      </c>
      <c r="H160">
        <v>22</v>
      </c>
      <c r="I160" s="1">
        <v>43861</v>
      </c>
      <c r="J160" s="10">
        <v>114088</v>
      </c>
      <c r="K160" s="10">
        <v>4688</v>
      </c>
      <c r="L160">
        <v>5</v>
      </c>
      <c r="M160" t="s">
        <v>36</v>
      </c>
      <c r="N160" t="s">
        <v>76</v>
      </c>
      <c r="O160" s="5" t="s">
        <v>29</v>
      </c>
      <c r="P160" t="s">
        <v>28</v>
      </c>
      <c r="Q160">
        <v>50</v>
      </c>
      <c r="R160">
        <v>20</v>
      </c>
      <c r="S160">
        <v>7</v>
      </c>
      <c r="T160" t="s">
        <v>30</v>
      </c>
      <c r="U160" t="str">
        <f>IF(AND(Employees_Data[[#This Row],[Age]]&gt;=20,Employees_Data[[#This Row],[Age]]&lt;=30),"Young",IF(AND(Employees_Data[[#This Row],[Age]]&gt;=31,Employees_Data[[#This Row],[Age]]&lt;=40),"Mid-Age",IF(Employees_Data[[#This Row],[Age]]&gt;=41,"Senior")))</f>
        <v>Senior</v>
      </c>
      <c r="V160" t="str">
        <f>IF(Employees_Data[[#This Row],[Salary]]&lt;=30000,"Low",IF(AND(Employees_Data[[#This Row],[Salary]]&gt;30000,Employees_Data[[#This Row],[Salary]]&lt;=60000),"Medium",IF(AND(Employees_Data[[#This Row],[Salary]]&gt;60000,Employees_Data[[#This Row],[Salary]]&lt;=90000),"High",IF(Employees_Data[[#This Row],[Salary]]&gt;90000,"Executive"))))</f>
        <v>Executive</v>
      </c>
      <c r="W16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60" s="14" t="str">
        <f>VLOOKUP(Employees_Data[[#This Row],[Department]],Departments!$A$2:$B$7,2,FALSE)</f>
        <v>D03</v>
      </c>
      <c r="Y160" s="14" t="str">
        <f>INDEX(Departments!$B$2:$B$7,MATCH(Employees_Data[[#This Row],[Department]],Departments!$A$2:$A$7,0))</f>
        <v>D03</v>
      </c>
      <c r="Z160" s="14" t="str">
        <f>INDEX(Salary_Bands!$C$2:$C$5,MATCH(Employees_Data[[#This Row],[Salary]],Salary_Bands!$A$2:$A$5,1))</f>
        <v>Executive</v>
      </c>
    </row>
    <row r="161" spans="1:26" hidden="1" x14ac:dyDescent="0.3">
      <c r="A161" t="s">
        <v>383</v>
      </c>
      <c r="B161" t="s">
        <v>384</v>
      </c>
      <c r="C161" t="s">
        <v>40</v>
      </c>
      <c r="D161" s="12">
        <v>46</v>
      </c>
      <c r="E161" t="s">
        <v>61</v>
      </c>
      <c r="F161" t="s">
        <v>66</v>
      </c>
      <c r="G161" t="s">
        <v>80</v>
      </c>
      <c r="H161">
        <v>23</v>
      </c>
      <c r="I161" s="1">
        <v>44578</v>
      </c>
      <c r="J161" s="10">
        <v>38965</v>
      </c>
      <c r="K161" s="10">
        <v>6341</v>
      </c>
      <c r="L161">
        <v>1</v>
      </c>
      <c r="M161" t="s">
        <v>26</v>
      </c>
      <c r="N161" t="s">
        <v>76</v>
      </c>
      <c r="O161" t="s">
        <v>28</v>
      </c>
      <c r="P161" t="s">
        <v>28</v>
      </c>
      <c r="Q161">
        <v>33</v>
      </c>
      <c r="R161">
        <v>17</v>
      </c>
      <c r="S161">
        <v>1</v>
      </c>
      <c r="T161" t="s">
        <v>30</v>
      </c>
      <c r="U161" t="str">
        <f>IF(AND(Employees_Data[[#This Row],[Age]]&gt;=20,Employees_Data[[#This Row],[Age]]&lt;=30),"Young",IF(AND(Employees_Data[[#This Row],[Age]]&gt;=31,Employees_Data[[#This Row],[Age]]&lt;=40),"Mid-Age",IF(Employees_Data[[#This Row],[Age]]&gt;=41,"Senior")))</f>
        <v>Senior</v>
      </c>
      <c r="V161" t="str">
        <f>IF(Employees_Data[[#This Row],[Salary]]&lt;=30000,"Low",IF(AND(Employees_Data[[#This Row],[Salary]]&gt;30000,Employees_Data[[#This Row],[Salary]]&lt;=60000),"Medium",IF(AND(Employees_Data[[#This Row],[Salary]]&gt;60000,Employees_Data[[#This Row],[Salary]]&lt;=90000),"High",IF(Employees_Data[[#This Row],[Salary]]&gt;90000,"Executive"))))</f>
        <v>Medium</v>
      </c>
      <c r="W16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61" s="14" t="str">
        <f>VLOOKUP(Employees_Data[[#This Row],[Department]],Departments!$A$2:$B$7,2,FALSE)</f>
        <v>D02</v>
      </c>
      <c r="Y161" s="14" t="str">
        <f>INDEX(Departments!$B$2:$B$7,MATCH(Employees_Data[[#This Row],[Department]],Departments!$A$2:$A$7,0))</f>
        <v>D02</v>
      </c>
      <c r="Z161" s="14" t="str">
        <f>INDEX(Salary_Bands!$C$2:$C$5,MATCH(Employees_Data[[#This Row],[Salary]],Salary_Bands!$A$2:$A$5,1))</f>
        <v>Medium</v>
      </c>
    </row>
    <row r="162" spans="1:26" x14ac:dyDescent="0.3">
      <c r="A162" t="s">
        <v>385</v>
      </c>
      <c r="B162" t="s">
        <v>386</v>
      </c>
      <c r="C162" t="s">
        <v>40</v>
      </c>
      <c r="D162" s="12">
        <v>48</v>
      </c>
      <c r="E162" t="s">
        <v>33</v>
      </c>
      <c r="F162" t="s">
        <v>34</v>
      </c>
      <c r="G162" t="s">
        <v>47</v>
      </c>
      <c r="H162">
        <v>27</v>
      </c>
      <c r="I162" s="1">
        <v>43208</v>
      </c>
      <c r="J162" s="10">
        <v>36746</v>
      </c>
      <c r="K162" s="10">
        <v>2404</v>
      </c>
      <c r="L162">
        <v>3</v>
      </c>
      <c r="M162" t="s">
        <v>36</v>
      </c>
      <c r="N162" t="s">
        <v>58</v>
      </c>
      <c r="O162" s="5" t="s">
        <v>29</v>
      </c>
      <c r="P162" t="s">
        <v>28</v>
      </c>
      <c r="Q162">
        <v>54</v>
      </c>
      <c r="R162">
        <v>2</v>
      </c>
      <c r="S162">
        <v>9</v>
      </c>
      <c r="T162" t="s">
        <v>30</v>
      </c>
      <c r="U162" t="str">
        <f>IF(AND(Employees_Data[[#This Row],[Age]]&gt;=20,Employees_Data[[#This Row],[Age]]&lt;=30),"Young",IF(AND(Employees_Data[[#This Row],[Age]]&gt;=31,Employees_Data[[#This Row],[Age]]&lt;=40),"Mid-Age",IF(Employees_Data[[#This Row],[Age]]&gt;=41,"Senior")))</f>
        <v>Senior</v>
      </c>
      <c r="V162" t="str">
        <f>IF(Employees_Data[[#This Row],[Salary]]&lt;=30000,"Low",IF(AND(Employees_Data[[#This Row],[Salary]]&gt;30000,Employees_Data[[#This Row],[Salary]]&lt;=60000),"Medium",IF(AND(Employees_Data[[#This Row],[Salary]]&gt;60000,Employees_Data[[#This Row],[Salary]]&lt;=90000),"High",IF(Employees_Data[[#This Row],[Salary]]&gt;90000,"Executive"))))</f>
        <v>Medium</v>
      </c>
      <c r="W16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62" s="14" t="str">
        <f>VLOOKUP(Employees_Data[[#This Row],[Department]],Departments!$A$2:$B$7,2,FALSE)</f>
        <v>D05</v>
      </c>
      <c r="Y162" s="14" t="str">
        <f>INDEX(Departments!$B$2:$B$7,MATCH(Employees_Data[[#This Row],[Department]],Departments!$A$2:$A$7,0))</f>
        <v>D05</v>
      </c>
      <c r="Z162" s="14" t="str">
        <f>INDEX(Salary_Bands!$C$2:$C$5,MATCH(Employees_Data[[#This Row],[Salary]],Salary_Bands!$A$2:$A$5,1))</f>
        <v>Medium</v>
      </c>
    </row>
    <row r="163" spans="1:26" x14ac:dyDescent="0.3">
      <c r="A163" t="s">
        <v>387</v>
      </c>
      <c r="B163" t="s">
        <v>388</v>
      </c>
      <c r="C163" t="s">
        <v>40</v>
      </c>
      <c r="D163" s="12">
        <v>37</v>
      </c>
      <c r="E163" t="s">
        <v>23</v>
      </c>
      <c r="F163" t="s">
        <v>109</v>
      </c>
      <c r="G163" t="s">
        <v>35</v>
      </c>
      <c r="H163">
        <v>12</v>
      </c>
      <c r="I163" s="1">
        <v>45235</v>
      </c>
      <c r="J163" s="10">
        <v>47227</v>
      </c>
      <c r="K163" s="10">
        <v>4073</v>
      </c>
      <c r="L163">
        <v>4</v>
      </c>
      <c r="M163" t="s">
        <v>26</v>
      </c>
      <c r="N163" t="s">
        <v>58</v>
      </c>
      <c r="O163" s="5" t="s">
        <v>29</v>
      </c>
      <c r="P163" t="s">
        <v>28</v>
      </c>
      <c r="Q163">
        <v>31</v>
      </c>
      <c r="R163">
        <v>9</v>
      </c>
      <c r="S163">
        <v>3</v>
      </c>
      <c r="T163" t="s">
        <v>30</v>
      </c>
      <c r="U163" t="str">
        <f>IF(AND(Employees_Data[[#This Row],[Age]]&gt;=20,Employees_Data[[#This Row],[Age]]&lt;=30),"Young",IF(AND(Employees_Data[[#This Row],[Age]]&gt;=31,Employees_Data[[#This Row],[Age]]&lt;=40),"Mid-Age",IF(Employees_Data[[#This Row],[Age]]&gt;=41,"Senior")))</f>
        <v>Mid-Age</v>
      </c>
      <c r="V163" t="str">
        <f>IF(Employees_Data[[#This Row],[Salary]]&lt;=30000,"Low",IF(AND(Employees_Data[[#This Row],[Salary]]&gt;30000,Employees_Data[[#This Row],[Salary]]&lt;=60000),"Medium",IF(AND(Employees_Data[[#This Row],[Salary]]&gt;60000,Employees_Data[[#This Row],[Salary]]&lt;=90000),"High",IF(Employees_Data[[#This Row],[Salary]]&gt;90000,"Executive"))))</f>
        <v>Medium</v>
      </c>
      <c r="W16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63" s="14" t="str">
        <f>VLOOKUP(Employees_Data[[#This Row],[Department]],Departments!$A$2:$B$7,2,FALSE)</f>
        <v>D06</v>
      </c>
      <c r="Y163" s="14" t="str">
        <f>INDEX(Departments!$B$2:$B$7,MATCH(Employees_Data[[#This Row],[Department]],Departments!$A$2:$A$7,0))</f>
        <v>D06</v>
      </c>
      <c r="Z163" s="14" t="str">
        <f>INDEX(Salary_Bands!$C$2:$C$5,MATCH(Employees_Data[[#This Row],[Salary]],Salary_Bands!$A$2:$A$5,1))</f>
        <v>Medium</v>
      </c>
    </row>
    <row r="164" spans="1:26" hidden="1" x14ac:dyDescent="0.3">
      <c r="A164" t="s">
        <v>389</v>
      </c>
      <c r="B164" t="s">
        <v>390</v>
      </c>
      <c r="C164" t="s">
        <v>22</v>
      </c>
      <c r="D164" s="12">
        <v>45</v>
      </c>
      <c r="E164" t="s">
        <v>87</v>
      </c>
      <c r="F164" t="s">
        <v>91</v>
      </c>
      <c r="G164" t="s">
        <v>51</v>
      </c>
      <c r="H164">
        <v>22</v>
      </c>
      <c r="I164" s="1">
        <v>44111</v>
      </c>
      <c r="J164" s="10">
        <v>119489</v>
      </c>
      <c r="K164" s="10">
        <v>2221</v>
      </c>
      <c r="L164">
        <v>4</v>
      </c>
      <c r="M164" t="s">
        <v>36</v>
      </c>
      <c r="N164" t="s">
        <v>37</v>
      </c>
      <c r="O164" t="s">
        <v>28</v>
      </c>
      <c r="P164" t="s">
        <v>28</v>
      </c>
      <c r="Q164">
        <v>56</v>
      </c>
      <c r="R164">
        <v>10</v>
      </c>
      <c r="S164">
        <v>10</v>
      </c>
      <c r="T164" t="s">
        <v>30</v>
      </c>
      <c r="U164" t="str">
        <f>IF(AND(Employees_Data[[#This Row],[Age]]&gt;=20,Employees_Data[[#This Row],[Age]]&lt;=30),"Young",IF(AND(Employees_Data[[#This Row],[Age]]&gt;=31,Employees_Data[[#This Row],[Age]]&lt;=40),"Mid-Age",IF(Employees_Data[[#This Row],[Age]]&gt;=41,"Senior")))</f>
        <v>Senior</v>
      </c>
      <c r="V164" t="str">
        <f>IF(Employees_Data[[#This Row],[Salary]]&lt;=30000,"Low",IF(AND(Employees_Data[[#This Row],[Salary]]&gt;30000,Employees_Data[[#This Row],[Salary]]&lt;=60000),"Medium",IF(AND(Employees_Data[[#This Row],[Salary]]&gt;60000,Employees_Data[[#This Row],[Salary]]&lt;=90000),"High",IF(Employees_Data[[#This Row],[Salary]]&gt;90000,"Executive"))))</f>
        <v>Executive</v>
      </c>
      <c r="W16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64" s="14" t="str">
        <f>VLOOKUP(Employees_Data[[#This Row],[Department]],Departments!$A$2:$B$7,2,FALSE)</f>
        <v>D04</v>
      </c>
      <c r="Y164" s="14" t="str">
        <f>INDEX(Departments!$B$2:$B$7,MATCH(Employees_Data[[#This Row],[Department]],Departments!$A$2:$A$7,0))</f>
        <v>D04</v>
      </c>
      <c r="Z164" s="14" t="str">
        <f>INDEX(Salary_Bands!$C$2:$C$5,MATCH(Employees_Data[[#This Row],[Salary]],Salary_Bands!$A$2:$A$5,1))</f>
        <v>Executive</v>
      </c>
    </row>
    <row r="165" spans="1:26" hidden="1" x14ac:dyDescent="0.3">
      <c r="A165" t="s">
        <v>391</v>
      </c>
      <c r="B165" t="s">
        <v>392</v>
      </c>
      <c r="C165" t="s">
        <v>40</v>
      </c>
      <c r="D165" s="12">
        <v>49</v>
      </c>
      <c r="E165" t="s">
        <v>87</v>
      </c>
      <c r="F165" t="s">
        <v>220</v>
      </c>
      <c r="G165" t="s">
        <v>51</v>
      </c>
      <c r="H165">
        <v>23</v>
      </c>
      <c r="I165" s="1">
        <v>45535</v>
      </c>
      <c r="J165" s="10">
        <v>42842</v>
      </c>
      <c r="K165" s="10">
        <v>7820</v>
      </c>
      <c r="L165">
        <v>3</v>
      </c>
      <c r="M165" t="s">
        <v>36</v>
      </c>
      <c r="N165" t="s">
        <v>37</v>
      </c>
      <c r="O165" t="s">
        <v>28</v>
      </c>
      <c r="P165" t="s">
        <v>28</v>
      </c>
      <c r="Q165">
        <v>52</v>
      </c>
      <c r="R165">
        <v>20</v>
      </c>
      <c r="S165">
        <v>6</v>
      </c>
      <c r="T165" t="s">
        <v>30</v>
      </c>
      <c r="U165" t="str">
        <f>IF(AND(Employees_Data[[#This Row],[Age]]&gt;=20,Employees_Data[[#This Row],[Age]]&lt;=30),"Young",IF(AND(Employees_Data[[#This Row],[Age]]&gt;=31,Employees_Data[[#This Row],[Age]]&lt;=40),"Mid-Age",IF(Employees_Data[[#This Row],[Age]]&gt;=41,"Senior")))</f>
        <v>Senior</v>
      </c>
      <c r="V165" t="str">
        <f>IF(Employees_Data[[#This Row],[Salary]]&lt;=30000,"Low",IF(AND(Employees_Data[[#This Row],[Salary]]&gt;30000,Employees_Data[[#This Row],[Salary]]&lt;=60000),"Medium",IF(AND(Employees_Data[[#This Row],[Salary]]&gt;60000,Employees_Data[[#This Row],[Salary]]&lt;=90000),"High",IF(Employees_Data[[#This Row],[Salary]]&gt;90000,"Executive"))))</f>
        <v>Medium</v>
      </c>
      <c r="W16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65" s="14" t="str">
        <f>VLOOKUP(Employees_Data[[#This Row],[Department]],Departments!$A$2:$B$7,2,FALSE)</f>
        <v>D04</v>
      </c>
      <c r="Y165" s="14" t="str">
        <f>INDEX(Departments!$B$2:$B$7,MATCH(Employees_Data[[#This Row],[Department]],Departments!$A$2:$A$7,0))</f>
        <v>D04</v>
      </c>
      <c r="Z165" s="14" t="str">
        <f>INDEX(Salary_Bands!$C$2:$C$5,MATCH(Employees_Data[[#This Row],[Salary]],Salary_Bands!$A$2:$A$5,1))</f>
        <v>Medium</v>
      </c>
    </row>
    <row r="166" spans="1:26" x14ac:dyDescent="0.3">
      <c r="A166" t="s">
        <v>393</v>
      </c>
      <c r="B166" t="s">
        <v>394</v>
      </c>
      <c r="C166" t="s">
        <v>22</v>
      </c>
      <c r="D166" s="12">
        <v>37</v>
      </c>
      <c r="E166" t="s">
        <v>87</v>
      </c>
      <c r="F166" t="s">
        <v>88</v>
      </c>
      <c r="G166" t="s">
        <v>25</v>
      </c>
      <c r="H166">
        <v>14</v>
      </c>
      <c r="I166" s="1">
        <v>44641</v>
      </c>
      <c r="J166" s="10">
        <v>61739</v>
      </c>
      <c r="K166" s="10">
        <v>2881</v>
      </c>
      <c r="L166">
        <v>4</v>
      </c>
      <c r="M166" t="s">
        <v>52</v>
      </c>
      <c r="N166" t="s">
        <v>58</v>
      </c>
      <c r="O166" s="5" t="s">
        <v>29</v>
      </c>
      <c r="P166" t="s">
        <v>29</v>
      </c>
      <c r="Q166">
        <v>33</v>
      </c>
      <c r="R166">
        <v>9</v>
      </c>
      <c r="S166">
        <v>6</v>
      </c>
      <c r="T166" t="s">
        <v>30</v>
      </c>
      <c r="U166" t="str">
        <f>IF(AND(Employees_Data[[#This Row],[Age]]&gt;=20,Employees_Data[[#This Row],[Age]]&lt;=30),"Young",IF(AND(Employees_Data[[#This Row],[Age]]&gt;=31,Employees_Data[[#This Row],[Age]]&lt;=40),"Mid-Age",IF(Employees_Data[[#This Row],[Age]]&gt;=41,"Senior")))</f>
        <v>Mid-Age</v>
      </c>
      <c r="V166" t="str">
        <f>IF(Employees_Data[[#This Row],[Salary]]&lt;=30000,"Low",IF(AND(Employees_Data[[#This Row],[Salary]]&gt;30000,Employees_Data[[#This Row],[Salary]]&lt;=60000),"Medium",IF(AND(Employees_Data[[#This Row],[Salary]]&gt;60000,Employees_Data[[#This Row],[Salary]]&lt;=90000),"High",IF(Employees_Data[[#This Row],[Salary]]&gt;90000,"Executive"))))</f>
        <v>High</v>
      </c>
      <c r="W16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66" s="14" t="str">
        <f>VLOOKUP(Employees_Data[[#This Row],[Department]],Departments!$A$2:$B$7,2,FALSE)</f>
        <v>D04</v>
      </c>
      <c r="Y166" s="14" t="str">
        <f>INDEX(Departments!$B$2:$B$7,MATCH(Employees_Data[[#This Row],[Department]],Departments!$A$2:$A$7,0))</f>
        <v>D04</v>
      </c>
      <c r="Z166" s="14" t="str">
        <f>INDEX(Salary_Bands!$C$2:$C$5,MATCH(Employees_Data[[#This Row],[Salary]],Salary_Bands!$A$2:$A$5,1))</f>
        <v>High</v>
      </c>
    </row>
    <row r="167" spans="1:26" hidden="1" x14ac:dyDescent="0.3">
      <c r="A167" t="s">
        <v>395</v>
      </c>
      <c r="B167" t="s">
        <v>396</v>
      </c>
      <c r="C167" t="s">
        <v>40</v>
      </c>
      <c r="D167" s="12">
        <v>48</v>
      </c>
      <c r="E167" t="s">
        <v>23</v>
      </c>
      <c r="F167" t="s">
        <v>24</v>
      </c>
      <c r="G167" t="s">
        <v>47</v>
      </c>
      <c r="H167">
        <v>22</v>
      </c>
      <c r="I167" s="1">
        <v>45146</v>
      </c>
      <c r="J167" s="10">
        <v>43242</v>
      </c>
      <c r="K167" s="10">
        <v>4423</v>
      </c>
      <c r="L167">
        <v>3</v>
      </c>
      <c r="M167" t="s">
        <v>36</v>
      </c>
      <c r="N167" t="s">
        <v>53</v>
      </c>
      <c r="O167" t="s">
        <v>28</v>
      </c>
      <c r="P167" t="s">
        <v>28</v>
      </c>
      <c r="Q167">
        <v>42</v>
      </c>
      <c r="R167">
        <v>12</v>
      </c>
      <c r="S167">
        <v>4</v>
      </c>
      <c r="T167" t="s">
        <v>43</v>
      </c>
      <c r="U167" t="str">
        <f>IF(AND(Employees_Data[[#This Row],[Age]]&gt;=20,Employees_Data[[#This Row],[Age]]&lt;=30),"Young",IF(AND(Employees_Data[[#This Row],[Age]]&gt;=31,Employees_Data[[#This Row],[Age]]&lt;=40),"Mid-Age",IF(Employees_Data[[#This Row],[Age]]&gt;=41,"Senior")))</f>
        <v>Senior</v>
      </c>
      <c r="V167" t="str">
        <f>IF(Employees_Data[[#This Row],[Salary]]&lt;=30000,"Low",IF(AND(Employees_Data[[#This Row],[Salary]]&gt;30000,Employees_Data[[#This Row],[Salary]]&lt;=60000),"Medium",IF(AND(Employees_Data[[#This Row],[Salary]]&gt;60000,Employees_Data[[#This Row],[Salary]]&lt;=90000),"High",IF(Employees_Data[[#This Row],[Salary]]&gt;90000,"Executive"))))</f>
        <v>Medium</v>
      </c>
      <c r="W16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67" s="14" t="str">
        <f>VLOOKUP(Employees_Data[[#This Row],[Department]],Departments!$A$2:$B$7,2,FALSE)</f>
        <v>D06</v>
      </c>
      <c r="Y167" s="14" t="str">
        <f>INDEX(Departments!$B$2:$B$7,MATCH(Employees_Data[[#This Row],[Department]],Departments!$A$2:$A$7,0))</f>
        <v>D06</v>
      </c>
      <c r="Z167" s="14" t="str">
        <f>INDEX(Salary_Bands!$C$2:$C$5,MATCH(Employees_Data[[#This Row],[Salary]],Salary_Bands!$A$2:$A$5,1))</f>
        <v>Medium</v>
      </c>
    </row>
    <row r="168" spans="1:26" hidden="1" x14ac:dyDescent="0.3">
      <c r="A168" t="s">
        <v>397</v>
      </c>
      <c r="B168" t="s">
        <v>398</v>
      </c>
      <c r="C168" t="s">
        <v>22</v>
      </c>
      <c r="D168" s="12">
        <v>48</v>
      </c>
      <c r="E168" t="s">
        <v>33</v>
      </c>
      <c r="F168" t="s">
        <v>34</v>
      </c>
      <c r="G168" t="s">
        <v>35</v>
      </c>
      <c r="H168">
        <v>23</v>
      </c>
      <c r="I168" s="1">
        <v>43251</v>
      </c>
      <c r="J168" s="10">
        <v>128641</v>
      </c>
      <c r="K168" s="10">
        <v>23548</v>
      </c>
      <c r="L168">
        <v>3</v>
      </c>
      <c r="M168" t="s">
        <v>52</v>
      </c>
      <c r="N168" t="s">
        <v>37</v>
      </c>
      <c r="O168" t="s">
        <v>28</v>
      </c>
      <c r="P168" t="s">
        <v>29</v>
      </c>
      <c r="Q168">
        <v>46</v>
      </c>
      <c r="R168">
        <v>19</v>
      </c>
      <c r="S168">
        <v>9</v>
      </c>
      <c r="T168" t="s">
        <v>30</v>
      </c>
      <c r="U168" t="str">
        <f>IF(AND(Employees_Data[[#This Row],[Age]]&gt;=20,Employees_Data[[#This Row],[Age]]&lt;=30),"Young",IF(AND(Employees_Data[[#This Row],[Age]]&gt;=31,Employees_Data[[#This Row],[Age]]&lt;=40),"Mid-Age",IF(Employees_Data[[#This Row],[Age]]&gt;=41,"Senior")))</f>
        <v>Senior</v>
      </c>
      <c r="V168" t="str">
        <f>IF(Employees_Data[[#This Row],[Salary]]&lt;=30000,"Low",IF(AND(Employees_Data[[#This Row],[Salary]]&gt;30000,Employees_Data[[#This Row],[Salary]]&lt;=60000),"Medium",IF(AND(Employees_Data[[#This Row],[Salary]]&gt;60000,Employees_Data[[#This Row],[Salary]]&lt;=90000),"High",IF(Employees_Data[[#This Row],[Salary]]&gt;90000,"Executive"))))</f>
        <v>Executive</v>
      </c>
      <c r="W16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68" s="14" t="str">
        <f>VLOOKUP(Employees_Data[[#This Row],[Department]],Departments!$A$2:$B$7,2,FALSE)</f>
        <v>D05</v>
      </c>
      <c r="Y168" s="14" t="str">
        <f>INDEX(Departments!$B$2:$B$7,MATCH(Employees_Data[[#This Row],[Department]],Departments!$A$2:$A$7,0))</f>
        <v>D05</v>
      </c>
      <c r="Z168" s="14" t="str">
        <f>INDEX(Salary_Bands!$C$2:$C$5,MATCH(Employees_Data[[#This Row],[Salary]],Salary_Bands!$A$2:$A$5,1))</f>
        <v>Executive</v>
      </c>
    </row>
    <row r="169" spans="1:26" hidden="1" x14ac:dyDescent="0.3">
      <c r="A169" t="s">
        <v>399</v>
      </c>
      <c r="B169" t="s">
        <v>400</v>
      </c>
      <c r="C169" t="s">
        <v>22</v>
      </c>
      <c r="D169" s="12">
        <v>47</v>
      </c>
      <c r="E169" t="s">
        <v>56</v>
      </c>
      <c r="F169" t="s">
        <v>79</v>
      </c>
      <c r="G169" t="s">
        <v>47</v>
      </c>
      <c r="H169">
        <v>24</v>
      </c>
      <c r="I169" s="1">
        <v>44864</v>
      </c>
      <c r="J169" s="10">
        <v>38886</v>
      </c>
      <c r="K169" s="10">
        <v>14259</v>
      </c>
      <c r="L169">
        <v>1</v>
      </c>
      <c r="M169" t="s">
        <v>36</v>
      </c>
      <c r="N169" t="s">
        <v>58</v>
      </c>
      <c r="O169" t="s">
        <v>28</v>
      </c>
      <c r="P169" t="s">
        <v>29</v>
      </c>
      <c r="Q169">
        <v>27</v>
      </c>
      <c r="R169">
        <v>0</v>
      </c>
      <c r="S169">
        <v>2</v>
      </c>
      <c r="T169" t="s">
        <v>30</v>
      </c>
      <c r="U169" t="str">
        <f>IF(AND(Employees_Data[[#This Row],[Age]]&gt;=20,Employees_Data[[#This Row],[Age]]&lt;=30),"Young",IF(AND(Employees_Data[[#This Row],[Age]]&gt;=31,Employees_Data[[#This Row],[Age]]&lt;=40),"Mid-Age",IF(Employees_Data[[#This Row],[Age]]&gt;=41,"Senior")))</f>
        <v>Senior</v>
      </c>
      <c r="V169" t="str">
        <f>IF(Employees_Data[[#This Row],[Salary]]&lt;=30000,"Low",IF(AND(Employees_Data[[#This Row],[Salary]]&gt;30000,Employees_Data[[#This Row],[Salary]]&lt;=60000),"Medium",IF(AND(Employees_Data[[#This Row],[Salary]]&gt;60000,Employees_Data[[#This Row],[Salary]]&lt;=90000),"High",IF(Employees_Data[[#This Row],[Salary]]&gt;90000,"Executive"))))</f>
        <v>Medium</v>
      </c>
      <c r="W16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69" s="14" t="str">
        <f>VLOOKUP(Employees_Data[[#This Row],[Department]],Departments!$A$2:$B$7,2,FALSE)</f>
        <v>D01</v>
      </c>
      <c r="Y169" s="14" t="str">
        <f>INDEX(Departments!$B$2:$B$7,MATCH(Employees_Data[[#This Row],[Department]],Departments!$A$2:$A$7,0))</f>
        <v>D01</v>
      </c>
      <c r="Z169" s="14" t="str">
        <f>INDEX(Salary_Bands!$C$2:$C$5,MATCH(Employees_Data[[#This Row],[Salary]],Salary_Bands!$A$2:$A$5,1))</f>
        <v>Medium</v>
      </c>
    </row>
    <row r="170" spans="1:26" hidden="1" x14ac:dyDescent="0.3">
      <c r="A170" t="s">
        <v>401</v>
      </c>
      <c r="B170" t="s">
        <v>402</v>
      </c>
      <c r="C170" t="s">
        <v>22</v>
      </c>
      <c r="D170" s="12">
        <v>40</v>
      </c>
      <c r="E170" t="s">
        <v>87</v>
      </c>
      <c r="F170" t="s">
        <v>91</v>
      </c>
      <c r="G170" t="s">
        <v>25</v>
      </c>
      <c r="H170">
        <v>16</v>
      </c>
      <c r="I170" s="1">
        <v>43452</v>
      </c>
      <c r="J170" s="10">
        <v>40213</v>
      </c>
      <c r="K170" s="10">
        <v>17824</v>
      </c>
      <c r="L170">
        <v>2</v>
      </c>
      <c r="M170" t="s">
        <v>36</v>
      </c>
      <c r="N170" t="s">
        <v>58</v>
      </c>
      <c r="O170" t="s">
        <v>28</v>
      </c>
      <c r="P170" t="s">
        <v>29</v>
      </c>
      <c r="Q170">
        <v>33</v>
      </c>
      <c r="R170">
        <v>14</v>
      </c>
      <c r="S170">
        <v>6</v>
      </c>
      <c r="T170" t="s">
        <v>30</v>
      </c>
      <c r="U170" t="str">
        <f>IF(AND(Employees_Data[[#This Row],[Age]]&gt;=20,Employees_Data[[#This Row],[Age]]&lt;=30),"Young",IF(AND(Employees_Data[[#This Row],[Age]]&gt;=31,Employees_Data[[#This Row],[Age]]&lt;=40),"Mid-Age",IF(Employees_Data[[#This Row],[Age]]&gt;=41,"Senior")))</f>
        <v>Mid-Age</v>
      </c>
      <c r="V170" t="str">
        <f>IF(Employees_Data[[#This Row],[Salary]]&lt;=30000,"Low",IF(AND(Employees_Data[[#This Row],[Salary]]&gt;30000,Employees_Data[[#This Row],[Salary]]&lt;=60000),"Medium",IF(AND(Employees_Data[[#This Row],[Salary]]&gt;60000,Employees_Data[[#This Row],[Salary]]&lt;=90000),"High",IF(Employees_Data[[#This Row],[Salary]]&gt;90000,"Executive"))))</f>
        <v>Medium</v>
      </c>
      <c r="W17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70" s="14" t="str">
        <f>VLOOKUP(Employees_Data[[#This Row],[Department]],Departments!$A$2:$B$7,2,FALSE)</f>
        <v>D04</v>
      </c>
      <c r="Y170" s="14" t="str">
        <f>INDEX(Departments!$B$2:$B$7,MATCH(Employees_Data[[#This Row],[Department]],Departments!$A$2:$A$7,0))</f>
        <v>D04</v>
      </c>
      <c r="Z170" s="14" t="str">
        <f>INDEX(Salary_Bands!$C$2:$C$5,MATCH(Employees_Data[[#This Row],[Salary]],Salary_Bands!$A$2:$A$5,1))</f>
        <v>Medium</v>
      </c>
    </row>
    <row r="171" spans="1:26" hidden="1" x14ac:dyDescent="0.3">
      <c r="A171" t="s">
        <v>403</v>
      </c>
      <c r="B171" t="s">
        <v>404</v>
      </c>
      <c r="C171" t="s">
        <v>22</v>
      </c>
      <c r="D171" s="12">
        <v>41</v>
      </c>
      <c r="E171" t="s">
        <v>41</v>
      </c>
      <c r="F171" t="s">
        <v>42</v>
      </c>
      <c r="G171" t="s">
        <v>25</v>
      </c>
      <c r="H171">
        <v>20</v>
      </c>
      <c r="I171" s="1">
        <v>43572</v>
      </c>
      <c r="J171" s="10">
        <v>27960</v>
      </c>
      <c r="K171" s="10">
        <v>7716</v>
      </c>
      <c r="L171">
        <v>3</v>
      </c>
      <c r="M171" t="s">
        <v>52</v>
      </c>
      <c r="N171" t="s">
        <v>76</v>
      </c>
      <c r="O171" t="s">
        <v>28</v>
      </c>
      <c r="P171" t="s">
        <v>28</v>
      </c>
      <c r="Q171">
        <v>40</v>
      </c>
      <c r="R171">
        <v>13</v>
      </c>
      <c r="S171">
        <v>2</v>
      </c>
      <c r="T171" t="s">
        <v>43</v>
      </c>
      <c r="U171" t="str">
        <f>IF(AND(Employees_Data[[#This Row],[Age]]&gt;=20,Employees_Data[[#This Row],[Age]]&lt;=30),"Young",IF(AND(Employees_Data[[#This Row],[Age]]&gt;=31,Employees_Data[[#This Row],[Age]]&lt;=40),"Mid-Age",IF(Employees_Data[[#This Row],[Age]]&gt;=41,"Senior")))</f>
        <v>Senior</v>
      </c>
      <c r="V171" t="str">
        <f>IF(Employees_Data[[#This Row],[Salary]]&lt;=30000,"Low",IF(AND(Employees_Data[[#This Row],[Salary]]&gt;30000,Employees_Data[[#This Row],[Salary]]&lt;=60000),"Medium",IF(AND(Employees_Data[[#This Row],[Salary]]&gt;60000,Employees_Data[[#This Row],[Salary]]&lt;=90000),"High",IF(Employees_Data[[#This Row],[Salary]]&gt;90000,"Executive"))))</f>
        <v>Low</v>
      </c>
      <c r="W17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71" s="14" t="str">
        <f>VLOOKUP(Employees_Data[[#This Row],[Department]],Departments!$A$2:$B$7,2,FALSE)</f>
        <v>D03</v>
      </c>
      <c r="Y171" s="14" t="str">
        <f>INDEX(Departments!$B$2:$B$7,MATCH(Employees_Data[[#This Row],[Department]],Departments!$A$2:$A$7,0))</f>
        <v>D03</v>
      </c>
      <c r="Z171" s="14" t="str">
        <f>INDEX(Salary_Bands!$C$2:$C$5,MATCH(Employees_Data[[#This Row],[Salary]],Salary_Bands!$A$2:$A$5,1))</f>
        <v>Low</v>
      </c>
    </row>
    <row r="172" spans="1:26" x14ac:dyDescent="0.3">
      <c r="A172" t="s">
        <v>405</v>
      </c>
      <c r="B172" t="s">
        <v>406</v>
      </c>
      <c r="C172" t="s">
        <v>22</v>
      </c>
      <c r="D172" s="12">
        <v>47</v>
      </c>
      <c r="E172" t="s">
        <v>87</v>
      </c>
      <c r="F172" t="s">
        <v>91</v>
      </c>
      <c r="G172" t="s">
        <v>47</v>
      </c>
      <c r="H172">
        <v>21</v>
      </c>
      <c r="I172" s="1">
        <v>43856</v>
      </c>
      <c r="J172" s="10">
        <v>49430</v>
      </c>
      <c r="K172" s="10">
        <v>21405</v>
      </c>
      <c r="L172">
        <v>4</v>
      </c>
      <c r="M172" t="s">
        <v>36</v>
      </c>
      <c r="N172" t="s">
        <v>58</v>
      </c>
      <c r="O172" s="5" t="s">
        <v>29</v>
      </c>
      <c r="P172" t="s">
        <v>29</v>
      </c>
      <c r="Q172">
        <v>50</v>
      </c>
      <c r="R172">
        <v>6</v>
      </c>
      <c r="S172">
        <v>7</v>
      </c>
      <c r="T172" t="s">
        <v>30</v>
      </c>
      <c r="U172" t="str">
        <f>IF(AND(Employees_Data[[#This Row],[Age]]&gt;=20,Employees_Data[[#This Row],[Age]]&lt;=30),"Young",IF(AND(Employees_Data[[#This Row],[Age]]&gt;=31,Employees_Data[[#This Row],[Age]]&lt;=40),"Mid-Age",IF(Employees_Data[[#This Row],[Age]]&gt;=41,"Senior")))</f>
        <v>Senior</v>
      </c>
      <c r="V172" t="str">
        <f>IF(Employees_Data[[#This Row],[Salary]]&lt;=30000,"Low",IF(AND(Employees_Data[[#This Row],[Salary]]&gt;30000,Employees_Data[[#This Row],[Salary]]&lt;=60000),"Medium",IF(AND(Employees_Data[[#This Row],[Salary]]&gt;60000,Employees_Data[[#This Row],[Salary]]&lt;=90000),"High",IF(Employees_Data[[#This Row],[Salary]]&gt;90000,"Executive"))))</f>
        <v>Medium</v>
      </c>
      <c r="W17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72" s="14" t="str">
        <f>VLOOKUP(Employees_Data[[#This Row],[Department]],Departments!$A$2:$B$7,2,FALSE)</f>
        <v>D04</v>
      </c>
      <c r="Y172" s="14" t="str">
        <f>INDEX(Departments!$B$2:$B$7,MATCH(Employees_Data[[#This Row],[Department]],Departments!$A$2:$A$7,0))</f>
        <v>D04</v>
      </c>
      <c r="Z172" s="14" t="str">
        <f>INDEX(Salary_Bands!$C$2:$C$5,MATCH(Employees_Data[[#This Row],[Salary]],Salary_Bands!$A$2:$A$5,1))</f>
        <v>Medium</v>
      </c>
    </row>
    <row r="173" spans="1:26" hidden="1" x14ac:dyDescent="0.3">
      <c r="A173" t="s">
        <v>407</v>
      </c>
      <c r="B173" t="s">
        <v>408</v>
      </c>
      <c r="C173" t="s">
        <v>22</v>
      </c>
      <c r="D173" s="12">
        <v>26</v>
      </c>
      <c r="E173" t="s">
        <v>61</v>
      </c>
      <c r="F173" t="s">
        <v>229</v>
      </c>
      <c r="G173" t="s">
        <v>51</v>
      </c>
      <c r="H173">
        <v>1</v>
      </c>
      <c r="I173" s="1">
        <v>43517</v>
      </c>
      <c r="J173" s="10">
        <v>129792</v>
      </c>
      <c r="K173" s="10">
        <v>23977</v>
      </c>
      <c r="L173">
        <v>5</v>
      </c>
      <c r="M173" t="s">
        <v>36</v>
      </c>
      <c r="N173" t="s">
        <v>53</v>
      </c>
      <c r="O173" t="s">
        <v>28</v>
      </c>
      <c r="P173" t="s">
        <v>28</v>
      </c>
      <c r="Q173">
        <v>43</v>
      </c>
      <c r="R173">
        <v>12</v>
      </c>
      <c r="S173">
        <v>3</v>
      </c>
      <c r="T173" t="s">
        <v>43</v>
      </c>
      <c r="U173" t="str">
        <f>IF(AND(Employees_Data[[#This Row],[Age]]&gt;=20,Employees_Data[[#This Row],[Age]]&lt;=30),"Young",IF(AND(Employees_Data[[#This Row],[Age]]&gt;=31,Employees_Data[[#This Row],[Age]]&lt;=40),"Mid-Age",IF(Employees_Data[[#This Row],[Age]]&gt;=41,"Senior")))</f>
        <v>Young</v>
      </c>
      <c r="V173" t="str">
        <f>IF(Employees_Data[[#This Row],[Salary]]&lt;=30000,"Low",IF(AND(Employees_Data[[#This Row],[Salary]]&gt;30000,Employees_Data[[#This Row],[Salary]]&lt;=60000),"Medium",IF(AND(Employees_Data[[#This Row],[Salary]]&gt;60000,Employees_Data[[#This Row],[Salary]]&lt;=90000),"High",IF(Employees_Data[[#This Row],[Salary]]&gt;90000,"Executive"))))</f>
        <v>Executive</v>
      </c>
      <c r="W17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73" s="14" t="str">
        <f>VLOOKUP(Employees_Data[[#This Row],[Department]],Departments!$A$2:$B$7,2,FALSE)</f>
        <v>D02</v>
      </c>
      <c r="Y173" s="14" t="str">
        <f>INDEX(Departments!$B$2:$B$7,MATCH(Employees_Data[[#This Row],[Department]],Departments!$A$2:$A$7,0))</f>
        <v>D02</v>
      </c>
      <c r="Z173" s="14" t="str">
        <f>INDEX(Salary_Bands!$C$2:$C$5,MATCH(Employees_Data[[#This Row],[Salary]],Salary_Bands!$A$2:$A$5,1))</f>
        <v>Executive</v>
      </c>
    </row>
    <row r="174" spans="1:26" hidden="1" x14ac:dyDescent="0.3">
      <c r="A174" t="s">
        <v>409</v>
      </c>
      <c r="B174" t="s">
        <v>410</v>
      </c>
      <c r="C174" t="s">
        <v>40</v>
      </c>
      <c r="D174" s="12">
        <v>29</v>
      </c>
      <c r="E174" t="s">
        <v>33</v>
      </c>
      <c r="F174" t="s">
        <v>46</v>
      </c>
      <c r="G174" t="s">
        <v>25</v>
      </c>
      <c r="H174">
        <v>6</v>
      </c>
      <c r="I174" s="1">
        <v>44542</v>
      </c>
      <c r="J174" s="10">
        <v>135823</v>
      </c>
      <c r="K174" s="10">
        <v>21338</v>
      </c>
      <c r="L174">
        <v>4</v>
      </c>
      <c r="M174" t="s">
        <v>26</v>
      </c>
      <c r="N174" t="s">
        <v>48</v>
      </c>
      <c r="O174" t="s">
        <v>28</v>
      </c>
      <c r="P174" t="s">
        <v>29</v>
      </c>
      <c r="Q174">
        <v>25</v>
      </c>
      <c r="R174">
        <v>3</v>
      </c>
      <c r="S174">
        <v>10</v>
      </c>
      <c r="T174" t="s">
        <v>30</v>
      </c>
      <c r="U174" t="str">
        <f>IF(AND(Employees_Data[[#This Row],[Age]]&gt;=20,Employees_Data[[#This Row],[Age]]&lt;=30),"Young",IF(AND(Employees_Data[[#This Row],[Age]]&gt;=31,Employees_Data[[#This Row],[Age]]&lt;=40),"Mid-Age",IF(Employees_Data[[#This Row],[Age]]&gt;=41,"Senior")))</f>
        <v>Young</v>
      </c>
      <c r="V174" t="str">
        <f>IF(Employees_Data[[#This Row],[Salary]]&lt;=30000,"Low",IF(AND(Employees_Data[[#This Row],[Salary]]&gt;30000,Employees_Data[[#This Row],[Salary]]&lt;=60000),"Medium",IF(AND(Employees_Data[[#This Row],[Salary]]&gt;60000,Employees_Data[[#This Row],[Salary]]&lt;=90000),"High",IF(Employees_Data[[#This Row],[Salary]]&gt;90000,"Executive"))))</f>
        <v>Executive</v>
      </c>
      <c r="W17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74" s="14" t="str">
        <f>VLOOKUP(Employees_Data[[#This Row],[Department]],Departments!$A$2:$B$7,2,FALSE)</f>
        <v>D05</v>
      </c>
      <c r="Y174" s="14" t="str">
        <f>INDEX(Departments!$B$2:$B$7,MATCH(Employees_Data[[#This Row],[Department]],Departments!$A$2:$A$7,0))</f>
        <v>D05</v>
      </c>
      <c r="Z174" s="14" t="str">
        <f>INDEX(Salary_Bands!$C$2:$C$5,MATCH(Employees_Data[[#This Row],[Salary]],Salary_Bands!$A$2:$A$5,1))</f>
        <v>Executive</v>
      </c>
    </row>
    <row r="175" spans="1:26" hidden="1" x14ac:dyDescent="0.3">
      <c r="A175" t="s">
        <v>411</v>
      </c>
      <c r="B175" t="s">
        <v>412</v>
      </c>
      <c r="C175" t="s">
        <v>40</v>
      </c>
      <c r="D175" s="12">
        <v>29</v>
      </c>
      <c r="E175" t="s">
        <v>61</v>
      </c>
      <c r="F175" t="s">
        <v>229</v>
      </c>
      <c r="G175" t="s">
        <v>47</v>
      </c>
      <c r="H175">
        <v>7</v>
      </c>
      <c r="I175" s="1">
        <v>44630</v>
      </c>
      <c r="J175" s="10">
        <v>115890</v>
      </c>
      <c r="K175" s="10">
        <v>8086</v>
      </c>
      <c r="L175">
        <v>2</v>
      </c>
      <c r="M175" t="s">
        <v>36</v>
      </c>
      <c r="N175" t="s">
        <v>48</v>
      </c>
      <c r="O175" t="s">
        <v>28</v>
      </c>
      <c r="P175" t="s">
        <v>29</v>
      </c>
      <c r="Q175">
        <v>40</v>
      </c>
      <c r="R175">
        <v>5</v>
      </c>
      <c r="S175">
        <v>9</v>
      </c>
      <c r="T175" t="s">
        <v>30</v>
      </c>
      <c r="U175" t="str">
        <f>IF(AND(Employees_Data[[#This Row],[Age]]&gt;=20,Employees_Data[[#This Row],[Age]]&lt;=30),"Young",IF(AND(Employees_Data[[#This Row],[Age]]&gt;=31,Employees_Data[[#This Row],[Age]]&lt;=40),"Mid-Age",IF(Employees_Data[[#This Row],[Age]]&gt;=41,"Senior")))</f>
        <v>Young</v>
      </c>
      <c r="V175" t="str">
        <f>IF(Employees_Data[[#This Row],[Salary]]&lt;=30000,"Low",IF(AND(Employees_Data[[#This Row],[Salary]]&gt;30000,Employees_Data[[#This Row],[Salary]]&lt;=60000),"Medium",IF(AND(Employees_Data[[#This Row],[Salary]]&gt;60000,Employees_Data[[#This Row],[Salary]]&lt;=90000),"High",IF(Employees_Data[[#This Row],[Salary]]&gt;90000,"Executive"))))</f>
        <v>Executive</v>
      </c>
      <c r="W17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75" s="14" t="str">
        <f>VLOOKUP(Employees_Data[[#This Row],[Department]],Departments!$A$2:$B$7,2,FALSE)</f>
        <v>D02</v>
      </c>
      <c r="Y175" s="14" t="str">
        <f>INDEX(Departments!$B$2:$B$7,MATCH(Employees_Data[[#This Row],[Department]],Departments!$A$2:$A$7,0))</f>
        <v>D02</v>
      </c>
      <c r="Z175" s="14" t="str">
        <f>INDEX(Salary_Bands!$C$2:$C$5,MATCH(Employees_Data[[#This Row],[Salary]],Salary_Bands!$A$2:$A$5,1))</f>
        <v>Executive</v>
      </c>
    </row>
    <row r="176" spans="1:26" x14ac:dyDescent="0.3">
      <c r="A176" t="s">
        <v>413</v>
      </c>
      <c r="B176" t="s">
        <v>414</v>
      </c>
      <c r="C176" t="s">
        <v>22</v>
      </c>
      <c r="D176" s="12">
        <v>30</v>
      </c>
      <c r="E176" t="s">
        <v>87</v>
      </c>
      <c r="F176" t="s">
        <v>220</v>
      </c>
      <c r="G176" t="s">
        <v>47</v>
      </c>
      <c r="H176">
        <v>8</v>
      </c>
      <c r="I176" s="1">
        <v>44389</v>
      </c>
      <c r="J176" s="10">
        <v>135360</v>
      </c>
      <c r="K176" s="10">
        <v>6473</v>
      </c>
      <c r="L176">
        <v>4</v>
      </c>
      <c r="M176" t="s">
        <v>26</v>
      </c>
      <c r="N176" t="s">
        <v>63</v>
      </c>
      <c r="O176" s="5" t="s">
        <v>29</v>
      </c>
      <c r="P176" t="s">
        <v>28</v>
      </c>
      <c r="Q176">
        <v>40</v>
      </c>
      <c r="R176">
        <v>16</v>
      </c>
      <c r="S176">
        <v>10</v>
      </c>
      <c r="T176" t="s">
        <v>30</v>
      </c>
      <c r="U176" t="str">
        <f>IF(AND(Employees_Data[[#This Row],[Age]]&gt;=20,Employees_Data[[#This Row],[Age]]&lt;=30),"Young",IF(AND(Employees_Data[[#This Row],[Age]]&gt;=31,Employees_Data[[#This Row],[Age]]&lt;=40),"Mid-Age",IF(Employees_Data[[#This Row],[Age]]&gt;=41,"Senior")))</f>
        <v>Young</v>
      </c>
      <c r="V176" t="str">
        <f>IF(Employees_Data[[#This Row],[Salary]]&lt;=30000,"Low",IF(AND(Employees_Data[[#This Row],[Salary]]&gt;30000,Employees_Data[[#This Row],[Salary]]&lt;=60000),"Medium",IF(AND(Employees_Data[[#This Row],[Salary]]&gt;60000,Employees_Data[[#This Row],[Salary]]&lt;=90000),"High",IF(Employees_Data[[#This Row],[Salary]]&gt;90000,"Executive"))))</f>
        <v>Executive</v>
      </c>
      <c r="W17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76" s="14" t="str">
        <f>VLOOKUP(Employees_Data[[#This Row],[Department]],Departments!$A$2:$B$7,2,FALSE)</f>
        <v>D04</v>
      </c>
      <c r="Y176" s="14" t="str">
        <f>INDEX(Departments!$B$2:$B$7,MATCH(Employees_Data[[#This Row],[Department]],Departments!$A$2:$A$7,0))</f>
        <v>D04</v>
      </c>
      <c r="Z176" s="14" t="str">
        <f>INDEX(Salary_Bands!$C$2:$C$5,MATCH(Employees_Data[[#This Row],[Salary]],Salary_Bands!$A$2:$A$5,1))</f>
        <v>Executive</v>
      </c>
    </row>
    <row r="177" spans="1:26" hidden="1" x14ac:dyDescent="0.3">
      <c r="A177" t="s">
        <v>415</v>
      </c>
      <c r="B177" t="s">
        <v>416</v>
      </c>
      <c r="C177" t="s">
        <v>22</v>
      </c>
      <c r="D177" s="12">
        <v>48</v>
      </c>
      <c r="E177" t="s">
        <v>23</v>
      </c>
      <c r="F177" t="s">
        <v>100</v>
      </c>
      <c r="G177" t="s">
        <v>51</v>
      </c>
      <c r="H177">
        <v>22</v>
      </c>
      <c r="I177" s="1">
        <v>45115</v>
      </c>
      <c r="J177" s="10">
        <v>79477</v>
      </c>
      <c r="K177" s="10">
        <v>3071</v>
      </c>
      <c r="L177">
        <v>4</v>
      </c>
      <c r="M177" t="s">
        <v>36</v>
      </c>
      <c r="N177" t="s">
        <v>76</v>
      </c>
      <c r="O177" t="s">
        <v>28</v>
      </c>
      <c r="P177" t="s">
        <v>28</v>
      </c>
      <c r="Q177">
        <v>15</v>
      </c>
      <c r="R177">
        <v>14</v>
      </c>
      <c r="S177">
        <v>8</v>
      </c>
      <c r="T177" t="s">
        <v>30</v>
      </c>
      <c r="U177" t="str">
        <f>IF(AND(Employees_Data[[#This Row],[Age]]&gt;=20,Employees_Data[[#This Row],[Age]]&lt;=30),"Young",IF(AND(Employees_Data[[#This Row],[Age]]&gt;=31,Employees_Data[[#This Row],[Age]]&lt;=40),"Mid-Age",IF(Employees_Data[[#This Row],[Age]]&gt;=41,"Senior")))</f>
        <v>Senior</v>
      </c>
      <c r="V177" t="str">
        <f>IF(Employees_Data[[#This Row],[Salary]]&lt;=30000,"Low",IF(AND(Employees_Data[[#This Row],[Salary]]&gt;30000,Employees_Data[[#This Row],[Salary]]&lt;=60000),"Medium",IF(AND(Employees_Data[[#This Row],[Salary]]&gt;60000,Employees_Data[[#This Row],[Salary]]&lt;=90000),"High",IF(Employees_Data[[#This Row],[Salary]]&gt;90000,"Executive"))))</f>
        <v>High</v>
      </c>
      <c r="W17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77" s="14" t="str">
        <f>VLOOKUP(Employees_Data[[#This Row],[Department]],Departments!$A$2:$B$7,2,FALSE)</f>
        <v>D06</v>
      </c>
      <c r="Y177" s="14" t="str">
        <f>INDEX(Departments!$B$2:$B$7,MATCH(Employees_Data[[#This Row],[Department]],Departments!$A$2:$A$7,0))</f>
        <v>D06</v>
      </c>
      <c r="Z177" s="14" t="str">
        <f>INDEX(Salary_Bands!$C$2:$C$5,MATCH(Employees_Data[[#This Row],[Salary]],Salary_Bands!$A$2:$A$5,1))</f>
        <v>High</v>
      </c>
    </row>
    <row r="178" spans="1:26" hidden="1" x14ac:dyDescent="0.3">
      <c r="A178" t="s">
        <v>417</v>
      </c>
      <c r="B178" t="s">
        <v>418</v>
      </c>
      <c r="C178" t="s">
        <v>40</v>
      </c>
      <c r="D178" s="12">
        <v>53</v>
      </c>
      <c r="E178" t="s">
        <v>33</v>
      </c>
      <c r="F178" t="s">
        <v>34</v>
      </c>
      <c r="G178" t="s">
        <v>25</v>
      </c>
      <c r="H178">
        <v>28</v>
      </c>
      <c r="I178" s="1">
        <v>45193</v>
      </c>
      <c r="J178" s="10">
        <v>39838</v>
      </c>
      <c r="K178" s="10">
        <v>3363</v>
      </c>
      <c r="L178">
        <v>5</v>
      </c>
      <c r="M178" t="s">
        <v>52</v>
      </c>
      <c r="N178" t="s">
        <v>58</v>
      </c>
      <c r="O178" t="s">
        <v>28</v>
      </c>
      <c r="P178" t="s">
        <v>29</v>
      </c>
      <c r="Q178">
        <v>32</v>
      </c>
      <c r="R178">
        <v>3</v>
      </c>
      <c r="S178">
        <v>2</v>
      </c>
      <c r="T178" t="s">
        <v>30</v>
      </c>
      <c r="U178" t="str">
        <f>IF(AND(Employees_Data[[#This Row],[Age]]&gt;=20,Employees_Data[[#This Row],[Age]]&lt;=30),"Young",IF(AND(Employees_Data[[#This Row],[Age]]&gt;=31,Employees_Data[[#This Row],[Age]]&lt;=40),"Mid-Age",IF(Employees_Data[[#This Row],[Age]]&gt;=41,"Senior")))</f>
        <v>Senior</v>
      </c>
      <c r="V178" t="str">
        <f>IF(Employees_Data[[#This Row],[Salary]]&lt;=30000,"Low",IF(AND(Employees_Data[[#This Row],[Salary]]&gt;30000,Employees_Data[[#This Row],[Salary]]&lt;=60000),"Medium",IF(AND(Employees_Data[[#This Row],[Salary]]&gt;60000,Employees_Data[[#This Row],[Salary]]&lt;=90000),"High",IF(Employees_Data[[#This Row],[Salary]]&gt;90000,"Executive"))))</f>
        <v>Medium</v>
      </c>
      <c r="W17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78" s="14" t="str">
        <f>VLOOKUP(Employees_Data[[#This Row],[Department]],Departments!$A$2:$B$7,2,FALSE)</f>
        <v>D05</v>
      </c>
      <c r="Y178" s="14" t="str">
        <f>INDEX(Departments!$B$2:$B$7,MATCH(Employees_Data[[#This Row],[Department]],Departments!$A$2:$A$7,0))</f>
        <v>D05</v>
      </c>
      <c r="Z178" s="14" t="str">
        <f>INDEX(Salary_Bands!$C$2:$C$5,MATCH(Employees_Data[[#This Row],[Salary]],Salary_Bands!$A$2:$A$5,1))</f>
        <v>Medium</v>
      </c>
    </row>
    <row r="179" spans="1:26" hidden="1" x14ac:dyDescent="0.3">
      <c r="A179" t="s">
        <v>419</v>
      </c>
      <c r="B179" t="s">
        <v>420</v>
      </c>
      <c r="C179" t="s">
        <v>22</v>
      </c>
      <c r="D179" s="12">
        <v>37</v>
      </c>
      <c r="E179" t="s">
        <v>23</v>
      </c>
      <c r="F179" t="s">
        <v>109</v>
      </c>
      <c r="G179" t="s">
        <v>35</v>
      </c>
      <c r="H179">
        <v>14</v>
      </c>
      <c r="I179" s="1">
        <v>43233</v>
      </c>
      <c r="J179" s="10">
        <v>83947</v>
      </c>
      <c r="K179" s="10">
        <v>8877</v>
      </c>
      <c r="L179">
        <v>3</v>
      </c>
      <c r="M179" t="s">
        <v>52</v>
      </c>
      <c r="N179" t="s">
        <v>53</v>
      </c>
      <c r="O179" t="s">
        <v>28</v>
      </c>
      <c r="P179" t="s">
        <v>28</v>
      </c>
      <c r="Q179">
        <v>60</v>
      </c>
      <c r="R179">
        <v>19</v>
      </c>
      <c r="S179">
        <v>6</v>
      </c>
      <c r="T179" t="s">
        <v>43</v>
      </c>
      <c r="U179" t="str">
        <f>IF(AND(Employees_Data[[#This Row],[Age]]&gt;=20,Employees_Data[[#This Row],[Age]]&lt;=30),"Young",IF(AND(Employees_Data[[#This Row],[Age]]&gt;=31,Employees_Data[[#This Row],[Age]]&lt;=40),"Mid-Age",IF(Employees_Data[[#This Row],[Age]]&gt;=41,"Senior")))</f>
        <v>Mid-Age</v>
      </c>
      <c r="V179" t="str">
        <f>IF(Employees_Data[[#This Row],[Salary]]&lt;=30000,"Low",IF(AND(Employees_Data[[#This Row],[Salary]]&gt;30000,Employees_Data[[#This Row],[Salary]]&lt;=60000),"Medium",IF(AND(Employees_Data[[#This Row],[Salary]]&gt;60000,Employees_Data[[#This Row],[Salary]]&lt;=90000),"High",IF(Employees_Data[[#This Row],[Salary]]&gt;90000,"Executive"))))</f>
        <v>High</v>
      </c>
      <c r="W17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79" s="14" t="str">
        <f>VLOOKUP(Employees_Data[[#This Row],[Department]],Departments!$A$2:$B$7,2,FALSE)</f>
        <v>D06</v>
      </c>
      <c r="Y179" s="14" t="str">
        <f>INDEX(Departments!$B$2:$B$7,MATCH(Employees_Data[[#This Row],[Department]],Departments!$A$2:$A$7,0))</f>
        <v>D06</v>
      </c>
      <c r="Z179" s="14" t="str">
        <f>INDEX(Salary_Bands!$C$2:$C$5,MATCH(Employees_Data[[#This Row],[Salary]],Salary_Bands!$A$2:$A$5,1))</f>
        <v>High</v>
      </c>
    </row>
    <row r="180" spans="1:26" hidden="1" x14ac:dyDescent="0.3">
      <c r="A180" t="s">
        <v>421</v>
      </c>
      <c r="B180" t="s">
        <v>422</v>
      </c>
      <c r="C180" t="s">
        <v>40</v>
      </c>
      <c r="D180" s="12">
        <v>32</v>
      </c>
      <c r="E180" t="s">
        <v>23</v>
      </c>
      <c r="F180" t="s">
        <v>100</v>
      </c>
      <c r="G180" t="s">
        <v>25</v>
      </c>
      <c r="H180">
        <v>7</v>
      </c>
      <c r="I180" s="1">
        <v>43671</v>
      </c>
      <c r="J180" s="10">
        <v>127871</v>
      </c>
      <c r="K180" s="10">
        <v>19654</v>
      </c>
      <c r="L180">
        <v>2</v>
      </c>
      <c r="M180" t="s">
        <v>26</v>
      </c>
      <c r="N180" t="s">
        <v>37</v>
      </c>
      <c r="O180" t="s">
        <v>28</v>
      </c>
      <c r="P180" t="s">
        <v>28</v>
      </c>
      <c r="Q180">
        <v>23</v>
      </c>
      <c r="R180">
        <v>18</v>
      </c>
      <c r="S180">
        <v>4</v>
      </c>
      <c r="T180" t="s">
        <v>30</v>
      </c>
      <c r="U180" t="str">
        <f>IF(AND(Employees_Data[[#This Row],[Age]]&gt;=20,Employees_Data[[#This Row],[Age]]&lt;=30),"Young",IF(AND(Employees_Data[[#This Row],[Age]]&gt;=31,Employees_Data[[#This Row],[Age]]&lt;=40),"Mid-Age",IF(Employees_Data[[#This Row],[Age]]&gt;=41,"Senior")))</f>
        <v>Mid-Age</v>
      </c>
      <c r="V180" t="str">
        <f>IF(Employees_Data[[#This Row],[Salary]]&lt;=30000,"Low",IF(AND(Employees_Data[[#This Row],[Salary]]&gt;30000,Employees_Data[[#This Row],[Salary]]&lt;=60000),"Medium",IF(AND(Employees_Data[[#This Row],[Salary]]&gt;60000,Employees_Data[[#This Row],[Salary]]&lt;=90000),"High",IF(Employees_Data[[#This Row],[Salary]]&gt;90000,"Executive"))))</f>
        <v>Executive</v>
      </c>
      <c r="W18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80" s="14" t="str">
        <f>VLOOKUP(Employees_Data[[#This Row],[Department]],Departments!$A$2:$B$7,2,FALSE)</f>
        <v>D06</v>
      </c>
      <c r="Y180" s="14" t="str">
        <f>INDEX(Departments!$B$2:$B$7,MATCH(Employees_Data[[#This Row],[Department]],Departments!$A$2:$A$7,0))</f>
        <v>D06</v>
      </c>
      <c r="Z180" s="14" t="str">
        <f>INDEX(Salary_Bands!$C$2:$C$5,MATCH(Employees_Data[[#This Row],[Salary]],Salary_Bands!$A$2:$A$5,1))</f>
        <v>Executive</v>
      </c>
    </row>
    <row r="181" spans="1:26" hidden="1" x14ac:dyDescent="0.3">
      <c r="A181" t="s">
        <v>423</v>
      </c>
      <c r="B181" t="s">
        <v>424</v>
      </c>
      <c r="C181" t="s">
        <v>22</v>
      </c>
      <c r="D181" s="12">
        <v>28</v>
      </c>
      <c r="E181" t="s">
        <v>41</v>
      </c>
      <c r="F181" t="s">
        <v>69</v>
      </c>
      <c r="G181" t="s">
        <v>35</v>
      </c>
      <c r="H181">
        <v>6</v>
      </c>
      <c r="I181" s="1">
        <v>44786</v>
      </c>
      <c r="J181" s="10">
        <v>145424</v>
      </c>
      <c r="K181" s="10">
        <v>6792</v>
      </c>
      <c r="L181">
        <v>1</v>
      </c>
      <c r="M181" t="s">
        <v>52</v>
      </c>
      <c r="N181" t="s">
        <v>37</v>
      </c>
      <c r="O181" t="s">
        <v>28</v>
      </c>
      <c r="P181" t="s">
        <v>29</v>
      </c>
      <c r="Q181">
        <v>53</v>
      </c>
      <c r="R181">
        <v>12</v>
      </c>
      <c r="S181">
        <v>5</v>
      </c>
      <c r="T181" t="s">
        <v>43</v>
      </c>
      <c r="U181" t="str">
        <f>IF(AND(Employees_Data[[#This Row],[Age]]&gt;=20,Employees_Data[[#This Row],[Age]]&lt;=30),"Young",IF(AND(Employees_Data[[#This Row],[Age]]&gt;=31,Employees_Data[[#This Row],[Age]]&lt;=40),"Mid-Age",IF(Employees_Data[[#This Row],[Age]]&gt;=41,"Senior")))</f>
        <v>Young</v>
      </c>
      <c r="V181" t="str">
        <f>IF(Employees_Data[[#This Row],[Salary]]&lt;=30000,"Low",IF(AND(Employees_Data[[#This Row],[Salary]]&gt;30000,Employees_Data[[#This Row],[Salary]]&lt;=60000),"Medium",IF(AND(Employees_Data[[#This Row],[Salary]]&gt;60000,Employees_Data[[#This Row],[Salary]]&lt;=90000),"High",IF(Employees_Data[[#This Row],[Salary]]&gt;90000,"Executive"))))</f>
        <v>Executive</v>
      </c>
      <c r="W18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81" s="14" t="str">
        <f>VLOOKUP(Employees_Data[[#This Row],[Department]],Departments!$A$2:$B$7,2,FALSE)</f>
        <v>D03</v>
      </c>
      <c r="Y181" s="14" t="str">
        <f>INDEX(Departments!$B$2:$B$7,MATCH(Employees_Data[[#This Row],[Department]],Departments!$A$2:$A$7,0))</f>
        <v>D03</v>
      </c>
      <c r="Z181" s="14" t="str">
        <f>INDEX(Salary_Bands!$C$2:$C$5,MATCH(Employees_Data[[#This Row],[Salary]],Salary_Bands!$A$2:$A$5,1))</f>
        <v>Executive</v>
      </c>
    </row>
    <row r="182" spans="1:26" hidden="1" x14ac:dyDescent="0.3">
      <c r="A182" t="s">
        <v>425</v>
      </c>
      <c r="B182" t="s">
        <v>426</v>
      </c>
      <c r="C182" t="s">
        <v>22</v>
      </c>
      <c r="D182" s="12">
        <v>39</v>
      </c>
      <c r="E182" t="s">
        <v>87</v>
      </c>
      <c r="F182" t="s">
        <v>91</v>
      </c>
      <c r="G182" t="s">
        <v>47</v>
      </c>
      <c r="H182">
        <v>13</v>
      </c>
      <c r="I182" s="1">
        <v>44797</v>
      </c>
      <c r="J182" s="10">
        <v>74174</v>
      </c>
      <c r="K182" s="10">
        <v>18895</v>
      </c>
      <c r="L182">
        <v>4</v>
      </c>
      <c r="M182" t="s">
        <v>52</v>
      </c>
      <c r="N182" t="s">
        <v>37</v>
      </c>
      <c r="O182" t="s">
        <v>28</v>
      </c>
      <c r="P182" t="s">
        <v>28</v>
      </c>
      <c r="Q182">
        <v>34</v>
      </c>
      <c r="R182">
        <v>15</v>
      </c>
      <c r="S182">
        <v>2</v>
      </c>
      <c r="T182" t="s">
        <v>30</v>
      </c>
      <c r="U182" t="str">
        <f>IF(AND(Employees_Data[[#This Row],[Age]]&gt;=20,Employees_Data[[#This Row],[Age]]&lt;=30),"Young",IF(AND(Employees_Data[[#This Row],[Age]]&gt;=31,Employees_Data[[#This Row],[Age]]&lt;=40),"Mid-Age",IF(Employees_Data[[#This Row],[Age]]&gt;=41,"Senior")))</f>
        <v>Mid-Age</v>
      </c>
      <c r="V182" t="str">
        <f>IF(Employees_Data[[#This Row],[Salary]]&lt;=30000,"Low",IF(AND(Employees_Data[[#This Row],[Salary]]&gt;30000,Employees_Data[[#This Row],[Salary]]&lt;=60000),"Medium",IF(AND(Employees_Data[[#This Row],[Salary]]&gt;60000,Employees_Data[[#This Row],[Salary]]&lt;=90000),"High",IF(Employees_Data[[#This Row],[Salary]]&gt;90000,"Executive"))))</f>
        <v>High</v>
      </c>
      <c r="W18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82" s="14" t="str">
        <f>VLOOKUP(Employees_Data[[#This Row],[Department]],Departments!$A$2:$B$7,2,FALSE)</f>
        <v>D04</v>
      </c>
      <c r="Y182" s="14" t="str">
        <f>INDEX(Departments!$B$2:$B$7,MATCH(Employees_Data[[#This Row],[Department]],Departments!$A$2:$A$7,0))</f>
        <v>D04</v>
      </c>
      <c r="Z182" s="14" t="str">
        <f>INDEX(Salary_Bands!$C$2:$C$5,MATCH(Employees_Data[[#This Row],[Salary]],Salary_Bands!$A$2:$A$5,1))</f>
        <v>High</v>
      </c>
    </row>
    <row r="183" spans="1:26" hidden="1" x14ac:dyDescent="0.3">
      <c r="A183" t="s">
        <v>427</v>
      </c>
      <c r="B183" t="s">
        <v>428</v>
      </c>
      <c r="C183" t="s">
        <v>40</v>
      </c>
      <c r="D183" s="12">
        <v>22</v>
      </c>
      <c r="E183" t="s">
        <v>41</v>
      </c>
      <c r="F183" t="s">
        <v>69</v>
      </c>
      <c r="G183" t="s">
        <v>35</v>
      </c>
      <c r="H183">
        <v>0</v>
      </c>
      <c r="I183" s="1">
        <v>43482</v>
      </c>
      <c r="J183" s="10">
        <v>120804</v>
      </c>
      <c r="K183" s="10">
        <v>16078</v>
      </c>
      <c r="L183">
        <v>4</v>
      </c>
      <c r="M183" t="s">
        <v>26</v>
      </c>
      <c r="N183" t="s">
        <v>58</v>
      </c>
      <c r="O183" t="s">
        <v>28</v>
      </c>
      <c r="P183" t="s">
        <v>28</v>
      </c>
      <c r="Q183">
        <v>25</v>
      </c>
      <c r="R183">
        <v>9</v>
      </c>
      <c r="S183">
        <v>6</v>
      </c>
      <c r="T183" t="s">
        <v>30</v>
      </c>
      <c r="U183" t="str">
        <f>IF(AND(Employees_Data[[#This Row],[Age]]&gt;=20,Employees_Data[[#This Row],[Age]]&lt;=30),"Young",IF(AND(Employees_Data[[#This Row],[Age]]&gt;=31,Employees_Data[[#This Row],[Age]]&lt;=40),"Mid-Age",IF(Employees_Data[[#This Row],[Age]]&gt;=41,"Senior")))</f>
        <v>Young</v>
      </c>
      <c r="V183" t="str">
        <f>IF(Employees_Data[[#This Row],[Salary]]&lt;=30000,"Low",IF(AND(Employees_Data[[#This Row],[Salary]]&gt;30000,Employees_Data[[#This Row],[Salary]]&lt;=60000),"Medium",IF(AND(Employees_Data[[#This Row],[Salary]]&gt;60000,Employees_Data[[#This Row],[Salary]]&lt;=90000),"High",IF(Employees_Data[[#This Row],[Salary]]&gt;90000,"Executive"))))</f>
        <v>Executive</v>
      </c>
      <c r="W18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83" s="14" t="str">
        <f>VLOOKUP(Employees_Data[[#This Row],[Department]],Departments!$A$2:$B$7,2,FALSE)</f>
        <v>D03</v>
      </c>
      <c r="Y183" s="14" t="str">
        <f>INDEX(Departments!$B$2:$B$7,MATCH(Employees_Data[[#This Row],[Department]],Departments!$A$2:$A$7,0))</f>
        <v>D03</v>
      </c>
      <c r="Z183" s="14" t="str">
        <f>INDEX(Salary_Bands!$C$2:$C$5,MATCH(Employees_Data[[#This Row],[Salary]],Salary_Bands!$A$2:$A$5,1))</f>
        <v>Executive</v>
      </c>
    </row>
    <row r="184" spans="1:26" x14ac:dyDescent="0.3">
      <c r="A184" t="s">
        <v>429</v>
      </c>
      <c r="B184" t="s">
        <v>430</v>
      </c>
      <c r="C184" t="s">
        <v>40</v>
      </c>
      <c r="D184" s="12">
        <v>30</v>
      </c>
      <c r="E184" t="s">
        <v>41</v>
      </c>
      <c r="F184" t="s">
        <v>69</v>
      </c>
      <c r="G184" t="s">
        <v>80</v>
      </c>
      <c r="H184">
        <v>5</v>
      </c>
      <c r="I184" s="1">
        <v>45088</v>
      </c>
      <c r="J184" s="10">
        <v>128324</v>
      </c>
      <c r="K184" s="10">
        <v>6071</v>
      </c>
      <c r="L184">
        <v>3</v>
      </c>
      <c r="M184" t="s">
        <v>26</v>
      </c>
      <c r="N184" t="s">
        <v>58</v>
      </c>
      <c r="O184" s="5" t="s">
        <v>29</v>
      </c>
      <c r="P184" t="s">
        <v>28</v>
      </c>
      <c r="Q184">
        <v>5</v>
      </c>
      <c r="R184">
        <v>13</v>
      </c>
      <c r="S184">
        <v>1</v>
      </c>
      <c r="T184" t="s">
        <v>30</v>
      </c>
      <c r="U184" t="str">
        <f>IF(AND(Employees_Data[[#This Row],[Age]]&gt;=20,Employees_Data[[#This Row],[Age]]&lt;=30),"Young",IF(AND(Employees_Data[[#This Row],[Age]]&gt;=31,Employees_Data[[#This Row],[Age]]&lt;=40),"Mid-Age",IF(Employees_Data[[#This Row],[Age]]&gt;=41,"Senior")))</f>
        <v>Young</v>
      </c>
      <c r="V184" t="str">
        <f>IF(Employees_Data[[#This Row],[Salary]]&lt;=30000,"Low",IF(AND(Employees_Data[[#This Row],[Salary]]&gt;30000,Employees_Data[[#This Row],[Salary]]&lt;=60000),"Medium",IF(AND(Employees_Data[[#This Row],[Salary]]&gt;60000,Employees_Data[[#This Row],[Salary]]&lt;=90000),"High",IF(Employees_Data[[#This Row],[Salary]]&gt;90000,"Executive"))))</f>
        <v>Executive</v>
      </c>
      <c r="W18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184" s="14" t="str">
        <f>VLOOKUP(Employees_Data[[#This Row],[Department]],Departments!$A$2:$B$7,2,FALSE)</f>
        <v>D03</v>
      </c>
      <c r="Y184" s="14" t="str">
        <f>INDEX(Departments!$B$2:$B$7,MATCH(Employees_Data[[#This Row],[Department]],Departments!$A$2:$A$7,0))</f>
        <v>D03</v>
      </c>
      <c r="Z184" s="14" t="str">
        <f>INDEX(Salary_Bands!$C$2:$C$5,MATCH(Employees_Data[[#This Row],[Salary]],Salary_Bands!$A$2:$A$5,1))</f>
        <v>Executive</v>
      </c>
    </row>
    <row r="185" spans="1:26" hidden="1" x14ac:dyDescent="0.3">
      <c r="A185" t="s">
        <v>431</v>
      </c>
      <c r="B185" t="s">
        <v>432</v>
      </c>
      <c r="C185" t="s">
        <v>40</v>
      </c>
      <c r="D185" s="12">
        <v>30</v>
      </c>
      <c r="E185" t="s">
        <v>61</v>
      </c>
      <c r="F185" t="s">
        <v>66</v>
      </c>
      <c r="G185" t="s">
        <v>35</v>
      </c>
      <c r="H185">
        <v>4</v>
      </c>
      <c r="I185" s="1">
        <v>44337</v>
      </c>
      <c r="J185" s="10">
        <v>45837</v>
      </c>
      <c r="K185" s="10">
        <v>3696</v>
      </c>
      <c r="L185">
        <v>3</v>
      </c>
      <c r="M185" t="s">
        <v>36</v>
      </c>
      <c r="N185" t="s">
        <v>48</v>
      </c>
      <c r="O185" t="s">
        <v>28</v>
      </c>
      <c r="P185" t="s">
        <v>28</v>
      </c>
      <c r="Q185">
        <v>51</v>
      </c>
      <c r="R185">
        <v>7</v>
      </c>
      <c r="S185">
        <v>2</v>
      </c>
      <c r="T185" t="s">
        <v>30</v>
      </c>
      <c r="U185" t="str">
        <f>IF(AND(Employees_Data[[#This Row],[Age]]&gt;=20,Employees_Data[[#This Row],[Age]]&lt;=30),"Young",IF(AND(Employees_Data[[#This Row],[Age]]&gt;=31,Employees_Data[[#This Row],[Age]]&lt;=40),"Mid-Age",IF(Employees_Data[[#This Row],[Age]]&gt;=41,"Senior")))</f>
        <v>Young</v>
      </c>
      <c r="V185" t="str">
        <f>IF(Employees_Data[[#This Row],[Salary]]&lt;=30000,"Low",IF(AND(Employees_Data[[#This Row],[Salary]]&gt;30000,Employees_Data[[#This Row],[Salary]]&lt;=60000),"Medium",IF(AND(Employees_Data[[#This Row],[Salary]]&gt;60000,Employees_Data[[#This Row],[Salary]]&lt;=90000),"High",IF(Employees_Data[[#This Row],[Salary]]&gt;90000,"Executive"))))</f>
        <v>Medium</v>
      </c>
      <c r="W18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185" s="14" t="str">
        <f>VLOOKUP(Employees_Data[[#This Row],[Department]],Departments!$A$2:$B$7,2,FALSE)</f>
        <v>D02</v>
      </c>
      <c r="Y185" s="14" t="str">
        <f>INDEX(Departments!$B$2:$B$7,MATCH(Employees_Data[[#This Row],[Department]],Departments!$A$2:$A$7,0))</f>
        <v>D02</v>
      </c>
      <c r="Z185" s="14" t="str">
        <f>INDEX(Salary_Bands!$C$2:$C$5,MATCH(Employees_Data[[#This Row],[Salary]],Salary_Bands!$A$2:$A$5,1))</f>
        <v>Medium</v>
      </c>
    </row>
    <row r="186" spans="1:26" x14ac:dyDescent="0.3">
      <c r="A186" t="s">
        <v>433</v>
      </c>
      <c r="B186" t="s">
        <v>434</v>
      </c>
      <c r="C186" t="s">
        <v>40</v>
      </c>
      <c r="D186" s="12">
        <v>27</v>
      </c>
      <c r="E186" t="s">
        <v>87</v>
      </c>
      <c r="F186" t="s">
        <v>88</v>
      </c>
      <c r="G186" t="s">
        <v>80</v>
      </c>
      <c r="H186">
        <v>1</v>
      </c>
      <c r="I186" s="1">
        <v>43490</v>
      </c>
      <c r="J186" s="10">
        <v>25142</v>
      </c>
      <c r="K186" s="10">
        <v>2264</v>
      </c>
      <c r="L186">
        <v>2</v>
      </c>
      <c r="M186" t="s">
        <v>52</v>
      </c>
      <c r="N186" t="s">
        <v>37</v>
      </c>
      <c r="O186" s="5" t="s">
        <v>29</v>
      </c>
      <c r="P186" t="s">
        <v>29</v>
      </c>
      <c r="Q186">
        <v>60</v>
      </c>
      <c r="R186">
        <v>13</v>
      </c>
      <c r="S186">
        <v>8</v>
      </c>
      <c r="T186" t="s">
        <v>30</v>
      </c>
      <c r="U186" t="str">
        <f>IF(AND(Employees_Data[[#This Row],[Age]]&gt;=20,Employees_Data[[#This Row],[Age]]&lt;=30),"Young",IF(AND(Employees_Data[[#This Row],[Age]]&gt;=31,Employees_Data[[#This Row],[Age]]&lt;=40),"Mid-Age",IF(Employees_Data[[#This Row],[Age]]&gt;=41,"Senior")))</f>
        <v>Young</v>
      </c>
      <c r="V186" t="str">
        <f>IF(Employees_Data[[#This Row],[Salary]]&lt;=30000,"Low",IF(AND(Employees_Data[[#This Row],[Salary]]&gt;30000,Employees_Data[[#This Row],[Salary]]&lt;=60000),"Medium",IF(AND(Employees_Data[[#This Row],[Salary]]&gt;60000,Employees_Data[[#This Row],[Salary]]&lt;=90000),"High",IF(Employees_Data[[#This Row],[Salary]]&gt;90000,"Executive"))))</f>
        <v>Low</v>
      </c>
      <c r="W18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86" s="14" t="str">
        <f>VLOOKUP(Employees_Data[[#This Row],[Department]],Departments!$A$2:$B$7,2,FALSE)</f>
        <v>D04</v>
      </c>
      <c r="Y186" s="14" t="str">
        <f>INDEX(Departments!$B$2:$B$7,MATCH(Employees_Data[[#This Row],[Department]],Departments!$A$2:$A$7,0))</f>
        <v>D04</v>
      </c>
      <c r="Z186" s="14" t="str">
        <f>INDEX(Salary_Bands!$C$2:$C$5,MATCH(Employees_Data[[#This Row],[Salary]],Salary_Bands!$A$2:$A$5,1))</f>
        <v>Low</v>
      </c>
    </row>
    <row r="187" spans="1:26" x14ac:dyDescent="0.3">
      <c r="A187" t="s">
        <v>435</v>
      </c>
      <c r="B187" t="s">
        <v>436</v>
      </c>
      <c r="C187" t="s">
        <v>40</v>
      </c>
      <c r="D187" s="12">
        <v>52</v>
      </c>
      <c r="E187" t="s">
        <v>23</v>
      </c>
      <c r="F187" t="s">
        <v>24</v>
      </c>
      <c r="G187" t="s">
        <v>35</v>
      </c>
      <c r="H187">
        <v>31</v>
      </c>
      <c r="I187" s="1">
        <v>44038</v>
      </c>
      <c r="J187" s="10">
        <v>75209</v>
      </c>
      <c r="K187" s="10">
        <v>14541</v>
      </c>
      <c r="L187">
        <v>1</v>
      </c>
      <c r="M187" t="s">
        <v>26</v>
      </c>
      <c r="N187" t="s">
        <v>48</v>
      </c>
      <c r="O187" s="5" t="s">
        <v>29</v>
      </c>
      <c r="P187" t="s">
        <v>29</v>
      </c>
      <c r="Q187">
        <v>9</v>
      </c>
      <c r="R187">
        <v>16</v>
      </c>
      <c r="S187">
        <v>2</v>
      </c>
      <c r="T187" t="s">
        <v>30</v>
      </c>
      <c r="U187" t="str">
        <f>IF(AND(Employees_Data[[#This Row],[Age]]&gt;=20,Employees_Data[[#This Row],[Age]]&lt;=30),"Young",IF(AND(Employees_Data[[#This Row],[Age]]&gt;=31,Employees_Data[[#This Row],[Age]]&lt;=40),"Mid-Age",IF(Employees_Data[[#This Row],[Age]]&gt;=41,"Senior")))</f>
        <v>Senior</v>
      </c>
      <c r="V187" t="str">
        <f>IF(Employees_Data[[#This Row],[Salary]]&lt;=30000,"Low",IF(AND(Employees_Data[[#This Row],[Salary]]&gt;30000,Employees_Data[[#This Row],[Salary]]&lt;=60000),"Medium",IF(AND(Employees_Data[[#This Row],[Salary]]&gt;60000,Employees_Data[[#This Row],[Salary]]&lt;=90000),"High",IF(Employees_Data[[#This Row],[Salary]]&gt;90000,"Executive"))))</f>
        <v>High</v>
      </c>
      <c r="W18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87" s="14" t="str">
        <f>VLOOKUP(Employees_Data[[#This Row],[Department]],Departments!$A$2:$B$7,2,FALSE)</f>
        <v>D06</v>
      </c>
      <c r="Y187" s="14" t="str">
        <f>INDEX(Departments!$B$2:$B$7,MATCH(Employees_Data[[#This Row],[Department]],Departments!$A$2:$A$7,0))</f>
        <v>D06</v>
      </c>
      <c r="Z187" s="14" t="str">
        <f>INDEX(Salary_Bands!$C$2:$C$5,MATCH(Employees_Data[[#This Row],[Salary]],Salary_Bands!$A$2:$A$5,1))</f>
        <v>High</v>
      </c>
    </row>
    <row r="188" spans="1:26" hidden="1" x14ac:dyDescent="0.3">
      <c r="A188" t="s">
        <v>437</v>
      </c>
      <c r="B188" t="s">
        <v>438</v>
      </c>
      <c r="C188" t="s">
        <v>40</v>
      </c>
      <c r="D188" s="12">
        <v>32</v>
      </c>
      <c r="E188" t="s">
        <v>33</v>
      </c>
      <c r="F188" t="s">
        <v>118</v>
      </c>
      <c r="G188" t="s">
        <v>35</v>
      </c>
      <c r="H188">
        <v>8</v>
      </c>
      <c r="I188" s="1">
        <v>44539</v>
      </c>
      <c r="J188" s="10">
        <v>119690</v>
      </c>
      <c r="K188" s="10">
        <v>4840</v>
      </c>
      <c r="L188">
        <v>2</v>
      </c>
      <c r="M188" t="s">
        <v>26</v>
      </c>
      <c r="N188" t="s">
        <v>76</v>
      </c>
      <c r="O188" t="s">
        <v>28</v>
      </c>
      <c r="P188" t="s">
        <v>29</v>
      </c>
      <c r="Q188">
        <v>42</v>
      </c>
      <c r="R188">
        <v>12</v>
      </c>
      <c r="S188">
        <v>3</v>
      </c>
      <c r="T188" t="s">
        <v>30</v>
      </c>
      <c r="U188" t="str">
        <f>IF(AND(Employees_Data[[#This Row],[Age]]&gt;=20,Employees_Data[[#This Row],[Age]]&lt;=30),"Young",IF(AND(Employees_Data[[#This Row],[Age]]&gt;=31,Employees_Data[[#This Row],[Age]]&lt;=40),"Mid-Age",IF(Employees_Data[[#This Row],[Age]]&gt;=41,"Senior")))</f>
        <v>Mid-Age</v>
      </c>
      <c r="V188" t="str">
        <f>IF(Employees_Data[[#This Row],[Salary]]&lt;=30000,"Low",IF(AND(Employees_Data[[#This Row],[Salary]]&gt;30000,Employees_Data[[#This Row],[Salary]]&lt;=60000),"Medium",IF(AND(Employees_Data[[#This Row],[Salary]]&gt;60000,Employees_Data[[#This Row],[Salary]]&lt;=90000),"High",IF(Employees_Data[[#This Row],[Salary]]&gt;90000,"Executive"))))</f>
        <v>Executive</v>
      </c>
      <c r="W18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88" s="14" t="str">
        <f>VLOOKUP(Employees_Data[[#This Row],[Department]],Departments!$A$2:$B$7,2,FALSE)</f>
        <v>D05</v>
      </c>
      <c r="Y188" s="14" t="str">
        <f>INDEX(Departments!$B$2:$B$7,MATCH(Employees_Data[[#This Row],[Department]],Departments!$A$2:$A$7,0))</f>
        <v>D05</v>
      </c>
      <c r="Z188" s="14" t="str">
        <f>INDEX(Salary_Bands!$C$2:$C$5,MATCH(Employees_Data[[#This Row],[Salary]],Salary_Bands!$A$2:$A$5,1))</f>
        <v>Executive</v>
      </c>
    </row>
    <row r="189" spans="1:26" hidden="1" x14ac:dyDescent="0.3">
      <c r="A189" t="s">
        <v>439</v>
      </c>
      <c r="B189" t="s">
        <v>440</v>
      </c>
      <c r="C189" t="s">
        <v>40</v>
      </c>
      <c r="D189" s="12">
        <v>42</v>
      </c>
      <c r="E189" t="s">
        <v>41</v>
      </c>
      <c r="F189" t="s">
        <v>232</v>
      </c>
      <c r="G189" t="s">
        <v>80</v>
      </c>
      <c r="H189">
        <v>20</v>
      </c>
      <c r="I189" s="1">
        <v>44115</v>
      </c>
      <c r="J189" s="10">
        <v>61302</v>
      </c>
      <c r="K189" s="10">
        <v>23574</v>
      </c>
      <c r="L189">
        <v>1</v>
      </c>
      <c r="M189" t="s">
        <v>36</v>
      </c>
      <c r="N189" t="s">
        <v>76</v>
      </c>
      <c r="O189" t="s">
        <v>28</v>
      </c>
      <c r="P189" t="s">
        <v>29</v>
      </c>
      <c r="Q189">
        <v>52</v>
      </c>
      <c r="R189">
        <v>12</v>
      </c>
      <c r="S189">
        <v>4</v>
      </c>
      <c r="T189" t="s">
        <v>30</v>
      </c>
      <c r="U189" t="str">
        <f>IF(AND(Employees_Data[[#This Row],[Age]]&gt;=20,Employees_Data[[#This Row],[Age]]&lt;=30),"Young",IF(AND(Employees_Data[[#This Row],[Age]]&gt;=31,Employees_Data[[#This Row],[Age]]&lt;=40),"Mid-Age",IF(Employees_Data[[#This Row],[Age]]&gt;=41,"Senior")))</f>
        <v>Senior</v>
      </c>
      <c r="V189" t="str">
        <f>IF(Employees_Data[[#This Row],[Salary]]&lt;=30000,"Low",IF(AND(Employees_Data[[#This Row],[Salary]]&gt;30000,Employees_Data[[#This Row],[Salary]]&lt;=60000),"Medium",IF(AND(Employees_Data[[#This Row],[Salary]]&gt;60000,Employees_Data[[#This Row],[Salary]]&lt;=90000),"High",IF(Employees_Data[[#This Row],[Salary]]&gt;90000,"Executive"))))</f>
        <v>High</v>
      </c>
      <c r="W18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89" s="14" t="str">
        <f>VLOOKUP(Employees_Data[[#This Row],[Department]],Departments!$A$2:$B$7,2,FALSE)</f>
        <v>D03</v>
      </c>
      <c r="Y189" s="14" t="str">
        <f>INDEX(Departments!$B$2:$B$7,MATCH(Employees_Data[[#This Row],[Department]],Departments!$A$2:$A$7,0))</f>
        <v>D03</v>
      </c>
      <c r="Z189" s="14" t="str">
        <f>INDEX(Salary_Bands!$C$2:$C$5,MATCH(Employees_Data[[#This Row],[Salary]],Salary_Bands!$A$2:$A$5,1))</f>
        <v>High</v>
      </c>
    </row>
    <row r="190" spans="1:26" hidden="1" x14ac:dyDescent="0.3">
      <c r="A190" t="s">
        <v>441</v>
      </c>
      <c r="B190" t="s">
        <v>442</v>
      </c>
      <c r="C190" t="s">
        <v>22</v>
      </c>
      <c r="D190" s="12">
        <v>25</v>
      </c>
      <c r="E190" t="s">
        <v>41</v>
      </c>
      <c r="F190" t="s">
        <v>69</v>
      </c>
      <c r="G190" t="s">
        <v>51</v>
      </c>
      <c r="H190">
        <v>3</v>
      </c>
      <c r="I190" s="1">
        <v>45128</v>
      </c>
      <c r="J190" s="10">
        <v>75578</v>
      </c>
      <c r="K190" s="10">
        <v>12370</v>
      </c>
      <c r="L190">
        <v>1</v>
      </c>
      <c r="M190" t="s">
        <v>26</v>
      </c>
      <c r="N190" t="s">
        <v>58</v>
      </c>
      <c r="O190" t="s">
        <v>28</v>
      </c>
      <c r="P190" t="s">
        <v>28</v>
      </c>
      <c r="Q190">
        <v>28</v>
      </c>
      <c r="R190">
        <v>17</v>
      </c>
      <c r="S190">
        <v>4</v>
      </c>
      <c r="T190" t="s">
        <v>30</v>
      </c>
      <c r="U190" t="str">
        <f>IF(AND(Employees_Data[[#This Row],[Age]]&gt;=20,Employees_Data[[#This Row],[Age]]&lt;=30),"Young",IF(AND(Employees_Data[[#This Row],[Age]]&gt;=31,Employees_Data[[#This Row],[Age]]&lt;=40),"Mid-Age",IF(Employees_Data[[#This Row],[Age]]&gt;=41,"Senior")))</f>
        <v>Young</v>
      </c>
      <c r="V190" t="str">
        <f>IF(Employees_Data[[#This Row],[Salary]]&lt;=30000,"Low",IF(AND(Employees_Data[[#This Row],[Salary]]&gt;30000,Employees_Data[[#This Row],[Salary]]&lt;=60000),"Medium",IF(AND(Employees_Data[[#This Row],[Salary]]&gt;60000,Employees_Data[[#This Row],[Salary]]&lt;=90000),"High",IF(Employees_Data[[#This Row],[Salary]]&gt;90000,"Executive"))))</f>
        <v>High</v>
      </c>
      <c r="W19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190" s="14" t="str">
        <f>VLOOKUP(Employees_Data[[#This Row],[Department]],Departments!$A$2:$B$7,2,FALSE)</f>
        <v>D03</v>
      </c>
      <c r="Y190" s="14" t="str">
        <f>INDEX(Departments!$B$2:$B$7,MATCH(Employees_Data[[#This Row],[Department]],Departments!$A$2:$A$7,0))</f>
        <v>D03</v>
      </c>
      <c r="Z190" s="14" t="str">
        <f>INDEX(Salary_Bands!$C$2:$C$5,MATCH(Employees_Data[[#This Row],[Salary]],Salary_Bands!$A$2:$A$5,1))</f>
        <v>High</v>
      </c>
    </row>
    <row r="191" spans="1:26" hidden="1" x14ac:dyDescent="0.3">
      <c r="A191" t="s">
        <v>443</v>
      </c>
      <c r="B191" t="s">
        <v>444</v>
      </c>
      <c r="C191" t="s">
        <v>22</v>
      </c>
      <c r="D191" s="12">
        <v>52</v>
      </c>
      <c r="E191" t="s">
        <v>23</v>
      </c>
      <c r="F191" t="s">
        <v>24</v>
      </c>
      <c r="G191" t="s">
        <v>47</v>
      </c>
      <c r="H191">
        <v>31</v>
      </c>
      <c r="I191" s="1">
        <v>43169</v>
      </c>
      <c r="J191" s="10">
        <v>101986</v>
      </c>
      <c r="K191" s="10">
        <v>18600</v>
      </c>
      <c r="L191">
        <v>1</v>
      </c>
      <c r="M191" t="s">
        <v>36</v>
      </c>
      <c r="N191" t="s">
        <v>48</v>
      </c>
      <c r="O191" t="s">
        <v>28</v>
      </c>
      <c r="P191" t="s">
        <v>28</v>
      </c>
      <c r="Q191">
        <v>32</v>
      </c>
      <c r="R191">
        <v>12</v>
      </c>
      <c r="S191">
        <v>1</v>
      </c>
      <c r="T191" t="s">
        <v>43</v>
      </c>
      <c r="U191" t="str">
        <f>IF(AND(Employees_Data[[#This Row],[Age]]&gt;=20,Employees_Data[[#This Row],[Age]]&lt;=30),"Young",IF(AND(Employees_Data[[#This Row],[Age]]&gt;=31,Employees_Data[[#This Row],[Age]]&lt;=40),"Mid-Age",IF(Employees_Data[[#This Row],[Age]]&gt;=41,"Senior")))</f>
        <v>Senior</v>
      </c>
      <c r="V191" t="str">
        <f>IF(Employees_Data[[#This Row],[Salary]]&lt;=30000,"Low",IF(AND(Employees_Data[[#This Row],[Salary]]&gt;30000,Employees_Data[[#This Row],[Salary]]&lt;=60000),"Medium",IF(AND(Employees_Data[[#This Row],[Salary]]&gt;60000,Employees_Data[[#This Row],[Salary]]&lt;=90000),"High",IF(Employees_Data[[#This Row],[Salary]]&gt;90000,"Executive"))))</f>
        <v>Executive</v>
      </c>
      <c r="W19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91" s="14" t="str">
        <f>VLOOKUP(Employees_Data[[#This Row],[Department]],Departments!$A$2:$B$7,2,FALSE)</f>
        <v>D06</v>
      </c>
      <c r="Y191" s="14" t="str">
        <f>INDEX(Departments!$B$2:$B$7,MATCH(Employees_Data[[#This Row],[Department]],Departments!$A$2:$A$7,0))</f>
        <v>D06</v>
      </c>
      <c r="Z191" s="14" t="str">
        <f>INDEX(Salary_Bands!$C$2:$C$5,MATCH(Employees_Data[[#This Row],[Salary]],Salary_Bands!$A$2:$A$5,1))</f>
        <v>Executive</v>
      </c>
    </row>
    <row r="192" spans="1:26" hidden="1" x14ac:dyDescent="0.3">
      <c r="A192" t="s">
        <v>445</v>
      </c>
      <c r="B192" t="s">
        <v>446</v>
      </c>
      <c r="C192" t="s">
        <v>22</v>
      </c>
      <c r="D192" s="12">
        <v>31</v>
      </c>
      <c r="E192" t="s">
        <v>56</v>
      </c>
      <c r="F192" t="s">
        <v>79</v>
      </c>
      <c r="G192" t="s">
        <v>25</v>
      </c>
      <c r="H192">
        <v>8</v>
      </c>
      <c r="I192" s="1">
        <v>43443</v>
      </c>
      <c r="J192" s="10">
        <v>65620</v>
      </c>
      <c r="K192" s="10">
        <v>12706</v>
      </c>
      <c r="L192">
        <v>1</v>
      </c>
      <c r="M192" t="s">
        <v>36</v>
      </c>
      <c r="N192" t="s">
        <v>53</v>
      </c>
      <c r="O192" t="s">
        <v>28</v>
      </c>
      <c r="P192" t="s">
        <v>29</v>
      </c>
      <c r="Q192">
        <v>24</v>
      </c>
      <c r="R192">
        <v>13</v>
      </c>
      <c r="S192">
        <v>9</v>
      </c>
      <c r="T192" t="s">
        <v>30</v>
      </c>
      <c r="U192" t="str">
        <f>IF(AND(Employees_Data[[#This Row],[Age]]&gt;=20,Employees_Data[[#This Row],[Age]]&lt;=30),"Young",IF(AND(Employees_Data[[#This Row],[Age]]&gt;=31,Employees_Data[[#This Row],[Age]]&lt;=40),"Mid-Age",IF(Employees_Data[[#This Row],[Age]]&gt;=41,"Senior")))</f>
        <v>Mid-Age</v>
      </c>
      <c r="V192" t="str">
        <f>IF(Employees_Data[[#This Row],[Salary]]&lt;=30000,"Low",IF(AND(Employees_Data[[#This Row],[Salary]]&gt;30000,Employees_Data[[#This Row],[Salary]]&lt;=60000),"Medium",IF(AND(Employees_Data[[#This Row],[Salary]]&gt;60000,Employees_Data[[#This Row],[Salary]]&lt;=90000),"High",IF(Employees_Data[[#This Row],[Salary]]&gt;90000,"Executive"))))</f>
        <v>High</v>
      </c>
      <c r="W19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192" s="14" t="str">
        <f>VLOOKUP(Employees_Data[[#This Row],[Department]],Departments!$A$2:$B$7,2,FALSE)</f>
        <v>D01</v>
      </c>
      <c r="Y192" s="14" t="str">
        <f>INDEX(Departments!$B$2:$B$7,MATCH(Employees_Data[[#This Row],[Department]],Departments!$A$2:$A$7,0))</f>
        <v>D01</v>
      </c>
      <c r="Z192" s="14" t="str">
        <f>INDEX(Salary_Bands!$C$2:$C$5,MATCH(Employees_Data[[#This Row],[Salary]],Salary_Bands!$A$2:$A$5,1))</f>
        <v>High</v>
      </c>
    </row>
    <row r="193" spans="1:26" hidden="1" x14ac:dyDescent="0.3">
      <c r="A193" t="s">
        <v>447</v>
      </c>
      <c r="B193" t="s">
        <v>448</v>
      </c>
      <c r="C193" t="s">
        <v>40</v>
      </c>
      <c r="D193" s="12">
        <v>25</v>
      </c>
      <c r="E193" t="s">
        <v>23</v>
      </c>
      <c r="F193" t="s">
        <v>24</v>
      </c>
      <c r="G193" t="s">
        <v>35</v>
      </c>
      <c r="H193">
        <v>3</v>
      </c>
      <c r="I193" s="1">
        <v>43454</v>
      </c>
      <c r="J193" s="10">
        <v>146192</v>
      </c>
      <c r="K193" s="10">
        <v>5913</v>
      </c>
      <c r="L193">
        <v>4</v>
      </c>
      <c r="M193" t="s">
        <v>26</v>
      </c>
      <c r="N193" t="s">
        <v>48</v>
      </c>
      <c r="O193" t="s">
        <v>28</v>
      </c>
      <c r="P193" t="s">
        <v>29</v>
      </c>
      <c r="Q193">
        <v>49</v>
      </c>
      <c r="R193">
        <v>0</v>
      </c>
      <c r="S193">
        <v>2</v>
      </c>
      <c r="T193" t="s">
        <v>30</v>
      </c>
      <c r="U193" t="str">
        <f>IF(AND(Employees_Data[[#This Row],[Age]]&gt;=20,Employees_Data[[#This Row],[Age]]&lt;=30),"Young",IF(AND(Employees_Data[[#This Row],[Age]]&gt;=31,Employees_Data[[#This Row],[Age]]&lt;=40),"Mid-Age",IF(Employees_Data[[#This Row],[Age]]&gt;=41,"Senior")))</f>
        <v>Young</v>
      </c>
      <c r="V193" t="str">
        <f>IF(Employees_Data[[#This Row],[Salary]]&lt;=30000,"Low",IF(AND(Employees_Data[[#This Row],[Salary]]&gt;30000,Employees_Data[[#This Row],[Salary]]&lt;=60000),"Medium",IF(AND(Employees_Data[[#This Row],[Salary]]&gt;60000,Employees_Data[[#This Row],[Salary]]&lt;=90000),"High",IF(Employees_Data[[#This Row],[Salary]]&gt;90000,"Executive"))))</f>
        <v>Executive</v>
      </c>
      <c r="W19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193" s="14" t="str">
        <f>VLOOKUP(Employees_Data[[#This Row],[Department]],Departments!$A$2:$B$7,2,FALSE)</f>
        <v>D06</v>
      </c>
      <c r="Y193" s="14" t="str">
        <f>INDEX(Departments!$B$2:$B$7,MATCH(Employees_Data[[#This Row],[Department]],Departments!$A$2:$A$7,0))</f>
        <v>D06</v>
      </c>
      <c r="Z193" s="14" t="str">
        <f>INDEX(Salary_Bands!$C$2:$C$5,MATCH(Employees_Data[[#This Row],[Salary]],Salary_Bands!$A$2:$A$5,1))</f>
        <v>Executive</v>
      </c>
    </row>
    <row r="194" spans="1:26" hidden="1" x14ac:dyDescent="0.3">
      <c r="A194" t="s">
        <v>449</v>
      </c>
      <c r="B194" t="s">
        <v>450</v>
      </c>
      <c r="C194" t="s">
        <v>40</v>
      </c>
      <c r="D194" s="12">
        <v>44</v>
      </c>
      <c r="E194" t="s">
        <v>61</v>
      </c>
      <c r="F194" t="s">
        <v>229</v>
      </c>
      <c r="G194" t="s">
        <v>80</v>
      </c>
      <c r="H194">
        <v>19</v>
      </c>
      <c r="I194" s="1">
        <v>45219</v>
      </c>
      <c r="J194" s="10">
        <v>127627</v>
      </c>
      <c r="K194" s="10">
        <v>2961</v>
      </c>
      <c r="L194">
        <v>3</v>
      </c>
      <c r="M194" t="s">
        <v>36</v>
      </c>
      <c r="N194" t="s">
        <v>63</v>
      </c>
      <c r="O194" t="s">
        <v>28</v>
      </c>
      <c r="P194" t="s">
        <v>28</v>
      </c>
      <c r="Q194">
        <v>22</v>
      </c>
      <c r="R194">
        <v>16</v>
      </c>
      <c r="S194">
        <v>3</v>
      </c>
      <c r="T194" t="s">
        <v>30</v>
      </c>
      <c r="U194" t="str">
        <f>IF(AND(Employees_Data[[#This Row],[Age]]&gt;=20,Employees_Data[[#This Row],[Age]]&lt;=30),"Young",IF(AND(Employees_Data[[#This Row],[Age]]&gt;=31,Employees_Data[[#This Row],[Age]]&lt;=40),"Mid-Age",IF(Employees_Data[[#This Row],[Age]]&gt;=41,"Senior")))</f>
        <v>Senior</v>
      </c>
      <c r="V194" t="str">
        <f>IF(Employees_Data[[#This Row],[Salary]]&lt;=30000,"Low",IF(AND(Employees_Data[[#This Row],[Salary]]&gt;30000,Employees_Data[[#This Row],[Salary]]&lt;=60000),"Medium",IF(AND(Employees_Data[[#This Row],[Salary]]&gt;60000,Employees_Data[[#This Row],[Salary]]&lt;=90000),"High",IF(Employees_Data[[#This Row],[Salary]]&gt;90000,"Executive"))))</f>
        <v>Executive</v>
      </c>
      <c r="W19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94" s="14" t="str">
        <f>VLOOKUP(Employees_Data[[#This Row],[Department]],Departments!$A$2:$B$7,2,FALSE)</f>
        <v>D02</v>
      </c>
      <c r="Y194" s="14" t="str">
        <f>INDEX(Departments!$B$2:$B$7,MATCH(Employees_Data[[#This Row],[Department]],Departments!$A$2:$A$7,0))</f>
        <v>D02</v>
      </c>
      <c r="Z194" s="14" t="str">
        <f>INDEX(Salary_Bands!$C$2:$C$5,MATCH(Employees_Data[[#This Row],[Salary]],Salary_Bands!$A$2:$A$5,1))</f>
        <v>Executive</v>
      </c>
    </row>
    <row r="195" spans="1:26" hidden="1" x14ac:dyDescent="0.3">
      <c r="A195" t="s">
        <v>451</v>
      </c>
      <c r="B195" t="s">
        <v>452</v>
      </c>
      <c r="C195" t="s">
        <v>40</v>
      </c>
      <c r="D195" s="12">
        <v>26</v>
      </c>
      <c r="E195" t="s">
        <v>56</v>
      </c>
      <c r="F195" t="s">
        <v>125</v>
      </c>
      <c r="G195" t="s">
        <v>35</v>
      </c>
      <c r="H195">
        <v>2</v>
      </c>
      <c r="I195" s="1">
        <v>44965</v>
      </c>
      <c r="J195" s="10">
        <v>91949</v>
      </c>
      <c r="K195" s="10">
        <v>10359</v>
      </c>
      <c r="L195">
        <v>3</v>
      </c>
      <c r="M195" t="s">
        <v>26</v>
      </c>
      <c r="N195" t="s">
        <v>53</v>
      </c>
      <c r="O195" t="s">
        <v>28</v>
      </c>
      <c r="P195" t="s">
        <v>29</v>
      </c>
      <c r="Q195">
        <v>19</v>
      </c>
      <c r="R195">
        <v>16</v>
      </c>
      <c r="S195">
        <v>1</v>
      </c>
      <c r="T195" t="s">
        <v>30</v>
      </c>
      <c r="U195" t="str">
        <f>IF(AND(Employees_Data[[#This Row],[Age]]&gt;=20,Employees_Data[[#This Row],[Age]]&lt;=30),"Young",IF(AND(Employees_Data[[#This Row],[Age]]&gt;=31,Employees_Data[[#This Row],[Age]]&lt;=40),"Mid-Age",IF(Employees_Data[[#This Row],[Age]]&gt;=41,"Senior")))</f>
        <v>Young</v>
      </c>
      <c r="V195" t="str">
        <f>IF(Employees_Data[[#This Row],[Salary]]&lt;=30000,"Low",IF(AND(Employees_Data[[#This Row],[Salary]]&gt;30000,Employees_Data[[#This Row],[Salary]]&lt;=60000),"Medium",IF(AND(Employees_Data[[#This Row],[Salary]]&gt;60000,Employees_Data[[#This Row],[Salary]]&lt;=90000),"High",IF(Employees_Data[[#This Row],[Salary]]&gt;90000,"Executive"))))</f>
        <v>Executive</v>
      </c>
      <c r="W19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95" s="14" t="str">
        <f>VLOOKUP(Employees_Data[[#This Row],[Department]],Departments!$A$2:$B$7,2,FALSE)</f>
        <v>D01</v>
      </c>
      <c r="Y195" s="14" t="str">
        <f>INDEX(Departments!$B$2:$B$7,MATCH(Employees_Data[[#This Row],[Department]],Departments!$A$2:$A$7,0))</f>
        <v>D01</v>
      </c>
      <c r="Z195" s="14" t="str">
        <f>INDEX(Salary_Bands!$C$2:$C$5,MATCH(Employees_Data[[#This Row],[Salary]],Salary_Bands!$A$2:$A$5,1))</f>
        <v>Executive</v>
      </c>
    </row>
    <row r="196" spans="1:26" hidden="1" x14ac:dyDescent="0.3">
      <c r="A196" t="s">
        <v>453</v>
      </c>
      <c r="B196" t="s">
        <v>454</v>
      </c>
      <c r="C196" t="s">
        <v>22</v>
      </c>
      <c r="D196" s="12">
        <v>22</v>
      </c>
      <c r="E196" t="s">
        <v>56</v>
      </c>
      <c r="F196" t="s">
        <v>57</v>
      </c>
      <c r="G196" t="s">
        <v>25</v>
      </c>
      <c r="H196">
        <v>0</v>
      </c>
      <c r="I196" s="1">
        <v>43289</v>
      </c>
      <c r="J196" s="10">
        <v>86835</v>
      </c>
      <c r="K196" s="10">
        <v>23486</v>
      </c>
      <c r="L196">
        <v>3</v>
      </c>
      <c r="M196" t="s">
        <v>36</v>
      </c>
      <c r="N196" t="s">
        <v>76</v>
      </c>
      <c r="O196" t="s">
        <v>28</v>
      </c>
      <c r="P196" t="s">
        <v>28</v>
      </c>
      <c r="Q196">
        <v>20</v>
      </c>
      <c r="R196">
        <v>13</v>
      </c>
      <c r="S196">
        <v>7</v>
      </c>
      <c r="T196" t="s">
        <v>43</v>
      </c>
      <c r="U196" t="str">
        <f>IF(AND(Employees_Data[[#This Row],[Age]]&gt;=20,Employees_Data[[#This Row],[Age]]&lt;=30),"Young",IF(AND(Employees_Data[[#This Row],[Age]]&gt;=31,Employees_Data[[#This Row],[Age]]&lt;=40),"Mid-Age",IF(Employees_Data[[#This Row],[Age]]&gt;=41,"Senior")))</f>
        <v>Young</v>
      </c>
      <c r="V196" t="str">
        <f>IF(Employees_Data[[#This Row],[Salary]]&lt;=30000,"Low",IF(AND(Employees_Data[[#This Row],[Salary]]&gt;30000,Employees_Data[[#This Row],[Salary]]&lt;=60000),"Medium",IF(AND(Employees_Data[[#This Row],[Salary]]&gt;60000,Employees_Data[[#This Row],[Salary]]&lt;=90000),"High",IF(Employees_Data[[#This Row],[Salary]]&gt;90000,"Executive"))))</f>
        <v>High</v>
      </c>
      <c r="W19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96" s="14" t="str">
        <f>VLOOKUP(Employees_Data[[#This Row],[Department]],Departments!$A$2:$B$7,2,FALSE)</f>
        <v>D01</v>
      </c>
      <c r="Y196" s="14" t="str">
        <f>INDEX(Departments!$B$2:$B$7,MATCH(Employees_Data[[#This Row],[Department]],Departments!$A$2:$A$7,0))</f>
        <v>D01</v>
      </c>
      <c r="Z196" s="14" t="str">
        <f>INDEX(Salary_Bands!$C$2:$C$5,MATCH(Employees_Data[[#This Row],[Salary]],Salary_Bands!$A$2:$A$5,1))</f>
        <v>High</v>
      </c>
    </row>
    <row r="197" spans="1:26" hidden="1" x14ac:dyDescent="0.3">
      <c r="A197" t="s">
        <v>455</v>
      </c>
      <c r="B197" t="s">
        <v>456</v>
      </c>
      <c r="C197" t="s">
        <v>22</v>
      </c>
      <c r="D197" s="12">
        <v>39</v>
      </c>
      <c r="E197" t="s">
        <v>23</v>
      </c>
      <c r="F197" t="s">
        <v>100</v>
      </c>
      <c r="G197" t="s">
        <v>25</v>
      </c>
      <c r="H197">
        <v>18</v>
      </c>
      <c r="I197" s="1">
        <v>45442</v>
      </c>
      <c r="J197" s="10">
        <v>73864</v>
      </c>
      <c r="K197" s="10">
        <v>3504</v>
      </c>
      <c r="L197">
        <v>1</v>
      </c>
      <c r="M197" t="s">
        <v>36</v>
      </c>
      <c r="N197" t="s">
        <v>27</v>
      </c>
      <c r="O197" t="s">
        <v>28</v>
      </c>
      <c r="P197" t="s">
        <v>28</v>
      </c>
      <c r="Q197">
        <v>60</v>
      </c>
      <c r="R197">
        <v>9</v>
      </c>
      <c r="S197">
        <v>9</v>
      </c>
      <c r="T197" t="s">
        <v>43</v>
      </c>
      <c r="U197" t="str">
        <f>IF(AND(Employees_Data[[#This Row],[Age]]&gt;=20,Employees_Data[[#This Row],[Age]]&lt;=30),"Young",IF(AND(Employees_Data[[#This Row],[Age]]&gt;=31,Employees_Data[[#This Row],[Age]]&lt;=40),"Mid-Age",IF(Employees_Data[[#This Row],[Age]]&gt;=41,"Senior")))</f>
        <v>Mid-Age</v>
      </c>
      <c r="V197" t="str">
        <f>IF(Employees_Data[[#This Row],[Salary]]&lt;=30000,"Low",IF(AND(Employees_Data[[#This Row],[Salary]]&gt;30000,Employees_Data[[#This Row],[Salary]]&lt;=60000),"Medium",IF(AND(Employees_Data[[#This Row],[Salary]]&gt;60000,Employees_Data[[#This Row],[Salary]]&lt;=90000),"High",IF(Employees_Data[[#This Row],[Salary]]&gt;90000,"Executive"))))</f>
        <v>High</v>
      </c>
      <c r="W19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197" s="14" t="str">
        <f>VLOOKUP(Employees_Data[[#This Row],[Department]],Departments!$A$2:$B$7,2,FALSE)</f>
        <v>D06</v>
      </c>
      <c r="Y197" s="14" t="str">
        <f>INDEX(Departments!$B$2:$B$7,MATCH(Employees_Data[[#This Row],[Department]],Departments!$A$2:$A$7,0))</f>
        <v>D06</v>
      </c>
      <c r="Z197" s="14" t="str">
        <f>INDEX(Salary_Bands!$C$2:$C$5,MATCH(Employees_Data[[#This Row],[Salary]],Salary_Bands!$A$2:$A$5,1))</f>
        <v>High</v>
      </c>
    </row>
    <row r="198" spans="1:26" hidden="1" x14ac:dyDescent="0.3">
      <c r="A198" t="s">
        <v>457</v>
      </c>
      <c r="B198" t="s">
        <v>458</v>
      </c>
      <c r="C198" t="s">
        <v>22</v>
      </c>
      <c r="D198" s="12">
        <v>27</v>
      </c>
      <c r="E198" t="s">
        <v>41</v>
      </c>
      <c r="F198" t="s">
        <v>232</v>
      </c>
      <c r="G198" t="s">
        <v>47</v>
      </c>
      <c r="H198">
        <v>2</v>
      </c>
      <c r="I198" s="1">
        <v>44971</v>
      </c>
      <c r="J198" s="10">
        <v>26044</v>
      </c>
      <c r="K198" s="10">
        <v>14067</v>
      </c>
      <c r="L198">
        <v>3</v>
      </c>
      <c r="M198" t="s">
        <v>52</v>
      </c>
      <c r="N198" t="s">
        <v>58</v>
      </c>
      <c r="O198" t="s">
        <v>28</v>
      </c>
      <c r="P198" t="s">
        <v>29</v>
      </c>
      <c r="Q198">
        <v>51</v>
      </c>
      <c r="R198">
        <v>17</v>
      </c>
      <c r="S198">
        <v>4</v>
      </c>
      <c r="T198" t="s">
        <v>30</v>
      </c>
      <c r="U198" t="str">
        <f>IF(AND(Employees_Data[[#This Row],[Age]]&gt;=20,Employees_Data[[#This Row],[Age]]&lt;=30),"Young",IF(AND(Employees_Data[[#This Row],[Age]]&gt;=31,Employees_Data[[#This Row],[Age]]&lt;=40),"Mid-Age",IF(Employees_Data[[#This Row],[Age]]&gt;=41,"Senior")))</f>
        <v>Young</v>
      </c>
      <c r="V198" t="str">
        <f>IF(Employees_Data[[#This Row],[Salary]]&lt;=30000,"Low",IF(AND(Employees_Data[[#This Row],[Salary]]&gt;30000,Employees_Data[[#This Row],[Salary]]&lt;=60000),"Medium",IF(AND(Employees_Data[[#This Row],[Salary]]&gt;60000,Employees_Data[[#This Row],[Salary]]&lt;=90000),"High",IF(Employees_Data[[#This Row],[Salary]]&gt;90000,"Executive"))))</f>
        <v>Low</v>
      </c>
      <c r="W19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98" s="14" t="str">
        <f>VLOOKUP(Employees_Data[[#This Row],[Department]],Departments!$A$2:$B$7,2,FALSE)</f>
        <v>D03</v>
      </c>
      <c r="Y198" s="14" t="str">
        <f>INDEX(Departments!$B$2:$B$7,MATCH(Employees_Data[[#This Row],[Department]],Departments!$A$2:$A$7,0))</f>
        <v>D03</v>
      </c>
      <c r="Z198" s="14" t="str">
        <f>INDEX(Salary_Bands!$C$2:$C$5,MATCH(Employees_Data[[#This Row],[Salary]],Salary_Bands!$A$2:$A$5,1))</f>
        <v>Low</v>
      </c>
    </row>
    <row r="199" spans="1:26" hidden="1" x14ac:dyDescent="0.3">
      <c r="A199" t="s">
        <v>459</v>
      </c>
      <c r="B199" t="s">
        <v>460</v>
      </c>
      <c r="C199" t="s">
        <v>22</v>
      </c>
      <c r="D199" s="12">
        <v>22</v>
      </c>
      <c r="E199" t="s">
        <v>61</v>
      </c>
      <c r="F199" t="s">
        <v>62</v>
      </c>
      <c r="G199" t="s">
        <v>51</v>
      </c>
      <c r="H199">
        <v>0</v>
      </c>
      <c r="I199" s="1">
        <v>43198</v>
      </c>
      <c r="J199" s="10">
        <v>55539</v>
      </c>
      <c r="K199" s="10">
        <v>2047</v>
      </c>
      <c r="L199">
        <v>5</v>
      </c>
      <c r="M199" t="s">
        <v>52</v>
      </c>
      <c r="N199" t="s">
        <v>58</v>
      </c>
      <c r="O199" t="s">
        <v>28</v>
      </c>
      <c r="P199" t="s">
        <v>28</v>
      </c>
      <c r="Q199">
        <v>11</v>
      </c>
      <c r="R199">
        <v>6</v>
      </c>
      <c r="S199">
        <v>6</v>
      </c>
      <c r="T199" t="s">
        <v>30</v>
      </c>
      <c r="U199" t="str">
        <f>IF(AND(Employees_Data[[#This Row],[Age]]&gt;=20,Employees_Data[[#This Row],[Age]]&lt;=30),"Young",IF(AND(Employees_Data[[#This Row],[Age]]&gt;=31,Employees_Data[[#This Row],[Age]]&lt;=40),"Mid-Age",IF(Employees_Data[[#This Row],[Age]]&gt;=41,"Senior")))</f>
        <v>Young</v>
      </c>
      <c r="V199" t="str">
        <f>IF(Employees_Data[[#This Row],[Salary]]&lt;=30000,"Low",IF(AND(Employees_Data[[#This Row],[Salary]]&gt;30000,Employees_Data[[#This Row],[Salary]]&lt;=60000),"Medium",IF(AND(Employees_Data[[#This Row],[Salary]]&gt;60000,Employees_Data[[#This Row],[Salary]]&lt;=90000),"High",IF(Employees_Data[[#This Row],[Salary]]&gt;90000,"Executive"))))</f>
        <v>Medium</v>
      </c>
      <c r="W19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199" s="14" t="str">
        <f>VLOOKUP(Employees_Data[[#This Row],[Department]],Departments!$A$2:$B$7,2,FALSE)</f>
        <v>D02</v>
      </c>
      <c r="Y199" s="14" t="str">
        <f>INDEX(Departments!$B$2:$B$7,MATCH(Employees_Data[[#This Row],[Department]],Departments!$A$2:$A$7,0))</f>
        <v>D02</v>
      </c>
      <c r="Z199" s="14" t="str">
        <f>INDEX(Salary_Bands!$C$2:$C$5,MATCH(Employees_Data[[#This Row],[Salary]],Salary_Bands!$A$2:$A$5,1))</f>
        <v>Medium</v>
      </c>
    </row>
    <row r="200" spans="1:26" x14ac:dyDescent="0.3">
      <c r="A200" t="s">
        <v>461</v>
      </c>
      <c r="B200" t="s">
        <v>462</v>
      </c>
      <c r="C200" t="s">
        <v>40</v>
      </c>
      <c r="D200" s="12">
        <v>48</v>
      </c>
      <c r="E200" t="s">
        <v>33</v>
      </c>
      <c r="F200" t="s">
        <v>118</v>
      </c>
      <c r="G200" t="s">
        <v>51</v>
      </c>
      <c r="H200">
        <v>24</v>
      </c>
      <c r="I200" s="1">
        <v>43346</v>
      </c>
      <c r="J200" s="10">
        <v>43661</v>
      </c>
      <c r="K200" s="10">
        <v>17022</v>
      </c>
      <c r="L200">
        <v>3</v>
      </c>
      <c r="M200" t="s">
        <v>52</v>
      </c>
      <c r="N200" t="s">
        <v>27</v>
      </c>
      <c r="O200" s="5" t="s">
        <v>29</v>
      </c>
      <c r="P200" t="s">
        <v>29</v>
      </c>
      <c r="Q200">
        <v>37</v>
      </c>
      <c r="R200">
        <v>4</v>
      </c>
      <c r="S200">
        <v>2</v>
      </c>
      <c r="T200" t="s">
        <v>30</v>
      </c>
      <c r="U200" t="str">
        <f>IF(AND(Employees_Data[[#This Row],[Age]]&gt;=20,Employees_Data[[#This Row],[Age]]&lt;=30),"Young",IF(AND(Employees_Data[[#This Row],[Age]]&gt;=31,Employees_Data[[#This Row],[Age]]&lt;=40),"Mid-Age",IF(Employees_Data[[#This Row],[Age]]&gt;=41,"Senior")))</f>
        <v>Senior</v>
      </c>
      <c r="V200" t="str">
        <f>IF(Employees_Data[[#This Row],[Salary]]&lt;=30000,"Low",IF(AND(Employees_Data[[#This Row],[Salary]]&gt;30000,Employees_Data[[#This Row],[Salary]]&lt;=60000),"Medium",IF(AND(Employees_Data[[#This Row],[Salary]]&gt;60000,Employees_Data[[#This Row],[Salary]]&lt;=90000),"High",IF(Employees_Data[[#This Row],[Salary]]&gt;90000,"Executive"))))</f>
        <v>Medium</v>
      </c>
      <c r="W20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00" s="14" t="str">
        <f>VLOOKUP(Employees_Data[[#This Row],[Department]],Departments!$A$2:$B$7,2,FALSE)</f>
        <v>D05</v>
      </c>
      <c r="Y200" s="14" t="str">
        <f>INDEX(Departments!$B$2:$B$7,MATCH(Employees_Data[[#This Row],[Department]],Departments!$A$2:$A$7,0))</f>
        <v>D05</v>
      </c>
      <c r="Z200" s="14" t="str">
        <f>INDEX(Salary_Bands!$C$2:$C$5,MATCH(Employees_Data[[#This Row],[Salary]],Salary_Bands!$A$2:$A$5,1))</f>
        <v>Medium</v>
      </c>
    </row>
    <row r="201" spans="1:26" hidden="1" x14ac:dyDescent="0.3">
      <c r="A201" t="s">
        <v>463</v>
      </c>
      <c r="B201" t="s">
        <v>464</v>
      </c>
      <c r="C201" t="s">
        <v>40</v>
      </c>
      <c r="D201" s="12">
        <v>26</v>
      </c>
      <c r="E201" t="s">
        <v>23</v>
      </c>
      <c r="F201" t="s">
        <v>100</v>
      </c>
      <c r="G201" t="s">
        <v>47</v>
      </c>
      <c r="H201">
        <v>1</v>
      </c>
      <c r="I201" s="1">
        <v>45426</v>
      </c>
      <c r="J201" s="10">
        <v>33163</v>
      </c>
      <c r="K201" s="10">
        <v>24961</v>
      </c>
      <c r="L201">
        <v>4</v>
      </c>
      <c r="M201" t="s">
        <v>52</v>
      </c>
      <c r="N201" t="s">
        <v>37</v>
      </c>
      <c r="O201" t="s">
        <v>28</v>
      </c>
      <c r="P201" t="s">
        <v>28</v>
      </c>
      <c r="Q201">
        <v>33</v>
      </c>
      <c r="R201">
        <v>8</v>
      </c>
      <c r="S201">
        <v>3</v>
      </c>
      <c r="T201" t="s">
        <v>30</v>
      </c>
      <c r="U201" t="str">
        <f>IF(AND(Employees_Data[[#This Row],[Age]]&gt;=20,Employees_Data[[#This Row],[Age]]&lt;=30),"Young",IF(AND(Employees_Data[[#This Row],[Age]]&gt;=31,Employees_Data[[#This Row],[Age]]&lt;=40),"Mid-Age",IF(Employees_Data[[#This Row],[Age]]&gt;=41,"Senior")))</f>
        <v>Young</v>
      </c>
      <c r="V201" t="str">
        <f>IF(Employees_Data[[#This Row],[Salary]]&lt;=30000,"Low",IF(AND(Employees_Data[[#This Row],[Salary]]&gt;30000,Employees_Data[[#This Row],[Salary]]&lt;=60000),"Medium",IF(AND(Employees_Data[[#This Row],[Salary]]&gt;60000,Employees_Data[[#This Row],[Salary]]&lt;=90000),"High",IF(Employees_Data[[#This Row],[Salary]]&gt;90000,"Executive"))))</f>
        <v>Medium</v>
      </c>
      <c r="W20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201" s="14" t="str">
        <f>VLOOKUP(Employees_Data[[#This Row],[Department]],Departments!$A$2:$B$7,2,FALSE)</f>
        <v>D06</v>
      </c>
      <c r="Y201" s="14" t="str">
        <f>INDEX(Departments!$B$2:$B$7,MATCH(Employees_Data[[#This Row],[Department]],Departments!$A$2:$A$7,0))</f>
        <v>D06</v>
      </c>
      <c r="Z201" s="14" t="str">
        <f>INDEX(Salary_Bands!$C$2:$C$5,MATCH(Employees_Data[[#This Row],[Salary]],Salary_Bands!$A$2:$A$5,1))</f>
        <v>Medium</v>
      </c>
    </row>
    <row r="202" spans="1:26" hidden="1" x14ac:dyDescent="0.3">
      <c r="A202" t="s">
        <v>465</v>
      </c>
      <c r="B202" t="s">
        <v>466</v>
      </c>
      <c r="C202" t="s">
        <v>40</v>
      </c>
      <c r="D202" s="12">
        <v>34</v>
      </c>
      <c r="E202" t="s">
        <v>61</v>
      </c>
      <c r="F202" t="s">
        <v>62</v>
      </c>
      <c r="G202" t="s">
        <v>80</v>
      </c>
      <c r="H202">
        <v>12</v>
      </c>
      <c r="I202" s="1">
        <v>45495</v>
      </c>
      <c r="J202" s="10">
        <v>39283</v>
      </c>
      <c r="K202" s="10">
        <v>19561</v>
      </c>
      <c r="L202">
        <v>2</v>
      </c>
      <c r="M202" t="s">
        <v>36</v>
      </c>
      <c r="N202" t="s">
        <v>63</v>
      </c>
      <c r="O202" t="s">
        <v>28</v>
      </c>
      <c r="P202" t="s">
        <v>29</v>
      </c>
      <c r="Q202">
        <v>33</v>
      </c>
      <c r="R202">
        <v>9</v>
      </c>
      <c r="S202">
        <v>2</v>
      </c>
      <c r="T202" t="s">
        <v>30</v>
      </c>
      <c r="U202" t="str">
        <f>IF(AND(Employees_Data[[#This Row],[Age]]&gt;=20,Employees_Data[[#This Row],[Age]]&lt;=30),"Young",IF(AND(Employees_Data[[#This Row],[Age]]&gt;=31,Employees_Data[[#This Row],[Age]]&lt;=40),"Mid-Age",IF(Employees_Data[[#This Row],[Age]]&gt;=41,"Senior")))</f>
        <v>Mid-Age</v>
      </c>
      <c r="V202" t="str">
        <f>IF(Employees_Data[[#This Row],[Salary]]&lt;=30000,"Low",IF(AND(Employees_Data[[#This Row],[Salary]]&gt;30000,Employees_Data[[#This Row],[Salary]]&lt;=60000),"Medium",IF(AND(Employees_Data[[#This Row],[Salary]]&gt;60000,Employees_Data[[#This Row],[Salary]]&lt;=90000),"High",IF(Employees_Data[[#This Row],[Salary]]&gt;90000,"Executive"))))</f>
        <v>Medium</v>
      </c>
      <c r="W20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02" s="14" t="str">
        <f>VLOOKUP(Employees_Data[[#This Row],[Department]],Departments!$A$2:$B$7,2,FALSE)</f>
        <v>D02</v>
      </c>
      <c r="Y202" s="14" t="str">
        <f>INDEX(Departments!$B$2:$B$7,MATCH(Employees_Data[[#This Row],[Department]],Departments!$A$2:$A$7,0))</f>
        <v>D02</v>
      </c>
      <c r="Z202" s="14" t="str">
        <f>INDEX(Salary_Bands!$C$2:$C$5,MATCH(Employees_Data[[#This Row],[Salary]],Salary_Bands!$A$2:$A$5,1))</f>
        <v>Medium</v>
      </c>
    </row>
    <row r="203" spans="1:26" x14ac:dyDescent="0.3">
      <c r="A203" t="s">
        <v>467</v>
      </c>
      <c r="B203" t="s">
        <v>468</v>
      </c>
      <c r="C203" t="s">
        <v>40</v>
      </c>
      <c r="D203" s="12">
        <v>29</v>
      </c>
      <c r="E203" t="s">
        <v>87</v>
      </c>
      <c r="F203" t="s">
        <v>220</v>
      </c>
      <c r="G203" t="s">
        <v>35</v>
      </c>
      <c r="H203">
        <v>8</v>
      </c>
      <c r="I203" s="1">
        <v>43746</v>
      </c>
      <c r="J203" s="10">
        <v>130853</v>
      </c>
      <c r="K203" s="10">
        <v>4988</v>
      </c>
      <c r="L203">
        <v>3</v>
      </c>
      <c r="M203" t="s">
        <v>52</v>
      </c>
      <c r="N203" t="s">
        <v>76</v>
      </c>
      <c r="O203" s="5" t="s">
        <v>29</v>
      </c>
      <c r="P203" t="s">
        <v>28</v>
      </c>
      <c r="Q203">
        <v>30</v>
      </c>
      <c r="R203">
        <v>16</v>
      </c>
      <c r="S203">
        <v>10</v>
      </c>
      <c r="T203" t="s">
        <v>30</v>
      </c>
      <c r="U203" t="str">
        <f>IF(AND(Employees_Data[[#This Row],[Age]]&gt;=20,Employees_Data[[#This Row],[Age]]&lt;=30),"Young",IF(AND(Employees_Data[[#This Row],[Age]]&gt;=31,Employees_Data[[#This Row],[Age]]&lt;=40),"Mid-Age",IF(Employees_Data[[#This Row],[Age]]&gt;=41,"Senior")))</f>
        <v>Young</v>
      </c>
      <c r="V203" t="str">
        <f>IF(Employees_Data[[#This Row],[Salary]]&lt;=30000,"Low",IF(AND(Employees_Data[[#This Row],[Salary]]&gt;30000,Employees_Data[[#This Row],[Salary]]&lt;=60000),"Medium",IF(AND(Employees_Data[[#This Row],[Salary]]&gt;60000,Employees_Data[[#This Row],[Salary]]&lt;=90000),"High",IF(Employees_Data[[#This Row],[Salary]]&gt;90000,"Executive"))))</f>
        <v>Executive</v>
      </c>
      <c r="W20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203" s="14" t="str">
        <f>VLOOKUP(Employees_Data[[#This Row],[Department]],Departments!$A$2:$B$7,2,FALSE)</f>
        <v>D04</v>
      </c>
      <c r="Y203" s="14" t="str">
        <f>INDEX(Departments!$B$2:$B$7,MATCH(Employees_Data[[#This Row],[Department]],Departments!$A$2:$A$7,0))</f>
        <v>D04</v>
      </c>
      <c r="Z203" s="14" t="str">
        <f>INDEX(Salary_Bands!$C$2:$C$5,MATCH(Employees_Data[[#This Row],[Salary]],Salary_Bands!$A$2:$A$5,1))</f>
        <v>Executive</v>
      </c>
    </row>
    <row r="204" spans="1:26" hidden="1" x14ac:dyDescent="0.3">
      <c r="A204" t="s">
        <v>469</v>
      </c>
      <c r="B204" t="s">
        <v>470</v>
      </c>
      <c r="C204" t="s">
        <v>22</v>
      </c>
      <c r="D204" s="12">
        <v>41</v>
      </c>
      <c r="E204" t="s">
        <v>56</v>
      </c>
      <c r="F204" t="s">
        <v>79</v>
      </c>
      <c r="G204" t="s">
        <v>47</v>
      </c>
      <c r="H204">
        <v>18</v>
      </c>
      <c r="I204" s="1">
        <v>43813</v>
      </c>
      <c r="J204" s="10">
        <v>29073</v>
      </c>
      <c r="K204" s="10">
        <v>5339</v>
      </c>
      <c r="L204">
        <v>4</v>
      </c>
      <c r="M204" t="s">
        <v>26</v>
      </c>
      <c r="N204" t="s">
        <v>27</v>
      </c>
      <c r="O204" t="s">
        <v>28</v>
      </c>
      <c r="P204" t="s">
        <v>29</v>
      </c>
      <c r="Q204">
        <v>8</v>
      </c>
      <c r="R204">
        <v>7</v>
      </c>
      <c r="S204">
        <v>8</v>
      </c>
      <c r="T204" t="s">
        <v>30</v>
      </c>
      <c r="U204" t="str">
        <f>IF(AND(Employees_Data[[#This Row],[Age]]&gt;=20,Employees_Data[[#This Row],[Age]]&lt;=30),"Young",IF(AND(Employees_Data[[#This Row],[Age]]&gt;=31,Employees_Data[[#This Row],[Age]]&lt;=40),"Mid-Age",IF(Employees_Data[[#This Row],[Age]]&gt;=41,"Senior")))</f>
        <v>Senior</v>
      </c>
      <c r="V204" t="str">
        <f>IF(Employees_Data[[#This Row],[Salary]]&lt;=30000,"Low",IF(AND(Employees_Data[[#This Row],[Salary]]&gt;30000,Employees_Data[[#This Row],[Salary]]&lt;=60000),"Medium",IF(AND(Employees_Data[[#This Row],[Salary]]&gt;60000,Employees_Data[[#This Row],[Salary]]&lt;=90000),"High",IF(Employees_Data[[#This Row],[Salary]]&gt;90000,"Executive"))))</f>
        <v>Low</v>
      </c>
      <c r="W20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04" s="14" t="str">
        <f>VLOOKUP(Employees_Data[[#This Row],[Department]],Departments!$A$2:$B$7,2,FALSE)</f>
        <v>D01</v>
      </c>
      <c r="Y204" s="14" t="str">
        <f>INDEX(Departments!$B$2:$B$7,MATCH(Employees_Data[[#This Row],[Department]],Departments!$A$2:$A$7,0))</f>
        <v>D01</v>
      </c>
      <c r="Z204" s="14" t="str">
        <f>INDEX(Salary_Bands!$C$2:$C$5,MATCH(Employees_Data[[#This Row],[Salary]],Salary_Bands!$A$2:$A$5,1))</f>
        <v>Low</v>
      </c>
    </row>
    <row r="205" spans="1:26" hidden="1" x14ac:dyDescent="0.3">
      <c r="A205" t="s">
        <v>471</v>
      </c>
      <c r="B205" t="s">
        <v>472</v>
      </c>
      <c r="C205" t="s">
        <v>22</v>
      </c>
      <c r="D205" s="12">
        <v>47</v>
      </c>
      <c r="E205" t="s">
        <v>61</v>
      </c>
      <c r="F205" t="s">
        <v>62</v>
      </c>
      <c r="G205" t="s">
        <v>35</v>
      </c>
      <c r="H205">
        <v>24</v>
      </c>
      <c r="I205" s="1">
        <v>43445</v>
      </c>
      <c r="J205" s="10">
        <v>101326</v>
      </c>
      <c r="K205" s="10">
        <v>23167</v>
      </c>
      <c r="L205">
        <v>5</v>
      </c>
      <c r="M205" t="s">
        <v>36</v>
      </c>
      <c r="N205" t="s">
        <v>63</v>
      </c>
      <c r="O205" t="s">
        <v>28</v>
      </c>
      <c r="P205" t="s">
        <v>29</v>
      </c>
      <c r="Q205">
        <v>10</v>
      </c>
      <c r="R205">
        <v>10</v>
      </c>
      <c r="S205">
        <v>5</v>
      </c>
      <c r="T205" t="s">
        <v>43</v>
      </c>
      <c r="U205" t="str">
        <f>IF(AND(Employees_Data[[#This Row],[Age]]&gt;=20,Employees_Data[[#This Row],[Age]]&lt;=30),"Young",IF(AND(Employees_Data[[#This Row],[Age]]&gt;=31,Employees_Data[[#This Row],[Age]]&lt;=40),"Mid-Age",IF(Employees_Data[[#This Row],[Age]]&gt;=41,"Senior")))</f>
        <v>Senior</v>
      </c>
      <c r="V205" t="str">
        <f>IF(Employees_Data[[#This Row],[Salary]]&lt;=30000,"Low",IF(AND(Employees_Data[[#This Row],[Salary]]&gt;30000,Employees_Data[[#This Row],[Salary]]&lt;=60000),"Medium",IF(AND(Employees_Data[[#This Row],[Salary]]&gt;60000,Employees_Data[[#This Row],[Salary]]&lt;=90000),"High",IF(Employees_Data[[#This Row],[Salary]]&gt;90000,"Executive"))))</f>
        <v>Executive</v>
      </c>
      <c r="W20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05" s="14" t="str">
        <f>VLOOKUP(Employees_Data[[#This Row],[Department]],Departments!$A$2:$B$7,2,FALSE)</f>
        <v>D02</v>
      </c>
      <c r="Y205" s="14" t="str">
        <f>INDEX(Departments!$B$2:$B$7,MATCH(Employees_Data[[#This Row],[Department]],Departments!$A$2:$A$7,0))</f>
        <v>D02</v>
      </c>
      <c r="Z205" s="14" t="str">
        <f>INDEX(Salary_Bands!$C$2:$C$5,MATCH(Employees_Data[[#This Row],[Salary]],Salary_Bands!$A$2:$A$5,1))</f>
        <v>Executive</v>
      </c>
    </row>
    <row r="206" spans="1:26" hidden="1" x14ac:dyDescent="0.3">
      <c r="A206" t="s">
        <v>473</v>
      </c>
      <c r="B206" t="s">
        <v>474</v>
      </c>
      <c r="C206" t="s">
        <v>22</v>
      </c>
      <c r="D206" s="12">
        <v>51</v>
      </c>
      <c r="E206" t="s">
        <v>56</v>
      </c>
      <c r="F206" t="s">
        <v>57</v>
      </c>
      <c r="G206" t="s">
        <v>47</v>
      </c>
      <c r="H206">
        <v>30</v>
      </c>
      <c r="I206" s="1">
        <v>43789</v>
      </c>
      <c r="J206" s="10">
        <v>146127</v>
      </c>
      <c r="K206" s="10">
        <v>24387</v>
      </c>
      <c r="L206">
        <v>5</v>
      </c>
      <c r="M206" t="s">
        <v>36</v>
      </c>
      <c r="N206" t="s">
        <v>76</v>
      </c>
      <c r="O206" t="s">
        <v>28</v>
      </c>
      <c r="P206" t="s">
        <v>28</v>
      </c>
      <c r="Q206">
        <v>18</v>
      </c>
      <c r="R206">
        <v>5</v>
      </c>
      <c r="S206">
        <v>7</v>
      </c>
      <c r="T206" t="s">
        <v>30</v>
      </c>
      <c r="U206" t="str">
        <f>IF(AND(Employees_Data[[#This Row],[Age]]&gt;=20,Employees_Data[[#This Row],[Age]]&lt;=30),"Young",IF(AND(Employees_Data[[#This Row],[Age]]&gt;=31,Employees_Data[[#This Row],[Age]]&lt;=40),"Mid-Age",IF(Employees_Data[[#This Row],[Age]]&gt;=41,"Senior")))</f>
        <v>Senior</v>
      </c>
      <c r="V206" t="str">
        <f>IF(Employees_Data[[#This Row],[Salary]]&lt;=30000,"Low",IF(AND(Employees_Data[[#This Row],[Salary]]&gt;30000,Employees_Data[[#This Row],[Salary]]&lt;=60000),"Medium",IF(AND(Employees_Data[[#This Row],[Salary]]&gt;60000,Employees_Data[[#This Row],[Salary]]&lt;=90000),"High",IF(Employees_Data[[#This Row],[Salary]]&gt;90000,"Executive"))))</f>
        <v>Executive</v>
      </c>
      <c r="W20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06" s="14" t="str">
        <f>VLOOKUP(Employees_Data[[#This Row],[Department]],Departments!$A$2:$B$7,2,FALSE)</f>
        <v>D01</v>
      </c>
      <c r="Y206" s="14" t="str">
        <f>INDEX(Departments!$B$2:$B$7,MATCH(Employees_Data[[#This Row],[Department]],Departments!$A$2:$A$7,0))</f>
        <v>D01</v>
      </c>
      <c r="Z206" s="14" t="str">
        <f>INDEX(Salary_Bands!$C$2:$C$5,MATCH(Employees_Data[[#This Row],[Salary]],Salary_Bands!$A$2:$A$5,1))</f>
        <v>Executive</v>
      </c>
    </row>
    <row r="207" spans="1:26" hidden="1" x14ac:dyDescent="0.3">
      <c r="A207" t="s">
        <v>475</v>
      </c>
      <c r="B207" t="s">
        <v>476</v>
      </c>
      <c r="C207" t="s">
        <v>40</v>
      </c>
      <c r="D207" s="12">
        <v>50</v>
      </c>
      <c r="E207" t="s">
        <v>41</v>
      </c>
      <c r="F207" t="s">
        <v>232</v>
      </c>
      <c r="G207" t="s">
        <v>25</v>
      </c>
      <c r="H207">
        <v>28</v>
      </c>
      <c r="I207" s="1">
        <v>43242</v>
      </c>
      <c r="J207" s="10">
        <v>105492</v>
      </c>
      <c r="K207" s="10">
        <v>17696</v>
      </c>
      <c r="L207">
        <v>5</v>
      </c>
      <c r="M207" t="s">
        <v>26</v>
      </c>
      <c r="N207" t="s">
        <v>27</v>
      </c>
      <c r="O207" t="s">
        <v>28</v>
      </c>
      <c r="P207" t="s">
        <v>28</v>
      </c>
      <c r="Q207">
        <v>29</v>
      </c>
      <c r="R207">
        <v>4</v>
      </c>
      <c r="S207">
        <v>10</v>
      </c>
      <c r="T207" t="s">
        <v>30</v>
      </c>
      <c r="U207" t="str">
        <f>IF(AND(Employees_Data[[#This Row],[Age]]&gt;=20,Employees_Data[[#This Row],[Age]]&lt;=30),"Young",IF(AND(Employees_Data[[#This Row],[Age]]&gt;=31,Employees_Data[[#This Row],[Age]]&lt;=40),"Mid-Age",IF(Employees_Data[[#This Row],[Age]]&gt;=41,"Senior")))</f>
        <v>Senior</v>
      </c>
      <c r="V207" t="str">
        <f>IF(Employees_Data[[#This Row],[Salary]]&lt;=30000,"Low",IF(AND(Employees_Data[[#This Row],[Salary]]&gt;30000,Employees_Data[[#This Row],[Salary]]&lt;=60000),"Medium",IF(AND(Employees_Data[[#This Row],[Salary]]&gt;60000,Employees_Data[[#This Row],[Salary]]&lt;=90000),"High",IF(Employees_Data[[#This Row],[Salary]]&gt;90000,"Executive"))))</f>
        <v>Executive</v>
      </c>
      <c r="W20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07" s="14" t="str">
        <f>VLOOKUP(Employees_Data[[#This Row],[Department]],Departments!$A$2:$B$7,2,FALSE)</f>
        <v>D03</v>
      </c>
      <c r="Y207" s="14" t="str">
        <f>INDEX(Departments!$B$2:$B$7,MATCH(Employees_Data[[#This Row],[Department]],Departments!$A$2:$A$7,0))</f>
        <v>D03</v>
      </c>
      <c r="Z207" s="14" t="str">
        <f>INDEX(Salary_Bands!$C$2:$C$5,MATCH(Employees_Data[[#This Row],[Salary]],Salary_Bands!$A$2:$A$5,1))</f>
        <v>Executive</v>
      </c>
    </row>
    <row r="208" spans="1:26" hidden="1" x14ac:dyDescent="0.3">
      <c r="A208" t="s">
        <v>477</v>
      </c>
      <c r="B208" t="s">
        <v>478</v>
      </c>
      <c r="C208" t="s">
        <v>40</v>
      </c>
      <c r="D208" s="12">
        <v>55</v>
      </c>
      <c r="E208" t="s">
        <v>87</v>
      </c>
      <c r="F208" t="s">
        <v>91</v>
      </c>
      <c r="G208" t="s">
        <v>51</v>
      </c>
      <c r="H208">
        <v>33</v>
      </c>
      <c r="I208" s="1">
        <v>45327</v>
      </c>
      <c r="J208" s="10">
        <v>129182</v>
      </c>
      <c r="K208" s="10">
        <v>20535</v>
      </c>
      <c r="L208">
        <v>1</v>
      </c>
      <c r="M208" t="s">
        <v>52</v>
      </c>
      <c r="N208" t="s">
        <v>37</v>
      </c>
      <c r="O208" t="s">
        <v>28</v>
      </c>
      <c r="P208" t="s">
        <v>28</v>
      </c>
      <c r="Q208">
        <v>22</v>
      </c>
      <c r="R208">
        <v>5</v>
      </c>
      <c r="S208">
        <v>7</v>
      </c>
      <c r="T208" t="s">
        <v>30</v>
      </c>
      <c r="U208" t="str">
        <f>IF(AND(Employees_Data[[#This Row],[Age]]&gt;=20,Employees_Data[[#This Row],[Age]]&lt;=30),"Young",IF(AND(Employees_Data[[#This Row],[Age]]&gt;=31,Employees_Data[[#This Row],[Age]]&lt;=40),"Mid-Age",IF(Employees_Data[[#This Row],[Age]]&gt;=41,"Senior")))</f>
        <v>Senior</v>
      </c>
      <c r="V208" t="str">
        <f>IF(Employees_Data[[#This Row],[Salary]]&lt;=30000,"Low",IF(AND(Employees_Data[[#This Row],[Salary]]&gt;30000,Employees_Data[[#This Row],[Salary]]&lt;=60000),"Medium",IF(AND(Employees_Data[[#This Row],[Salary]]&gt;60000,Employees_Data[[#This Row],[Salary]]&lt;=90000),"High",IF(Employees_Data[[#This Row],[Salary]]&gt;90000,"Executive"))))</f>
        <v>Executive</v>
      </c>
      <c r="W20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08" s="14" t="str">
        <f>VLOOKUP(Employees_Data[[#This Row],[Department]],Departments!$A$2:$B$7,2,FALSE)</f>
        <v>D04</v>
      </c>
      <c r="Y208" s="14" t="str">
        <f>INDEX(Departments!$B$2:$B$7,MATCH(Employees_Data[[#This Row],[Department]],Departments!$A$2:$A$7,0))</f>
        <v>D04</v>
      </c>
      <c r="Z208" s="14" t="str">
        <f>INDEX(Salary_Bands!$C$2:$C$5,MATCH(Employees_Data[[#This Row],[Salary]],Salary_Bands!$A$2:$A$5,1))</f>
        <v>Executive</v>
      </c>
    </row>
    <row r="209" spans="1:26" hidden="1" x14ac:dyDescent="0.3">
      <c r="A209" t="s">
        <v>479</v>
      </c>
      <c r="B209" t="s">
        <v>480</v>
      </c>
      <c r="C209" t="s">
        <v>22</v>
      </c>
      <c r="D209" s="12">
        <v>36</v>
      </c>
      <c r="E209" t="s">
        <v>56</v>
      </c>
      <c r="F209" t="s">
        <v>125</v>
      </c>
      <c r="G209" t="s">
        <v>35</v>
      </c>
      <c r="H209">
        <v>15</v>
      </c>
      <c r="I209" s="1">
        <v>44251</v>
      </c>
      <c r="J209" s="10">
        <v>32679</v>
      </c>
      <c r="K209" s="10">
        <v>5281</v>
      </c>
      <c r="L209">
        <v>4</v>
      </c>
      <c r="M209" t="s">
        <v>26</v>
      </c>
      <c r="N209" t="s">
        <v>48</v>
      </c>
      <c r="O209" t="s">
        <v>28</v>
      </c>
      <c r="P209" t="s">
        <v>29</v>
      </c>
      <c r="Q209">
        <v>22</v>
      </c>
      <c r="R209">
        <v>17</v>
      </c>
      <c r="S209">
        <v>9</v>
      </c>
      <c r="T209" t="s">
        <v>30</v>
      </c>
      <c r="U209" t="str">
        <f>IF(AND(Employees_Data[[#This Row],[Age]]&gt;=20,Employees_Data[[#This Row],[Age]]&lt;=30),"Young",IF(AND(Employees_Data[[#This Row],[Age]]&gt;=31,Employees_Data[[#This Row],[Age]]&lt;=40),"Mid-Age",IF(Employees_Data[[#This Row],[Age]]&gt;=41,"Senior")))</f>
        <v>Mid-Age</v>
      </c>
      <c r="V209" t="str">
        <f>IF(Employees_Data[[#This Row],[Salary]]&lt;=30000,"Low",IF(AND(Employees_Data[[#This Row],[Salary]]&gt;30000,Employees_Data[[#This Row],[Salary]]&lt;=60000),"Medium",IF(AND(Employees_Data[[#This Row],[Salary]]&gt;60000,Employees_Data[[#This Row],[Salary]]&lt;=90000),"High",IF(Employees_Data[[#This Row],[Salary]]&gt;90000,"Executive"))))</f>
        <v>Medium</v>
      </c>
      <c r="W20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09" s="14" t="str">
        <f>VLOOKUP(Employees_Data[[#This Row],[Department]],Departments!$A$2:$B$7,2,FALSE)</f>
        <v>D01</v>
      </c>
      <c r="Y209" s="14" t="str">
        <f>INDEX(Departments!$B$2:$B$7,MATCH(Employees_Data[[#This Row],[Department]],Departments!$A$2:$A$7,0))</f>
        <v>D01</v>
      </c>
      <c r="Z209" s="14" t="str">
        <f>INDEX(Salary_Bands!$C$2:$C$5,MATCH(Employees_Data[[#This Row],[Salary]],Salary_Bands!$A$2:$A$5,1))</f>
        <v>Medium</v>
      </c>
    </row>
    <row r="210" spans="1:26" hidden="1" x14ac:dyDescent="0.3">
      <c r="A210" t="s">
        <v>481</v>
      </c>
      <c r="B210" t="s">
        <v>482</v>
      </c>
      <c r="C210" t="s">
        <v>40</v>
      </c>
      <c r="D210" s="12">
        <v>36</v>
      </c>
      <c r="E210" t="s">
        <v>23</v>
      </c>
      <c r="F210" t="s">
        <v>24</v>
      </c>
      <c r="G210" t="s">
        <v>25</v>
      </c>
      <c r="H210">
        <v>11</v>
      </c>
      <c r="I210" s="1">
        <v>44691</v>
      </c>
      <c r="J210" s="10">
        <v>71504</v>
      </c>
      <c r="K210" s="10">
        <v>2924</v>
      </c>
      <c r="L210">
        <v>2</v>
      </c>
      <c r="M210" t="s">
        <v>52</v>
      </c>
      <c r="N210" t="s">
        <v>48</v>
      </c>
      <c r="O210" t="s">
        <v>28</v>
      </c>
      <c r="P210" t="s">
        <v>28</v>
      </c>
      <c r="Q210">
        <v>41</v>
      </c>
      <c r="R210">
        <v>18</v>
      </c>
      <c r="S210">
        <v>3</v>
      </c>
      <c r="T210" t="s">
        <v>30</v>
      </c>
      <c r="U210" t="str">
        <f>IF(AND(Employees_Data[[#This Row],[Age]]&gt;=20,Employees_Data[[#This Row],[Age]]&lt;=30),"Young",IF(AND(Employees_Data[[#This Row],[Age]]&gt;=31,Employees_Data[[#This Row],[Age]]&lt;=40),"Mid-Age",IF(Employees_Data[[#This Row],[Age]]&gt;=41,"Senior")))</f>
        <v>Mid-Age</v>
      </c>
      <c r="V210" t="str">
        <f>IF(Employees_Data[[#This Row],[Salary]]&lt;=30000,"Low",IF(AND(Employees_Data[[#This Row],[Salary]]&gt;30000,Employees_Data[[#This Row],[Salary]]&lt;=60000),"Medium",IF(AND(Employees_Data[[#This Row],[Salary]]&gt;60000,Employees_Data[[#This Row],[Salary]]&lt;=90000),"High",IF(Employees_Data[[#This Row],[Salary]]&gt;90000,"Executive"))))</f>
        <v>High</v>
      </c>
      <c r="W21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10" s="14" t="str">
        <f>VLOOKUP(Employees_Data[[#This Row],[Department]],Departments!$A$2:$B$7,2,FALSE)</f>
        <v>D06</v>
      </c>
      <c r="Y210" s="14" t="str">
        <f>INDEX(Departments!$B$2:$B$7,MATCH(Employees_Data[[#This Row],[Department]],Departments!$A$2:$A$7,0))</f>
        <v>D06</v>
      </c>
      <c r="Z210" s="14" t="str">
        <f>INDEX(Salary_Bands!$C$2:$C$5,MATCH(Employees_Data[[#This Row],[Salary]],Salary_Bands!$A$2:$A$5,1))</f>
        <v>High</v>
      </c>
    </row>
    <row r="211" spans="1:26" x14ac:dyDescent="0.3">
      <c r="A211" t="s">
        <v>483</v>
      </c>
      <c r="B211" t="s">
        <v>484</v>
      </c>
      <c r="C211" t="s">
        <v>22</v>
      </c>
      <c r="D211" s="12">
        <v>34</v>
      </c>
      <c r="E211" t="s">
        <v>61</v>
      </c>
      <c r="F211" t="s">
        <v>66</v>
      </c>
      <c r="G211" t="s">
        <v>80</v>
      </c>
      <c r="H211">
        <v>10</v>
      </c>
      <c r="I211" s="1">
        <v>45321</v>
      </c>
      <c r="J211" s="10">
        <v>65508</v>
      </c>
      <c r="K211" s="10">
        <v>19250</v>
      </c>
      <c r="L211">
        <v>2</v>
      </c>
      <c r="M211" t="s">
        <v>36</v>
      </c>
      <c r="N211" t="s">
        <v>27</v>
      </c>
      <c r="O211" s="5" t="s">
        <v>29</v>
      </c>
      <c r="P211" t="s">
        <v>28</v>
      </c>
      <c r="Q211">
        <v>44</v>
      </c>
      <c r="R211">
        <v>6</v>
      </c>
      <c r="S211">
        <v>8</v>
      </c>
      <c r="T211" t="s">
        <v>43</v>
      </c>
      <c r="U211" t="str">
        <f>IF(AND(Employees_Data[[#This Row],[Age]]&gt;=20,Employees_Data[[#This Row],[Age]]&lt;=30),"Young",IF(AND(Employees_Data[[#This Row],[Age]]&gt;=31,Employees_Data[[#This Row],[Age]]&lt;=40),"Mid-Age",IF(Employees_Data[[#This Row],[Age]]&gt;=41,"Senior")))</f>
        <v>Mid-Age</v>
      </c>
      <c r="V211" t="str">
        <f>IF(Employees_Data[[#This Row],[Salary]]&lt;=30000,"Low",IF(AND(Employees_Data[[#This Row],[Salary]]&gt;30000,Employees_Data[[#This Row],[Salary]]&lt;=60000),"Medium",IF(AND(Employees_Data[[#This Row],[Salary]]&gt;60000,Employees_Data[[#This Row],[Salary]]&lt;=90000),"High",IF(Employees_Data[[#This Row],[Salary]]&gt;90000,"Executive"))))</f>
        <v>High</v>
      </c>
      <c r="W21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211" s="14" t="str">
        <f>VLOOKUP(Employees_Data[[#This Row],[Department]],Departments!$A$2:$B$7,2,FALSE)</f>
        <v>D02</v>
      </c>
      <c r="Y211" s="14" t="str">
        <f>INDEX(Departments!$B$2:$B$7,MATCH(Employees_Data[[#This Row],[Department]],Departments!$A$2:$A$7,0))</f>
        <v>D02</v>
      </c>
      <c r="Z211" s="14" t="str">
        <f>INDEX(Salary_Bands!$C$2:$C$5,MATCH(Employees_Data[[#This Row],[Salary]],Salary_Bands!$A$2:$A$5,1))</f>
        <v>High</v>
      </c>
    </row>
    <row r="212" spans="1:26" hidden="1" x14ac:dyDescent="0.3">
      <c r="A212" t="s">
        <v>485</v>
      </c>
      <c r="B212" t="s">
        <v>486</v>
      </c>
      <c r="C212" t="s">
        <v>22</v>
      </c>
      <c r="D212" s="12">
        <v>33</v>
      </c>
      <c r="E212" t="s">
        <v>61</v>
      </c>
      <c r="F212" t="s">
        <v>229</v>
      </c>
      <c r="G212" t="s">
        <v>25</v>
      </c>
      <c r="H212">
        <v>10</v>
      </c>
      <c r="I212" s="1">
        <v>43344</v>
      </c>
      <c r="J212" s="10">
        <v>27872</v>
      </c>
      <c r="K212" s="10">
        <v>13956</v>
      </c>
      <c r="L212">
        <v>2</v>
      </c>
      <c r="M212" t="s">
        <v>26</v>
      </c>
      <c r="N212" t="s">
        <v>37</v>
      </c>
      <c r="O212" t="s">
        <v>28</v>
      </c>
      <c r="P212" t="s">
        <v>28</v>
      </c>
      <c r="Q212">
        <v>42</v>
      </c>
      <c r="R212">
        <v>3</v>
      </c>
      <c r="S212">
        <v>10</v>
      </c>
      <c r="T212" t="s">
        <v>43</v>
      </c>
      <c r="U212" t="str">
        <f>IF(AND(Employees_Data[[#This Row],[Age]]&gt;=20,Employees_Data[[#This Row],[Age]]&lt;=30),"Young",IF(AND(Employees_Data[[#This Row],[Age]]&gt;=31,Employees_Data[[#This Row],[Age]]&lt;=40),"Mid-Age",IF(Employees_Data[[#This Row],[Age]]&gt;=41,"Senior")))</f>
        <v>Mid-Age</v>
      </c>
      <c r="V212" t="str">
        <f>IF(Employees_Data[[#This Row],[Salary]]&lt;=30000,"Low",IF(AND(Employees_Data[[#This Row],[Salary]]&gt;30000,Employees_Data[[#This Row],[Salary]]&lt;=60000),"Medium",IF(AND(Employees_Data[[#This Row],[Salary]]&gt;60000,Employees_Data[[#This Row],[Salary]]&lt;=90000),"High",IF(Employees_Data[[#This Row],[Salary]]&gt;90000,"Executive"))))</f>
        <v>Low</v>
      </c>
      <c r="W21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212" s="14" t="str">
        <f>VLOOKUP(Employees_Data[[#This Row],[Department]],Departments!$A$2:$B$7,2,FALSE)</f>
        <v>D02</v>
      </c>
      <c r="Y212" s="14" t="str">
        <f>INDEX(Departments!$B$2:$B$7,MATCH(Employees_Data[[#This Row],[Department]],Departments!$A$2:$A$7,0))</f>
        <v>D02</v>
      </c>
      <c r="Z212" s="14" t="str">
        <f>INDEX(Salary_Bands!$C$2:$C$5,MATCH(Employees_Data[[#This Row],[Salary]],Salary_Bands!$A$2:$A$5,1))</f>
        <v>Low</v>
      </c>
    </row>
    <row r="213" spans="1:26" hidden="1" x14ac:dyDescent="0.3">
      <c r="A213" t="s">
        <v>487</v>
      </c>
      <c r="B213" t="s">
        <v>488</v>
      </c>
      <c r="C213" t="s">
        <v>40</v>
      </c>
      <c r="D213" s="12">
        <v>42</v>
      </c>
      <c r="E213" t="s">
        <v>41</v>
      </c>
      <c r="F213" t="s">
        <v>232</v>
      </c>
      <c r="G213" t="s">
        <v>35</v>
      </c>
      <c r="H213">
        <v>20</v>
      </c>
      <c r="I213" s="1">
        <v>43746</v>
      </c>
      <c r="J213" s="10">
        <v>120990</v>
      </c>
      <c r="K213" s="10">
        <v>23808</v>
      </c>
      <c r="L213">
        <v>4</v>
      </c>
      <c r="M213" t="s">
        <v>52</v>
      </c>
      <c r="N213" t="s">
        <v>63</v>
      </c>
      <c r="O213" t="s">
        <v>28</v>
      </c>
      <c r="P213" t="s">
        <v>29</v>
      </c>
      <c r="Q213">
        <v>29</v>
      </c>
      <c r="R213">
        <v>9</v>
      </c>
      <c r="S213">
        <v>8</v>
      </c>
      <c r="T213" t="s">
        <v>43</v>
      </c>
      <c r="U213" t="str">
        <f>IF(AND(Employees_Data[[#This Row],[Age]]&gt;=20,Employees_Data[[#This Row],[Age]]&lt;=30),"Young",IF(AND(Employees_Data[[#This Row],[Age]]&gt;=31,Employees_Data[[#This Row],[Age]]&lt;=40),"Mid-Age",IF(Employees_Data[[#This Row],[Age]]&gt;=41,"Senior")))</f>
        <v>Senior</v>
      </c>
      <c r="V213" t="str">
        <f>IF(Employees_Data[[#This Row],[Salary]]&lt;=30000,"Low",IF(AND(Employees_Data[[#This Row],[Salary]]&gt;30000,Employees_Data[[#This Row],[Salary]]&lt;=60000),"Medium",IF(AND(Employees_Data[[#This Row],[Salary]]&gt;60000,Employees_Data[[#This Row],[Salary]]&lt;=90000),"High",IF(Employees_Data[[#This Row],[Salary]]&gt;90000,"Executive"))))</f>
        <v>Executive</v>
      </c>
      <c r="W21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13" s="14" t="str">
        <f>VLOOKUP(Employees_Data[[#This Row],[Department]],Departments!$A$2:$B$7,2,FALSE)</f>
        <v>D03</v>
      </c>
      <c r="Y213" s="14" t="str">
        <f>INDEX(Departments!$B$2:$B$7,MATCH(Employees_Data[[#This Row],[Department]],Departments!$A$2:$A$7,0))</f>
        <v>D03</v>
      </c>
      <c r="Z213" s="14" t="str">
        <f>INDEX(Salary_Bands!$C$2:$C$5,MATCH(Employees_Data[[#This Row],[Salary]],Salary_Bands!$A$2:$A$5,1))</f>
        <v>Executive</v>
      </c>
    </row>
    <row r="214" spans="1:26" hidden="1" x14ac:dyDescent="0.3">
      <c r="A214" t="s">
        <v>489</v>
      </c>
      <c r="B214" t="s">
        <v>490</v>
      </c>
      <c r="C214" t="s">
        <v>22</v>
      </c>
      <c r="D214" s="12">
        <v>40</v>
      </c>
      <c r="E214" t="s">
        <v>23</v>
      </c>
      <c r="F214" t="s">
        <v>109</v>
      </c>
      <c r="G214" t="s">
        <v>35</v>
      </c>
      <c r="H214">
        <v>18</v>
      </c>
      <c r="I214" s="1">
        <v>43828</v>
      </c>
      <c r="J214" s="10">
        <v>120529</v>
      </c>
      <c r="K214" s="10">
        <v>21739</v>
      </c>
      <c r="L214">
        <v>1</v>
      </c>
      <c r="M214" t="s">
        <v>36</v>
      </c>
      <c r="N214" t="s">
        <v>63</v>
      </c>
      <c r="O214" t="s">
        <v>28</v>
      </c>
      <c r="P214" t="s">
        <v>29</v>
      </c>
      <c r="Q214">
        <v>45</v>
      </c>
      <c r="R214">
        <v>18</v>
      </c>
      <c r="S214">
        <v>10</v>
      </c>
      <c r="T214" t="s">
        <v>30</v>
      </c>
      <c r="U214" t="str">
        <f>IF(AND(Employees_Data[[#This Row],[Age]]&gt;=20,Employees_Data[[#This Row],[Age]]&lt;=30),"Young",IF(AND(Employees_Data[[#This Row],[Age]]&gt;=31,Employees_Data[[#This Row],[Age]]&lt;=40),"Mid-Age",IF(Employees_Data[[#This Row],[Age]]&gt;=41,"Senior")))</f>
        <v>Mid-Age</v>
      </c>
      <c r="V214" t="str">
        <f>IF(Employees_Data[[#This Row],[Salary]]&lt;=30000,"Low",IF(AND(Employees_Data[[#This Row],[Salary]]&gt;30000,Employees_Data[[#This Row],[Salary]]&lt;=60000),"Medium",IF(AND(Employees_Data[[#This Row],[Salary]]&gt;60000,Employees_Data[[#This Row],[Salary]]&lt;=90000),"High",IF(Employees_Data[[#This Row],[Salary]]&gt;90000,"Executive"))))</f>
        <v>Executive</v>
      </c>
      <c r="W21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14" s="14" t="str">
        <f>VLOOKUP(Employees_Data[[#This Row],[Department]],Departments!$A$2:$B$7,2,FALSE)</f>
        <v>D06</v>
      </c>
      <c r="Y214" s="14" t="str">
        <f>INDEX(Departments!$B$2:$B$7,MATCH(Employees_Data[[#This Row],[Department]],Departments!$A$2:$A$7,0))</f>
        <v>D06</v>
      </c>
      <c r="Z214" s="14" t="str">
        <f>INDEX(Salary_Bands!$C$2:$C$5,MATCH(Employees_Data[[#This Row],[Salary]],Salary_Bands!$A$2:$A$5,1))</f>
        <v>Executive</v>
      </c>
    </row>
    <row r="215" spans="1:26" hidden="1" x14ac:dyDescent="0.3">
      <c r="A215" t="s">
        <v>491</v>
      </c>
      <c r="B215" t="s">
        <v>492</v>
      </c>
      <c r="C215" t="s">
        <v>22</v>
      </c>
      <c r="D215" s="12">
        <v>31</v>
      </c>
      <c r="E215" t="s">
        <v>56</v>
      </c>
      <c r="F215" t="s">
        <v>125</v>
      </c>
      <c r="G215" t="s">
        <v>51</v>
      </c>
      <c r="H215">
        <v>8</v>
      </c>
      <c r="I215" s="1">
        <v>43419</v>
      </c>
      <c r="J215" s="10">
        <v>56194</v>
      </c>
      <c r="K215" s="10">
        <v>16635</v>
      </c>
      <c r="L215">
        <v>3</v>
      </c>
      <c r="M215" t="s">
        <v>26</v>
      </c>
      <c r="N215" t="s">
        <v>37</v>
      </c>
      <c r="O215" t="s">
        <v>28</v>
      </c>
      <c r="P215" t="s">
        <v>29</v>
      </c>
      <c r="Q215">
        <v>20</v>
      </c>
      <c r="R215">
        <v>2</v>
      </c>
      <c r="S215">
        <v>6</v>
      </c>
      <c r="T215" t="s">
        <v>30</v>
      </c>
      <c r="U215" t="str">
        <f>IF(AND(Employees_Data[[#This Row],[Age]]&gt;=20,Employees_Data[[#This Row],[Age]]&lt;=30),"Young",IF(AND(Employees_Data[[#This Row],[Age]]&gt;=31,Employees_Data[[#This Row],[Age]]&lt;=40),"Mid-Age",IF(Employees_Data[[#This Row],[Age]]&gt;=41,"Senior")))</f>
        <v>Mid-Age</v>
      </c>
      <c r="V215" t="str">
        <f>IF(Employees_Data[[#This Row],[Salary]]&lt;=30000,"Low",IF(AND(Employees_Data[[#This Row],[Salary]]&gt;30000,Employees_Data[[#This Row],[Salary]]&lt;=60000),"Medium",IF(AND(Employees_Data[[#This Row],[Salary]]&gt;60000,Employees_Data[[#This Row],[Salary]]&lt;=90000),"High",IF(Employees_Data[[#This Row],[Salary]]&gt;90000,"Executive"))))</f>
        <v>Medium</v>
      </c>
      <c r="W21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215" s="14" t="str">
        <f>VLOOKUP(Employees_Data[[#This Row],[Department]],Departments!$A$2:$B$7,2,FALSE)</f>
        <v>D01</v>
      </c>
      <c r="Y215" s="14" t="str">
        <f>INDEX(Departments!$B$2:$B$7,MATCH(Employees_Data[[#This Row],[Department]],Departments!$A$2:$A$7,0))</f>
        <v>D01</v>
      </c>
      <c r="Z215" s="14" t="str">
        <f>INDEX(Salary_Bands!$C$2:$C$5,MATCH(Employees_Data[[#This Row],[Salary]],Salary_Bands!$A$2:$A$5,1))</f>
        <v>Medium</v>
      </c>
    </row>
    <row r="216" spans="1:26" hidden="1" x14ac:dyDescent="0.3">
      <c r="A216" t="s">
        <v>493</v>
      </c>
      <c r="B216" t="s">
        <v>494</v>
      </c>
      <c r="C216" t="s">
        <v>40</v>
      </c>
      <c r="D216" s="12">
        <v>28</v>
      </c>
      <c r="E216" t="s">
        <v>41</v>
      </c>
      <c r="F216" t="s">
        <v>232</v>
      </c>
      <c r="G216" t="s">
        <v>47</v>
      </c>
      <c r="H216">
        <v>2</v>
      </c>
      <c r="I216" s="1">
        <v>43106</v>
      </c>
      <c r="J216" s="10">
        <v>31310</v>
      </c>
      <c r="K216" s="10">
        <v>14409</v>
      </c>
      <c r="L216">
        <v>4</v>
      </c>
      <c r="M216" t="s">
        <v>36</v>
      </c>
      <c r="N216" t="s">
        <v>53</v>
      </c>
      <c r="O216" t="s">
        <v>28</v>
      </c>
      <c r="P216" t="s">
        <v>28</v>
      </c>
      <c r="Q216">
        <v>11</v>
      </c>
      <c r="R216">
        <v>15</v>
      </c>
      <c r="S216">
        <v>8</v>
      </c>
      <c r="T216" t="s">
        <v>30</v>
      </c>
      <c r="U216" t="str">
        <f>IF(AND(Employees_Data[[#This Row],[Age]]&gt;=20,Employees_Data[[#This Row],[Age]]&lt;=30),"Young",IF(AND(Employees_Data[[#This Row],[Age]]&gt;=31,Employees_Data[[#This Row],[Age]]&lt;=40),"Mid-Age",IF(Employees_Data[[#This Row],[Age]]&gt;=41,"Senior")))</f>
        <v>Young</v>
      </c>
      <c r="V216" t="str">
        <f>IF(Employees_Data[[#This Row],[Salary]]&lt;=30000,"Low",IF(AND(Employees_Data[[#This Row],[Salary]]&gt;30000,Employees_Data[[#This Row],[Salary]]&lt;=60000),"Medium",IF(AND(Employees_Data[[#This Row],[Salary]]&gt;60000,Employees_Data[[#This Row],[Salary]]&lt;=90000),"High",IF(Employees_Data[[#This Row],[Salary]]&gt;90000,"Executive"))))</f>
        <v>Medium</v>
      </c>
      <c r="W21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216" s="14" t="str">
        <f>VLOOKUP(Employees_Data[[#This Row],[Department]],Departments!$A$2:$B$7,2,FALSE)</f>
        <v>D03</v>
      </c>
      <c r="Y216" s="14" t="str">
        <f>INDEX(Departments!$B$2:$B$7,MATCH(Employees_Data[[#This Row],[Department]],Departments!$A$2:$A$7,0))</f>
        <v>D03</v>
      </c>
      <c r="Z216" s="14" t="str">
        <f>INDEX(Salary_Bands!$C$2:$C$5,MATCH(Employees_Data[[#This Row],[Salary]],Salary_Bands!$A$2:$A$5,1))</f>
        <v>Medium</v>
      </c>
    </row>
    <row r="217" spans="1:26" x14ac:dyDescent="0.3">
      <c r="A217" t="s">
        <v>495</v>
      </c>
      <c r="B217" t="s">
        <v>496</v>
      </c>
      <c r="C217" t="s">
        <v>22</v>
      </c>
      <c r="D217" s="12">
        <v>36</v>
      </c>
      <c r="E217" t="s">
        <v>33</v>
      </c>
      <c r="F217" t="s">
        <v>34</v>
      </c>
      <c r="G217" t="s">
        <v>80</v>
      </c>
      <c r="H217">
        <v>14</v>
      </c>
      <c r="I217" s="1">
        <v>44949</v>
      </c>
      <c r="J217" s="10">
        <v>34661</v>
      </c>
      <c r="K217" s="10">
        <v>13200</v>
      </c>
      <c r="L217">
        <v>1</v>
      </c>
      <c r="M217" t="s">
        <v>26</v>
      </c>
      <c r="N217" t="s">
        <v>58</v>
      </c>
      <c r="O217" s="5" t="s">
        <v>29</v>
      </c>
      <c r="P217" t="s">
        <v>29</v>
      </c>
      <c r="Q217">
        <v>51</v>
      </c>
      <c r="R217">
        <v>2</v>
      </c>
      <c r="S217">
        <v>5</v>
      </c>
      <c r="T217" t="s">
        <v>30</v>
      </c>
      <c r="U217" t="str">
        <f>IF(AND(Employees_Data[[#This Row],[Age]]&gt;=20,Employees_Data[[#This Row],[Age]]&lt;=30),"Young",IF(AND(Employees_Data[[#This Row],[Age]]&gt;=31,Employees_Data[[#This Row],[Age]]&lt;=40),"Mid-Age",IF(Employees_Data[[#This Row],[Age]]&gt;=41,"Senior")))</f>
        <v>Mid-Age</v>
      </c>
      <c r="V217" t="str">
        <f>IF(Employees_Data[[#This Row],[Salary]]&lt;=30000,"Low",IF(AND(Employees_Data[[#This Row],[Salary]]&gt;30000,Employees_Data[[#This Row],[Salary]]&lt;=60000),"Medium",IF(AND(Employees_Data[[#This Row],[Salary]]&gt;60000,Employees_Data[[#This Row],[Salary]]&lt;=90000),"High",IF(Employees_Data[[#This Row],[Salary]]&gt;90000,"Executive"))))</f>
        <v>Medium</v>
      </c>
      <c r="W21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17" s="14" t="str">
        <f>VLOOKUP(Employees_Data[[#This Row],[Department]],Departments!$A$2:$B$7,2,FALSE)</f>
        <v>D05</v>
      </c>
      <c r="Y217" s="14" t="str">
        <f>INDEX(Departments!$B$2:$B$7,MATCH(Employees_Data[[#This Row],[Department]],Departments!$A$2:$A$7,0))</f>
        <v>D05</v>
      </c>
      <c r="Z217" s="14" t="str">
        <f>INDEX(Salary_Bands!$C$2:$C$5,MATCH(Employees_Data[[#This Row],[Salary]],Salary_Bands!$A$2:$A$5,1))</f>
        <v>Medium</v>
      </c>
    </row>
    <row r="218" spans="1:26" hidden="1" x14ac:dyDescent="0.3">
      <c r="A218" t="s">
        <v>497</v>
      </c>
      <c r="B218" t="s">
        <v>498</v>
      </c>
      <c r="C218" t="s">
        <v>40</v>
      </c>
      <c r="D218" s="12">
        <v>43</v>
      </c>
      <c r="E218" t="s">
        <v>33</v>
      </c>
      <c r="F218" t="s">
        <v>118</v>
      </c>
      <c r="G218" t="s">
        <v>35</v>
      </c>
      <c r="H218">
        <v>18</v>
      </c>
      <c r="I218" s="1">
        <v>45078</v>
      </c>
      <c r="J218" s="10">
        <v>117340</v>
      </c>
      <c r="K218" s="10">
        <v>3754</v>
      </c>
      <c r="L218">
        <v>1</v>
      </c>
      <c r="M218" t="s">
        <v>26</v>
      </c>
      <c r="N218" t="s">
        <v>37</v>
      </c>
      <c r="O218" t="s">
        <v>28</v>
      </c>
      <c r="P218" t="s">
        <v>29</v>
      </c>
      <c r="Q218">
        <v>17</v>
      </c>
      <c r="R218">
        <v>13</v>
      </c>
      <c r="S218">
        <v>7</v>
      </c>
      <c r="T218" t="s">
        <v>43</v>
      </c>
      <c r="U218" t="str">
        <f>IF(AND(Employees_Data[[#This Row],[Age]]&gt;=20,Employees_Data[[#This Row],[Age]]&lt;=30),"Young",IF(AND(Employees_Data[[#This Row],[Age]]&gt;=31,Employees_Data[[#This Row],[Age]]&lt;=40),"Mid-Age",IF(Employees_Data[[#This Row],[Age]]&gt;=41,"Senior")))</f>
        <v>Senior</v>
      </c>
      <c r="V218" t="str">
        <f>IF(Employees_Data[[#This Row],[Salary]]&lt;=30000,"Low",IF(AND(Employees_Data[[#This Row],[Salary]]&gt;30000,Employees_Data[[#This Row],[Salary]]&lt;=60000),"Medium",IF(AND(Employees_Data[[#This Row],[Salary]]&gt;60000,Employees_Data[[#This Row],[Salary]]&lt;=90000),"High",IF(Employees_Data[[#This Row],[Salary]]&gt;90000,"Executive"))))</f>
        <v>Executive</v>
      </c>
      <c r="W21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18" s="14" t="str">
        <f>VLOOKUP(Employees_Data[[#This Row],[Department]],Departments!$A$2:$B$7,2,FALSE)</f>
        <v>D05</v>
      </c>
      <c r="Y218" s="14" t="str">
        <f>INDEX(Departments!$B$2:$B$7,MATCH(Employees_Data[[#This Row],[Department]],Departments!$A$2:$A$7,0))</f>
        <v>D05</v>
      </c>
      <c r="Z218" s="14" t="str">
        <f>INDEX(Salary_Bands!$C$2:$C$5,MATCH(Employees_Data[[#This Row],[Salary]],Salary_Bands!$A$2:$A$5,1))</f>
        <v>Executive</v>
      </c>
    </row>
    <row r="219" spans="1:26" x14ac:dyDescent="0.3">
      <c r="A219" t="s">
        <v>499</v>
      </c>
      <c r="B219" t="s">
        <v>500</v>
      </c>
      <c r="C219" t="s">
        <v>40</v>
      </c>
      <c r="D219" s="12">
        <v>38</v>
      </c>
      <c r="E219" t="s">
        <v>23</v>
      </c>
      <c r="F219" t="s">
        <v>109</v>
      </c>
      <c r="G219" t="s">
        <v>35</v>
      </c>
      <c r="H219">
        <v>12</v>
      </c>
      <c r="I219" s="1">
        <v>44254</v>
      </c>
      <c r="J219" s="10">
        <v>63980</v>
      </c>
      <c r="K219" s="10">
        <v>3786</v>
      </c>
      <c r="L219">
        <v>2</v>
      </c>
      <c r="M219" t="s">
        <v>36</v>
      </c>
      <c r="N219" t="s">
        <v>27</v>
      </c>
      <c r="O219" s="5" t="s">
        <v>29</v>
      </c>
      <c r="P219" t="s">
        <v>28</v>
      </c>
      <c r="Q219">
        <v>10</v>
      </c>
      <c r="R219">
        <v>9</v>
      </c>
      <c r="S219">
        <v>2</v>
      </c>
      <c r="T219" t="s">
        <v>30</v>
      </c>
      <c r="U219" t="str">
        <f>IF(AND(Employees_Data[[#This Row],[Age]]&gt;=20,Employees_Data[[#This Row],[Age]]&lt;=30),"Young",IF(AND(Employees_Data[[#This Row],[Age]]&gt;=31,Employees_Data[[#This Row],[Age]]&lt;=40),"Mid-Age",IF(Employees_Data[[#This Row],[Age]]&gt;=41,"Senior")))</f>
        <v>Mid-Age</v>
      </c>
      <c r="V219" t="str">
        <f>IF(Employees_Data[[#This Row],[Salary]]&lt;=30000,"Low",IF(AND(Employees_Data[[#This Row],[Salary]]&gt;30000,Employees_Data[[#This Row],[Salary]]&lt;=60000),"Medium",IF(AND(Employees_Data[[#This Row],[Salary]]&gt;60000,Employees_Data[[#This Row],[Salary]]&lt;=90000),"High",IF(Employees_Data[[#This Row],[Salary]]&gt;90000,"Executive"))))</f>
        <v>High</v>
      </c>
      <c r="W21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19" s="14" t="str">
        <f>VLOOKUP(Employees_Data[[#This Row],[Department]],Departments!$A$2:$B$7,2,FALSE)</f>
        <v>D06</v>
      </c>
      <c r="Y219" s="14" t="str">
        <f>INDEX(Departments!$B$2:$B$7,MATCH(Employees_Data[[#This Row],[Department]],Departments!$A$2:$A$7,0))</f>
        <v>D06</v>
      </c>
      <c r="Z219" s="14" t="str">
        <f>INDEX(Salary_Bands!$C$2:$C$5,MATCH(Employees_Data[[#This Row],[Salary]],Salary_Bands!$A$2:$A$5,1))</f>
        <v>High</v>
      </c>
    </row>
    <row r="220" spans="1:26" hidden="1" x14ac:dyDescent="0.3">
      <c r="A220" t="s">
        <v>501</v>
      </c>
      <c r="B220" t="s">
        <v>502</v>
      </c>
      <c r="C220" t="s">
        <v>40</v>
      </c>
      <c r="D220" s="12">
        <v>52</v>
      </c>
      <c r="E220" t="s">
        <v>23</v>
      </c>
      <c r="F220" t="s">
        <v>109</v>
      </c>
      <c r="G220" t="s">
        <v>80</v>
      </c>
      <c r="H220">
        <v>30</v>
      </c>
      <c r="I220" s="1">
        <v>43498</v>
      </c>
      <c r="J220" s="10">
        <v>28373</v>
      </c>
      <c r="K220" s="10">
        <v>12104</v>
      </c>
      <c r="L220">
        <v>2</v>
      </c>
      <c r="M220" t="s">
        <v>36</v>
      </c>
      <c r="N220" t="s">
        <v>58</v>
      </c>
      <c r="O220" t="s">
        <v>28</v>
      </c>
      <c r="P220" t="s">
        <v>28</v>
      </c>
      <c r="Q220">
        <v>47</v>
      </c>
      <c r="R220">
        <v>8</v>
      </c>
      <c r="S220">
        <v>3</v>
      </c>
      <c r="T220" t="s">
        <v>30</v>
      </c>
      <c r="U220" t="str">
        <f>IF(AND(Employees_Data[[#This Row],[Age]]&gt;=20,Employees_Data[[#This Row],[Age]]&lt;=30),"Young",IF(AND(Employees_Data[[#This Row],[Age]]&gt;=31,Employees_Data[[#This Row],[Age]]&lt;=40),"Mid-Age",IF(Employees_Data[[#This Row],[Age]]&gt;=41,"Senior")))</f>
        <v>Senior</v>
      </c>
      <c r="V220" t="str">
        <f>IF(Employees_Data[[#This Row],[Salary]]&lt;=30000,"Low",IF(AND(Employees_Data[[#This Row],[Salary]]&gt;30000,Employees_Data[[#This Row],[Salary]]&lt;=60000),"Medium",IF(AND(Employees_Data[[#This Row],[Salary]]&gt;60000,Employees_Data[[#This Row],[Salary]]&lt;=90000),"High",IF(Employees_Data[[#This Row],[Salary]]&gt;90000,"Executive"))))</f>
        <v>Low</v>
      </c>
      <c r="W22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20" s="14" t="str">
        <f>VLOOKUP(Employees_Data[[#This Row],[Department]],Departments!$A$2:$B$7,2,FALSE)</f>
        <v>D06</v>
      </c>
      <c r="Y220" s="14" t="str">
        <f>INDEX(Departments!$B$2:$B$7,MATCH(Employees_Data[[#This Row],[Department]],Departments!$A$2:$A$7,0))</f>
        <v>D06</v>
      </c>
      <c r="Z220" s="14" t="str">
        <f>INDEX(Salary_Bands!$C$2:$C$5,MATCH(Employees_Data[[#This Row],[Salary]],Salary_Bands!$A$2:$A$5,1))</f>
        <v>Low</v>
      </c>
    </row>
    <row r="221" spans="1:26" hidden="1" x14ac:dyDescent="0.3">
      <c r="A221" t="s">
        <v>503</v>
      </c>
      <c r="B221" t="s">
        <v>504</v>
      </c>
      <c r="C221" t="s">
        <v>40</v>
      </c>
      <c r="D221" s="12">
        <v>46</v>
      </c>
      <c r="E221" t="s">
        <v>56</v>
      </c>
      <c r="F221" t="s">
        <v>79</v>
      </c>
      <c r="G221" t="s">
        <v>47</v>
      </c>
      <c r="H221">
        <v>24</v>
      </c>
      <c r="I221" s="1">
        <v>44620</v>
      </c>
      <c r="J221" s="10">
        <v>141063</v>
      </c>
      <c r="K221" s="10">
        <v>10631</v>
      </c>
      <c r="L221">
        <v>4</v>
      </c>
      <c r="M221" t="s">
        <v>26</v>
      </c>
      <c r="N221" t="s">
        <v>63</v>
      </c>
      <c r="O221" t="s">
        <v>28</v>
      </c>
      <c r="P221" t="s">
        <v>28</v>
      </c>
      <c r="Q221">
        <v>41</v>
      </c>
      <c r="R221">
        <v>1</v>
      </c>
      <c r="S221">
        <v>6</v>
      </c>
      <c r="T221" t="s">
        <v>43</v>
      </c>
      <c r="U221" t="str">
        <f>IF(AND(Employees_Data[[#This Row],[Age]]&gt;=20,Employees_Data[[#This Row],[Age]]&lt;=30),"Young",IF(AND(Employees_Data[[#This Row],[Age]]&gt;=31,Employees_Data[[#This Row],[Age]]&lt;=40),"Mid-Age",IF(Employees_Data[[#This Row],[Age]]&gt;=41,"Senior")))</f>
        <v>Senior</v>
      </c>
      <c r="V221" t="str">
        <f>IF(Employees_Data[[#This Row],[Salary]]&lt;=30000,"Low",IF(AND(Employees_Data[[#This Row],[Salary]]&gt;30000,Employees_Data[[#This Row],[Salary]]&lt;=60000),"Medium",IF(AND(Employees_Data[[#This Row],[Salary]]&gt;60000,Employees_Data[[#This Row],[Salary]]&lt;=90000),"High",IF(Employees_Data[[#This Row],[Salary]]&gt;90000,"Executive"))))</f>
        <v>Executive</v>
      </c>
      <c r="W22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21" s="14" t="str">
        <f>VLOOKUP(Employees_Data[[#This Row],[Department]],Departments!$A$2:$B$7,2,FALSE)</f>
        <v>D01</v>
      </c>
      <c r="Y221" s="14" t="str">
        <f>INDEX(Departments!$B$2:$B$7,MATCH(Employees_Data[[#This Row],[Department]],Departments!$A$2:$A$7,0))</f>
        <v>D01</v>
      </c>
      <c r="Z221" s="14" t="str">
        <f>INDEX(Salary_Bands!$C$2:$C$5,MATCH(Employees_Data[[#This Row],[Salary]],Salary_Bands!$A$2:$A$5,1))</f>
        <v>Executive</v>
      </c>
    </row>
    <row r="222" spans="1:26" hidden="1" x14ac:dyDescent="0.3">
      <c r="A222" t="s">
        <v>505</v>
      </c>
      <c r="B222" t="s">
        <v>506</v>
      </c>
      <c r="C222" t="s">
        <v>22</v>
      </c>
      <c r="D222" s="12">
        <v>28</v>
      </c>
      <c r="E222" t="s">
        <v>61</v>
      </c>
      <c r="F222" t="s">
        <v>66</v>
      </c>
      <c r="G222" t="s">
        <v>47</v>
      </c>
      <c r="H222">
        <v>7</v>
      </c>
      <c r="I222" s="1">
        <v>44509</v>
      </c>
      <c r="J222" s="10">
        <v>130929</v>
      </c>
      <c r="K222" s="10">
        <v>19123</v>
      </c>
      <c r="L222">
        <v>5</v>
      </c>
      <c r="M222" t="s">
        <v>36</v>
      </c>
      <c r="N222" t="s">
        <v>53</v>
      </c>
      <c r="O222" t="s">
        <v>28</v>
      </c>
      <c r="P222" t="s">
        <v>28</v>
      </c>
      <c r="Q222">
        <v>41</v>
      </c>
      <c r="R222">
        <v>7</v>
      </c>
      <c r="S222">
        <v>7</v>
      </c>
      <c r="T222" t="s">
        <v>30</v>
      </c>
      <c r="U222" t="str">
        <f>IF(AND(Employees_Data[[#This Row],[Age]]&gt;=20,Employees_Data[[#This Row],[Age]]&lt;=30),"Young",IF(AND(Employees_Data[[#This Row],[Age]]&gt;=31,Employees_Data[[#This Row],[Age]]&lt;=40),"Mid-Age",IF(Employees_Data[[#This Row],[Age]]&gt;=41,"Senior")))</f>
        <v>Young</v>
      </c>
      <c r="V222" t="str">
        <f>IF(Employees_Data[[#This Row],[Salary]]&lt;=30000,"Low",IF(AND(Employees_Data[[#This Row],[Salary]]&gt;30000,Employees_Data[[#This Row],[Salary]]&lt;=60000),"Medium",IF(AND(Employees_Data[[#This Row],[Salary]]&gt;60000,Employees_Data[[#This Row],[Salary]]&lt;=90000),"High",IF(Employees_Data[[#This Row],[Salary]]&gt;90000,"Executive"))))</f>
        <v>Executive</v>
      </c>
      <c r="W22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222" s="14" t="str">
        <f>VLOOKUP(Employees_Data[[#This Row],[Department]],Departments!$A$2:$B$7,2,FALSE)</f>
        <v>D02</v>
      </c>
      <c r="Y222" s="14" t="str">
        <f>INDEX(Departments!$B$2:$B$7,MATCH(Employees_Data[[#This Row],[Department]],Departments!$A$2:$A$7,0))</f>
        <v>D02</v>
      </c>
      <c r="Z222" s="14" t="str">
        <f>INDEX(Salary_Bands!$C$2:$C$5,MATCH(Employees_Data[[#This Row],[Salary]],Salary_Bands!$A$2:$A$5,1))</f>
        <v>Executive</v>
      </c>
    </row>
    <row r="223" spans="1:26" hidden="1" x14ac:dyDescent="0.3">
      <c r="A223" t="s">
        <v>507</v>
      </c>
      <c r="B223" t="s">
        <v>508</v>
      </c>
      <c r="C223" t="s">
        <v>22</v>
      </c>
      <c r="D223" s="12">
        <v>27</v>
      </c>
      <c r="E223" t="s">
        <v>87</v>
      </c>
      <c r="F223" t="s">
        <v>220</v>
      </c>
      <c r="G223" t="s">
        <v>80</v>
      </c>
      <c r="H223">
        <v>3</v>
      </c>
      <c r="I223" s="1">
        <v>43243</v>
      </c>
      <c r="J223" s="10">
        <v>90811</v>
      </c>
      <c r="K223" s="10">
        <v>16714</v>
      </c>
      <c r="L223">
        <v>5</v>
      </c>
      <c r="M223" t="s">
        <v>26</v>
      </c>
      <c r="N223" t="s">
        <v>76</v>
      </c>
      <c r="O223" t="s">
        <v>28</v>
      </c>
      <c r="P223" t="s">
        <v>29</v>
      </c>
      <c r="Q223">
        <v>56</v>
      </c>
      <c r="R223">
        <v>6</v>
      </c>
      <c r="S223">
        <v>9</v>
      </c>
      <c r="T223" t="s">
        <v>30</v>
      </c>
      <c r="U223" t="str">
        <f>IF(AND(Employees_Data[[#This Row],[Age]]&gt;=20,Employees_Data[[#This Row],[Age]]&lt;=30),"Young",IF(AND(Employees_Data[[#This Row],[Age]]&gt;=31,Employees_Data[[#This Row],[Age]]&lt;=40),"Mid-Age",IF(Employees_Data[[#This Row],[Age]]&gt;=41,"Senior")))</f>
        <v>Young</v>
      </c>
      <c r="V223" t="str">
        <f>IF(Employees_Data[[#This Row],[Salary]]&lt;=30000,"Low",IF(AND(Employees_Data[[#This Row],[Salary]]&gt;30000,Employees_Data[[#This Row],[Salary]]&lt;=60000),"Medium",IF(AND(Employees_Data[[#This Row],[Salary]]&gt;60000,Employees_Data[[#This Row],[Salary]]&lt;=90000),"High",IF(Employees_Data[[#This Row],[Salary]]&gt;90000,"Executive"))))</f>
        <v>Executive</v>
      </c>
      <c r="W22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223" s="14" t="str">
        <f>VLOOKUP(Employees_Data[[#This Row],[Department]],Departments!$A$2:$B$7,2,FALSE)</f>
        <v>D04</v>
      </c>
      <c r="Y223" s="14" t="str">
        <f>INDEX(Departments!$B$2:$B$7,MATCH(Employees_Data[[#This Row],[Department]],Departments!$A$2:$A$7,0))</f>
        <v>D04</v>
      </c>
      <c r="Z223" s="14" t="str">
        <f>INDEX(Salary_Bands!$C$2:$C$5,MATCH(Employees_Data[[#This Row],[Salary]],Salary_Bands!$A$2:$A$5,1))</f>
        <v>Executive</v>
      </c>
    </row>
    <row r="224" spans="1:26" hidden="1" x14ac:dyDescent="0.3">
      <c r="A224" t="s">
        <v>509</v>
      </c>
      <c r="B224" t="s">
        <v>510</v>
      </c>
      <c r="C224" t="s">
        <v>22</v>
      </c>
      <c r="D224" s="12">
        <v>49</v>
      </c>
      <c r="E224" t="s">
        <v>61</v>
      </c>
      <c r="F224" t="s">
        <v>62</v>
      </c>
      <c r="G224" t="s">
        <v>80</v>
      </c>
      <c r="H224">
        <v>28</v>
      </c>
      <c r="I224" s="1">
        <v>44884</v>
      </c>
      <c r="J224" s="10">
        <v>51465</v>
      </c>
      <c r="K224" s="10">
        <v>14717</v>
      </c>
      <c r="L224">
        <v>2</v>
      </c>
      <c r="M224" t="s">
        <v>52</v>
      </c>
      <c r="N224" t="s">
        <v>58</v>
      </c>
      <c r="O224" t="s">
        <v>28</v>
      </c>
      <c r="P224" t="s">
        <v>28</v>
      </c>
      <c r="Q224">
        <v>59</v>
      </c>
      <c r="R224">
        <v>8</v>
      </c>
      <c r="S224">
        <v>10</v>
      </c>
      <c r="T224" t="s">
        <v>30</v>
      </c>
      <c r="U224" t="str">
        <f>IF(AND(Employees_Data[[#This Row],[Age]]&gt;=20,Employees_Data[[#This Row],[Age]]&lt;=30),"Young",IF(AND(Employees_Data[[#This Row],[Age]]&gt;=31,Employees_Data[[#This Row],[Age]]&lt;=40),"Mid-Age",IF(Employees_Data[[#This Row],[Age]]&gt;=41,"Senior")))</f>
        <v>Senior</v>
      </c>
      <c r="V224" t="str">
        <f>IF(Employees_Data[[#This Row],[Salary]]&lt;=30000,"Low",IF(AND(Employees_Data[[#This Row],[Salary]]&gt;30000,Employees_Data[[#This Row],[Salary]]&lt;=60000),"Medium",IF(AND(Employees_Data[[#This Row],[Salary]]&gt;60000,Employees_Data[[#This Row],[Salary]]&lt;=90000),"High",IF(Employees_Data[[#This Row],[Salary]]&gt;90000,"Executive"))))</f>
        <v>Medium</v>
      </c>
      <c r="W22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24" s="14" t="str">
        <f>VLOOKUP(Employees_Data[[#This Row],[Department]],Departments!$A$2:$B$7,2,FALSE)</f>
        <v>D02</v>
      </c>
      <c r="Y224" s="14" t="str">
        <f>INDEX(Departments!$B$2:$B$7,MATCH(Employees_Data[[#This Row],[Department]],Departments!$A$2:$A$7,0))</f>
        <v>D02</v>
      </c>
      <c r="Z224" s="14" t="str">
        <f>INDEX(Salary_Bands!$C$2:$C$5,MATCH(Employees_Data[[#This Row],[Salary]],Salary_Bands!$A$2:$A$5,1))</f>
        <v>Medium</v>
      </c>
    </row>
    <row r="225" spans="1:26" hidden="1" x14ac:dyDescent="0.3">
      <c r="A225" t="s">
        <v>511</v>
      </c>
      <c r="B225" t="s">
        <v>512</v>
      </c>
      <c r="C225" t="s">
        <v>22</v>
      </c>
      <c r="D225" s="12">
        <v>22</v>
      </c>
      <c r="E225" t="s">
        <v>33</v>
      </c>
      <c r="F225" t="s">
        <v>46</v>
      </c>
      <c r="G225" t="s">
        <v>80</v>
      </c>
      <c r="H225">
        <v>0</v>
      </c>
      <c r="I225" s="1">
        <v>45507</v>
      </c>
      <c r="J225" s="10">
        <v>93493</v>
      </c>
      <c r="K225" s="10">
        <v>20438</v>
      </c>
      <c r="L225">
        <v>4</v>
      </c>
      <c r="M225" t="s">
        <v>26</v>
      </c>
      <c r="N225" t="s">
        <v>63</v>
      </c>
      <c r="O225" t="s">
        <v>28</v>
      </c>
      <c r="P225" t="s">
        <v>28</v>
      </c>
      <c r="Q225">
        <v>60</v>
      </c>
      <c r="R225">
        <v>17</v>
      </c>
      <c r="S225">
        <v>2</v>
      </c>
      <c r="T225" t="s">
        <v>43</v>
      </c>
      <c r="U225" t="str">
        <f>IF(AND(Employees_Data[[#This Row],[Age]]&gt;=20,Employees_Data[[#This Row],[Age]]&lt;=30),"Young",IF(AND(Employees_Data[[#This Row],[Age]]&gt;=31,Employees_Data[[#This Row],[Age]]&lt;=40),"Mid-Age",IF(Employees_Data[[#This Row],[Age]]&gt;=41,"Senior")))</f>
        <v>Young</v>
      </c>
      <c r="V225" t="str">
        <f>IF(Employees_Data[[#This Row],[Salary]]&lt;=30000,"Low",IF(AND(Employees_Data[[#This Row],[Salary]]&gt;30000,Employees_Data[[#This Row],[Salary]]&lt;=60000),"Medium",IF(AND(Employees_Data[[#This Row],[Salary]]&gt;60000,Employees_Data[[#This Row],[Salary]]&lt;=90000),"High",IF(Employees_Data[[#This Row],[Salary]]&gt;90000,"Executive"))))</f>
        <v>Executive</v>
      </c>
      <c r="W22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225" s="14" t="str">
        <f>VLOOKUP(Employees_Data[[#This Row],[Department]],Departments!$A$2:$B$7,2,FALSE)</f>
        <v>D05</v>
      </c>
      <c r="Y225" s="14" t="str">
        <f>INDEX(Departments!$B$2:$B$7,MATCH(Employees_Data[[#This Row],[Department]],Departments!$A$2:$A$7,0))</f>
        <v>D05</v>
      </c>
      <c r="Z225" s="14" t="str">
        <f>INDEX(Salary_Bands!$C$2:$C$5,MATCH(Employees_Data[[#This Row],[Salary]],Salary_Bands!$A$2:$A$5,1))</f>
        <v>Executive</v>
      </c>
    </row>
    <row r="226" spans="1:26" x14ac:dyDescent="0.3">
      <c r="A226" t="s">
        <v>513</v>
      </c>
      <c r="B226" t="s">
        <v>514</v>
      </c>
      <c r="C226" t="s">
        <v>22</v>
      </c>
      <c r="D226" s="12">
        <v>38</v>
      </c>
      <c r="E226" t="s">
        <v>41</v>
      </c>
      <c r="F226" t="s">
        <v>232</v>
      </c>
      <c r="G226" t="s">
        <v>25</v>
      </c>
      <c r="H226">
        <v>14</v>
      </c>
      <c r="I226" s="1">
        <v>45089</v>
      </c>
      <c r="J226" s="10">
        <v>99976</v>
      </c>
      <c r="K226" s="10">
        <v>21944</v>
      </c>
      <c r="L226">
        <v>5</v>
      </c>
      <c r="M226" t="s">
        <v>52</v>
      </c>
      <c r="N226" t="s">
        <v>48</v>
      </c>
      <c r="O226" s="5" t="s">
        <v>29</v>
      </c>
      <c r="P226" t="s">
        <v>28</v>
      </c>
      <c r="Q226">
        <v>7</v>
      </c>
      <c r="R226">
        <v>12</v>
      </c>
      <c r="S226">
        <v>8</v>
      </c>
      <c r="T226" t="s">
        <v>30</v>
      </c>
      <c r="U226" t="str">
        <f>IF(AND(Employees_Data[[#This Row],[Age]]&gt;=20,Employees_Data[[#This Row],[Age]]&lt;=30),"Young",IF(AND(Employees_Data[[#This Row],[Age]]&gt;=31,Employees_Data[[#This Row],[Age]]&lt;=40),"Mid-Age",IF(Employees_Data[[#This Row],[Age]]&gt;=41,"Senior")))</f>
        <v>Mid-Age</v>
      </c>
      <c r="V226" t="str">
        <f>IF(Employees_Data[[#This Row],[Salary]]&lt;=30000,"Low",IF(AND(Employees_Data[[#This Row],[Salary]]&gt;30000,Employees_Data[[#This Row],[Salary]]&lt;=60000),"Medium",IF(AND(Employees_Data[[#This Row],[Salary]]&gt;60000,Employees_Data[[#This Row],[Salary]]&lt;=90000),"High",IF(Employees_Data[[#This Row],[Salary]]&gt;90000,"Executive"))))</f>
        <v>Executive</v>
      </c>
      <c r="W22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26" s="14" t="str">
        <f>VLOOKUP(Employees_Data[[#This Row],[Department]],Departments!$A$2:$B$7,2,FALSE)</f>
        <v>D03</v>
      </c>
      <c r="Y226" s="14" t="str">
        <f>INDEX(Departments!$B$2:$B$7,MATCH(Employees_Data[[#This Row],[Department]],Departments!$A$2:$A$7,0))</f>
        <v>D03</v>
      </c>
      <c r="Z226" s="14" t="str">
        <f>INDEX(Salary_Bands!$C$2:$C$5,MATCH(Employees_Data[[#This Row],[Salary]],Salary_Bands!$A$2:$A$5,1))</f>
        <v>Executive</v>
      </c>
    </row>
    <row r="227" spans="1:26" x14ac:dyDescent="0.3">
      <c r="A227" t="s">
        <v>515</v>
      </c>
      <c r="B227" t="s">
        <v>516</v>
      </c>
      <c r="C227" t="s">
        <v>40</v>
      </c>
      <c r="D227" s="12">
        <v>37</v>
      </c>
      <c r="E227" t="s">
        <v>41</v>
      </c>
      <c r="F227" t="s">
        <v>69</v>
      </c>
      <c r="G227" t="s">
        <v>51</v>
      </c>
      <c r="H227">
        <v>16</v>
      </c>
      <c r="I227" s="1">
        <v>45047</v>
      </c>
      <c r="J227" s="10">
        <v>145695</v>
      </c>
      <c r="K227" s="10">
        <v>11186</v>
      </c>
      <c r="L227">
        <v>3</v>
      </c>
      <c r="M227" t="s">
        <v>36</v>
      </c>
      <c r="N227" t="s">
        <v>63</v>
      </c>
      <c r="O227" s="5" t="s">
        <v>29</v>
      </c>
      <c r="P227" t="s">
        <v>29</v>
      </c>
      <c r="Q227">
        <v>60</v>
      </c>
      <c r="R227">
        <v>7</v>
      </c>
      <c r="S227">
        <v>6</v>
      </c>
      <c r="T227" t="s">
        <v>30</v>
      </c>
      <c r="U227" t="str">
        <f>IF(AND(Employees_Data[[#This Row],[Age]]&gt;=20,Employees_Data[[#This Row],[Age]]&lt;=30),"Young",IF(AND(Employees_Data[[#This Row],[Age]]&gt;=31,Employees_Data[[#This Row],[Age]]&lt;=40),"Mid-Age",IF(Employees_Data[[#This Row],[Age]]&gt;=41,"Senior")))</f>
        <v>Mid-Age</v>
      </c>
      <c r="V227" t="str">
        <f>IF(Employees_Data[[#This Row],[Salary]]&lt;=30000,"Low",IF(AND(Employees_Data[[#This Row],[Salary]]&gt;30000,Employees_Data[[#This Row],[Salary]]&lt;=60000),"Medium",IF(AND(Employees_Data[[#This Row],[Salary]]&gt;60000,Employees_Data[[#This Row],[Salary]]&lt;=90000),"High",IF(Employees_Data[[#This Row],[Salary]]&gt;90000,"Executive"))))</f>
        <v>Executive</v>
      </c>
      <c r="W22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27" s="14" t="str">
        <f>VLOOKUP(Employees_Data[[#This Row],[Department]],Departments!$A$2:$B$7,2,FALSE)</f>
        <v>D03</v>
      </c>
      <c r="Y227" s="14" t="str">
        <f>INDEX(Departments!$B$2:$B$7,MATCH(Employees_Data[[#This Row],[Department]],Departments!$A$2:$A$7,0))</f>
        <v>D03</v>
      </c>
      <c r="Z227" s="14" t="str">
        <f>INDEX(Salary_Bands!$C$2:$C$5,MATCH(Employees_Data[[#This Row],[Salary]],Salary_Bands!$A$2:$A$5,1))</f>
        <v>Executive</v>
      </c>
    </row>
    <row r="228" spans="1:26" hidden="1" x14ac:dyDescent="0.3">
      <c r="A228" t="s">
        <v>517</v>
      </c>
      <c r="B228" t="s">
        <v>518</v>
      </c>
      <c r="C228" t="s">
        <v>22</v>
      </c>
      <c r="D228" s="12">
        <v>50</v>
      </c>
      <c r="E228" t="s">
        <v>61</v>
      </c>
      <c r="F228" t="s">
        <v>229</v>
      </c>
      <c r="G228" t="s">
        <v>47</v>
      </c>
      <c r="H228">
        <v>27</v>
      </c>
      <c r="I228" s="1">
        <v>44204</v>
      </c>
      <c r="J228" s="10">
        <v>120525</v>
      </c>
      <c r="K228" s="10">
        <v>17874</v>
      </c>
      <c r="L228">
        <v>4</v>
      </c>
      <c r="M228" t="s">
        <v>52</v>
      </c>
      <c r="N228" t="s">
        <v>63</v>
      </c>
      <c r="O228" t="s">
        <v>28</v>
      </c>
      <c r="P228" t="s">
        <v>28</v>
      </c>
      <c r="Q228">
        <v>57</v>
      </c>
      <c r="R228">
        <v>1</v>
      </c>
      <c r="S228">
        <v>10</v>
      </c>
      <c r="T228" t="s">
        <v>43</v>
      </c>
      <c r="U228" t="str">
        <f>IF(AND(Employees_Data[[#This Row],[Age]]&gt;=20,Employees_Data[[#This Row],[Age]]&lt;=30),"Young",IF(AND(Employees_Data[[#This Row],[Age]]&gt;=31,Employees_Data[[#This Row],[Age]]&lt;=40),"Mid-Age",IF(Employees_Data[[#This Row],[Age]]&gt;=41,"Senior")))</f>
        <v>Senior</v>
      </c>
      <c r="V228" t="str">
        <f>IF(Employees_Data[[#This Row],[Salary]]&lt;=30000,"Low",IF(AND(Employees_Data[[#This Row],[Salary]]&gt;30000,Employees_Data[[#This Row],[Salary]]&lt;=60000),"Medium",IF(AND(Employees_Data[[#This Row],[Salary]]&gt;60000,Employees_Data[[#This Row],[Salary]]&lt;=90000),"High",IF(Employees_Data[[#This Row],[Salary]]&gt;90000,"Executive"))))</f>
        <v>Executive</v>
      </c>
      <c r="W22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28" s="14" t="str">
        <f>VLOOKUP(Employees_Data[[#This Row],[Department]],Departments!$A$2:$B$7,2,FALSE)</f>
        <v>D02</v>
      </c>
      <c r="Y228" s="14" t="str">
        <f>INDEX(Departments!$B$2:$B$7,MATCH(Employees_Data[[#This Row],[Department]],Departments!$A$2:$A$7,0))</f>
        <v>D02</v>
      </c>
      <c r="Z228" s="14" t="str">
        <f>INDEX(Salary_Bands!$C$2:$C$5,MATCH(Employees_Data[[#This Row],[Salary]],Salary_Bands!$A$2:$A$5,1))</f>
        <v>Executive</v>
      </c>
    </row>
    <row r="229" spans="1:26" hidden="1" x14ac:dyDescent="0.3">
      <c r="A229" t="s">
        <v>519</v>
      </c>
      <c r="B229" t="s">
        <v>520</v>
      </c>
      <c r="C229" t="s">
        <v>22</v>
      </c>
      <c r="D229" s="12">
        <v>26</v>
      </c>
      <c r="E229" t="s">
        <v>33</v>
      </c>
      <c r="F229" t="s">
        <v>118</v>
      </c>
      <c r="G229" t="s">
        <v>35</v>
      </c>
      <c r="H229">
        <v>3</v>
      </c>
      <c r="I229" s="1">
        <v>45176</v>
      </c>
      <c r="J229" s="10">
        <v>77872</v>
      </c>
      <c r="K229" s="10">
        <v>3888</v>
      </c>
      <c r="L229">
        <v>2</v>
      </c>
      <c r="M229" t="s">
        <v>26</v>
      </c>
      <c r="N229" t="s">
        <v>27</v>
      </c>
      <c r="O229" t="s">
        <v>28</v>
      </c>
      <c r="P229" t="s">
        <v>28</v>
      </c>
      <c r="Q229">
        <v>8</v>
      </c>
      <c r="R229">
        <v>11</v>
      </c>
      <c r="S229">
        <v>9</v>
      </c>
      <c r="T229" t="s">
        <v>43</v>
      </c>
      <c r="U229" t="str">
        <f>IF(AND(Employees_Data[[#This Row],[Age]]&gt;=20,Employees_Data[[#This Row],[Age]]&lt;=30),"Young",IF(AND(Employees_Data[[#This Row],[Age]]&gt;=31,Employees_Data[[#This Row],[Age]]&lt;=40),"Mid-Age",IF(Employees_Data[[#This Row],[Age]]&gt;=41,"Senior")))</f>
        <v>Young</v>
      </c>
      <c r="V229" t="str">
        <f>IF(Employees_Data[[#This Row],[Salary]]&lt;=30000,"Low",IF(AND(Employees_Data[[#This Row],[Salary]]&gt;30000,Employees_Data[[#This Row],[Salary]]&lt;=60000),"Medium",IF(AND(Employees_Data[[#This Row],[Salary]]&gt;60000,Employees_Data[[#This Row],[Salary]]&lt;=90000),"High",IF(Employees_Data[[#This Row],[Salary]]&gt;90000,"Executive"))))</f>
        <v>High</v>
      </c>
      <c r="W22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229" s="14" t="str">
        <f>VLOOKUP(Employees_Data[[#This Row],[Department]],Departments!$A$2:$B$7,2,FALSE)</f>
        <v>D05</v>
      </c>
      <c r="Y229" s="14" t="str">
        <f>INDEX(Departments!$B$2:$B$7,MATCH(Employees_Data[[#This Row],[Department]],Departments!$A$2:$A$7,0))</f>
        <v>D05</v>
      </c>
      <c r="Z229" s="14" t="str">
        <f>INDEX(Salary_Bands!$C$2:$C$5,MATCH(Employees_Data[[#This Row],[Salary]],Salary_Bands!$A$2:$A$5,1))</f>
        <v>High</v>
      </c>
    </row>
    <row r="230" spans="1:26" hidden="1" x14ac:dyDescent="0.3">
      <c r="A230" t="s">
        <v>521</v>
      </c>
      <c r="B230" t="s">
        <v>522</v>
      </c>
      <c r="C230" t="s">
        <v>40</v>
      </c>
      <c r="D230" s="12">
        <v>39</v>
      </c>
      <c r="E230" t="s">
        <v>23</v>
      </c>
      <c r="F230" t="s">
        <v>24</v>
      </c>
      <c r="G230" t="s">
        <v>25</v>
      </c>
      <c r="H230">
        <v>16</v>
      </c>
      <c r="I230" s="1">
        <v>45002</v>
      </c>
      <c r="J230" s="10">
        <v>91207</v>
      </c>
      <c r="K230" s="10">
        <v>16617</v>
      </c>
      <c r="L230">
        <v>4</v>
      </c>
      <c r="M230" t="s">
        <v>26</v>
      </c>
      <c r="N230" t="s">
        <v>63</v>
      </c>
      <c r="O230" t="s">
        <v>28</v>
      </c>
      <c r="P230" t="s">
        <v>28</v>
      </c>
      <c r="Q230">
        <v>42</v>
      </c>
      <c r="R230">
        <v>17</v>
      </c>
      <c r="S230">
        <v>2</v>
      </c>
      <c r="T230" t="s">
        <v>30</v>
      </c>
      <c r="U230" t="str">
        <f>IF(AND(Employees_Data[[#This Row],[Age]]&gt;=20,Employees_Data[[#This Row],[Age]]&lt;=30),"Young",IF(AND(Employees_Data[[#This Row],[Age]]&gt;=31,Employees_Data[[#This Row],[Age]]&lt;=40),"Mid-Age",IF(Employees_Data[[#This Row],[Age]]&gt;=41,"Senior")))</f>
        <v>Mid-Age</v>
      </c>
      <c r="V230" t="str">
        <f>IF(Employees_Data[[#This Row],[Salary]]&lt;=30000,"Low",IF(AND(Employees_Data[[#This Row],[Salary]]&gt;30000,Employees_Data[[#This Row],[Salary]]&lt;=60000),"Medium",IF(AND(Employees_Data[[#This Row],[Salary]]&gt;60000,Employees_Data[[#This Row],[Salary]]&lt;=90000),"High",IF(Employees_Data[[#This Row],[Salary]]&gt;90000,"Executive"))))</f>
        <v>Executive</v>
      </c>
      <c r="W23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30" s="14" t="str">
        <f>VLOOKUP(Employees_Data[[#This Row],[Department]],Departments!$A$2:$B$7,2,FALSE)</f>
        <v>D06</v>
      </c>
      <c r="Y230" s="14" t="str">
        <f>INDEX(Departments!$B$2:$B$7,MATCH(Employees_Data[[#This Row],[Department]],Departments!$A$2:$A$7,0))</f>
        <v>D06</v>
      </c>
      <c r="Z230" s="14" t="str">
        <f>INDEX(Salary_Bands!$C$2:$C$5,MATCH(Employees_Data[[#This Row],[Salary]],Salary_Bands!$A$2:$A$5,1))</f>
        <v>Executive</v>
      </c>
    </row>
    <row r="231" spans="1:26" x14ac:dyDescent="0.3">
      <c r="A231" t="s">
        <v>523</v>
      </c>
      <c r="B231" t="s">
        <v>524</v>
      </c>
      <c r="C231" t="s">
        <v>22</v>
      </c>
      <c r="D231" s="12">
        <v>32</v>
      </c>
      <c r="E231" t="s">
        <v>41</v>
      </c>
      <c r="F231" t="s">
        <v>232</v>
      </c>
      <c r="G231" t="s">
        <v>35</v>
      </c>
      <c r="H231">
        <v>9</v>
      </c>
      <c r="I231" s="1">
        <v>43471</v>
      </c>
      <c r="J231" s="10">
        <v>62364</v>
      </c>
      <c r="K231" s="10">
        <v>23213</v>
      </c>
      <c r="L231">
        <v>1</v>
      </c>
      <c r="M231" t="s">
        <v>26</v>
      </c>
      <c r="N231" t="s">
        <v>48</v>
      </c>
      <c r="O231" s="5" t="s">
        <v>29</v>
      </c>
      <c r="P231" t="s">
        <v>29</v>
      </c>
      <c r="Q231">
        <v>22</v>
      </c>
      <c r="R231">
        <v>20</v>
      </c>
      <c r="S231">
        <v>7</v>
      </c>
      <c r="T231" t="s">
        <v>30</v>
      </c>
      <c r="U231" t="str">
        <f>IF(AND(Employees_Data[[#This Row],[Age]]&gt;=20,Employees_Data[[#This Row],[Age]]&lt;=30),"Young",IF(AND(Employees_Data[[#This Row],[Age]]&gt;=31,Employees_Data[[#This Row],[Age]]&lt;=40),"Mid-Age",IF(Employees_Data[[#This Row],[Age]]&gt;=41,"Senior")))</f>
        <v>Mid-Age</v>
      </c>
      <c r="V231" t="str">
        <f>IF(Employees_Data[[#This Row],[Salary]]&lt;=30000,"Low",IF(AND(Employees_Data[[#This Row],[Salary]]&gt;30000,Employees_Data[[#This Row],[Salary]]&lt;=60000),"Medium",IF(AND(Employees_Data[[#This Row],[Salary]]&gt;60000,Employees_Data[[#This Row],[Salary]]&lt;=90000),"High",IF(Employees_Data[[#This Row],[Salary]]&gt;90000,"Executive"))))</f>
        <v>High</v>
      </c>
      <c r="W23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231" s="14" t="str">
        <f>VLOOKUP(Employees_Data[[#This Row],[Department]],Departments!$A$2:$B$7,2,FALSE)</f>
        <v>D03</v>
      </c>
      <c r="Y231" s="14" t="str">
        <f>INDEX(Departments!$B$2:$B$7,MATCH(Employees_Data[[#This Row],[Department]],Departments!$A$2:$A$7,0))</f>
        <v>D03</v>
      </c>
      <c r="Z231" s="14" t="str">
        <f>INDEX(Salary_Bands!$C$2:$C$5,MATCH(Employees_Data[[#This Row],[Salary]],Salary_Bands!$A$2:$A$5,1))</f>
        <v>High</v>
      </c>
    </row>
    <row r="232" spans="1:26" hidden="1" x14ac:dyDescent="0.3">
      <c r="A232" t="s">
        <v>525</v>
      </c>
      <c r="B232" t="s">
        <v>526</v>
      </c>
      <c r="C232" t="s">
        <v>40</v>
      </c>
      <c r="D232" s="12">
        <v>23</v>
      </c>
      <c r="E232" t="s">
        <v>87</v>
      </c>
      <c r="F232" t="s">
        <v>88</v>
      </c>
      <c r="G232" t="s">
        <v>25</v>
      </c>
      <c r="H232">
        <v>0</v>
      </c>
      <c r="I232" s="1">
        <v>43137</v>
      </c>
      <c r="J232" s="10">
        <v>87140</v>
      </c>
      <c r="K232" s="10">
        <v>12009</v>
      </c>
      <c r="L232">
        <v>2</v>
      </c>
      <c r="M232" t="s">
        <v>52</v>
      </c>
      <c r="N232" t="s">
        <v>48</v>
      </c>
      <c r="O232" t="s">
        <v>28</v>
      </c>
      <c r="P232" t="s">
        <v>28</v>
      </c>
      <c r="Q232">
        <v>32</v>
      </c>
      <c r="R232">
        <v>12</v>
      </c>
      <c r="S232">
        <v>3</v>
      </c>
      <c r="T232" t="s">
        <v>43</v>
      </c>
      <c r="U232" t="str">
        <f>IF(AND(Employees_Data[[#This Row],[Age]]&gt;=20,Employees_Data[[#This Row],[Age]]&lt;=30),"Young",IF(AND(Employees_Data[[#This Row],[Age]]&gt;=31,Employees_Data[[#This Row],[Age]]&lt;=40),"Mid-Age",IF(Employees_Data[[#This Row],[Age]]&gt;=41,"Senior")))</f>
        <v>Young</v>
      </c>
      <c r="V232" t="str">
        <f>IF(Employees_Data[[#This Row],[Salary]]&lt;=30000,"Low",IF(AND(Employees_Data[[#This Row],[Salary]]&gt;30000,Employees_Data[[#This Row],[Salary]]&lt;=60000),"Medium",IF(AND(Employees_Data[[#This Row],[Salary]]&gt;60000,Employees_Data[[#This Row],[Salary]]&lt;=90000),"High",IF(Employees_Data[[#This Row],[Salary]]&gt;90000,"Executive"))))</f>
        <v>High</v>
      </c>
      <c r="W23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232" s="14" t="str">
        <f>VLOOKUP(Employees_Data[[#This Row],[Department]],Departments!$A$2:$B$7,2,FALSE)</f>
        <v>D04</v>
      </c>
      <c r="Y232" s="14" t="str">
        <f>INDEX(Departments!$B$2:$B$7,MATCH(Employees_Data[[#This Row],[Department]],Departments!$A$2:$A$7,0))</f>
        <v>D04</v>
      </c>
      <c r="Z232" s="14" t="str">
        <f>INDEX(Salary_Bands!$C$2:$C$5,MATCH(Employees_Data[[#This Row],[Salary]],Salary_Bands!$A$2:$A$5,1))</f>
        <v>High</v>
      </c>
    </row>
    <row r="233" spans="1:26" hidden="1" x14ac:dyDescent="0.3">
      <c r="A233" t="s">
        <v>527</v>
      </c>
      <c r="B233" t="s">
        <v>528</v>
      </c>
      <c r="C233" t="s">
        <v>40</v>
      </c>
      <c r="D233" s="12">
        <v>38</v>
      </c>
      <c r="E233" t="s">
        <v>41</v>
      </c>
      <c r="F233" t="s">
        <v>232</v>
      </c>
      <c r="G233" t="s">
        <v>25</v>
      </c>
      <c r="H233">
        <v>16</v>
      </c>
      <c r="I233" s="1">
        <v>45012</v>
      </c>
      <c r="J233" s="10">
        <v>64602</v>
      </c>
      <c r="K233" s="10">
        <v>23212</v>
      </c>
      <c r="L233">
        <v>5</v>
      </c>
      <c r="M233" t="s">
        <v>52</v>
      </c>
      <c r="N233" t="s">
        <v>53</v>
      </c>
      <c r="O233" t="s">
        <v>28</v>
      </c>
      <c r="P233" t="s">
        <v>28</v>
      </c>
      <c r="Q233">
        <v>24</v>
      </c>
      <c r="R233">
        <v>3</v>
      </c>
      <c r="S233">
        <v>10</v>
      </c>
      <c r="T233" t="s">
        <v>43</v>
      </c>
      <c r="U233" t="str">
        <f>IF(AND(Employees_Data[[#This Row],[Age]]&gt;=20,Employees_Data[[#This Row],[Age]]&lt;=30),"Young",IF(AND(Employees_Data[[#This Row],[Age]]&gt;=31,Employees_Data[[#This Row],[Age]]&lt;=40),"Mid-Age",IF(Employees_Data[[#This Row],[Age]]&gt;=41,"Senior")))</f>
        <v>Mid-Age</v>
      </c>
      <c r="V233" t="str">
        <f>IF(Employees_Data[[#This Row],[Salary]]&lt;=30000,"Low",IF(AND(Employees_Data[[#This Row],[Salary]]&gt;30000,Employees_Data[[#This Row],[Salary]]&lt;=60000),"Medium",IF(AND(Employees_Data[[#This Row],[Salary]]&gt;60000,Employees_Data[[#This Row],[Salary]]&lt;=90000),"High",IF(Employees_Data[[#This Row],[Salary]]&gt;90000,"Executive"))))</f>
        <v>High</v>
      </c>
      <c r="W23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33" s="14" t="str">
        <f>VLOOKUP(Employees_Data[[#This Row],[Department]],Departments!$A$2:$B$7,2,FALSE)</f>
        <v>D03</v>
      </c>
      <c r="Y233" s="14" t="str">
        <f>INDEX(Departments!$B$2:$B$7,MATCH(Employees_Data[[#This Row],[Department]],Departments!$A$2:$A$7,0))</f>
        <v>D03</v>
      </c>
      <c r="Z233" s="14" t="str">
        <f>INDEX(Salary_Bands!$C$2:$C$5,MATCH(Employees_Data[[#This Row],[Salary]],Salary_Bands!$A$2:$A$5,1))</f>
        <v>High</v>
      </c>
    </row>
    <row r="234" spans="1:26" hidden="1" x14ac:dyDescent="0.3">
      <c r="A234" t="s">
        <v>529</v>
      </c>
      <c r="B234" t="s">
        <v>530</v>
      </c>
      <c r="C234" t="s">
        <v>40</v>
      </c>
      <c r="D234" s="12">
        <v>43</v>
      </c>
      <c r="E234" t="s">
        <v>87</v>
      </c>
      <c r="F234" t="s">
        <v>91</v>
      </c>
      <c r="G234" t="s">
        <v>35</v>
      </c>
      <c r="H234">
        <v>20</v>
      </c>
      <c r="I234" s="1">
        <v>44432</v>
      </c>
      <c r="J234" s="10">
        <v>137917</v>
      </c>
      <c r="K234" s="10">
        <v>6912</v>
      </c>
      <c r="L234">
        <v>3</v>
      </c>
      <c r="M234" t="s">
        <v>52</v>
      </c>
      <c r="N234" t="s">
        <v>63</v>
      </c>
      <c r="O234" t="s">
        <v>28</v>
      </c>
      <c r="P234" t="s">
        <v>29</v>
      </c>
      <c r="Q234">
        <v>8</v>
      </c>
      <c r="R234">
        <v>19</v>
      </c>
      <c r="S234">
        <v>5</v>
      </c>
      <c r="T234" t="s">
        <v>30</v>
      </c>
      <c r="U234" t="str">
        <f>IF(AND(Employees_Data[[#This Row],[Age]]&gt;=20,Employees_Data[[#This Row],[Age]]&lt;=30),"Young",IF(AND(Employees_Data[[#This Row],[Age]]&gt;=31,Employees_Data[[#This Row],[Age]]&lt;=40),"Mid-Age",IF(Employees_Data[[#This Row],[Age]]&gt;=41,"Senior")))</f>
        <v>Senior</v>
      </c>
      <c r="V234" t="str">
        <f>IF(Employees_Data[[#This Row],[Salary]]&lt;=30000,"Low",IF(AND(Employees_Data[[#This Row],[Salary]]&gt;30000,Employees_Data[[#This Row],[Salary]]&lt;=60000),"Medium",IF(AND(Employees_Data[[#This Row],[Salary]]&gt;60000,Employees_Data[[#This Row],[Salary]]&lt;=90000),"High",IF(Employees_Data[[#This Row],[Salary]]&gt;90000,"Executive"))))</f>
        <v>Executive</v>
      </c>
      <c r="W23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34" s="14" t="str">
        <f>VLOOKUP(Employees_Data[[#This Row],[Department]],Departments!$A$2:$B$7,2,FALSE)</f>
        <v>D04</v>
      </c>
      <c r="Y234" s="14" t="str">
        <f>INDEX(Departments!$B$2:$B$7,MATCH(Employees_Data[[#This Row],[Department]],Departments!$A$2:$A$7,0))</f>
        <v>D04</v>
      </c>
      <c r="Z234" s="14" t="str">
        <f>INDEX(Salary_Bands!$C$2:$C$5,MATCH(Employees_Data[[#This Row],[Salary]],Salary_Bands!$A$2:$A$5,1))</f>
        <v>Executive</v>
      </c>
    </row>
    <row r="235" spans="1:26" hidden="1" x14ac:dyDescent="0.3">
      <c r="A235" t="s">
        <v>531</v>
      </c>
      <c r="B235" t="s">
        <v>532</v>
      </c>
      <c r="C235" t="s">
        <v>40</v>
      </c>
      <c r="D235" s="12">
        <v>42</v>
      </c>
      <c r="E235" t="s">
        <v>87</v>
      </c>
      <c r="F235" t="s">
        <v>88</v>
      </c>
      <c r="G235" t="s">
        <v>47</v>
      </c>
      <c r="H235">
        <v>16</v>
      </c>
      <c r="I235" s="1">
        <v>43674</v>
      </c>
      <c r="J235" s="10">
        <v>119540</v>
      </c>
      <c r="K235" s="10">
        <v>14722</v>
      </c>
      <c r="L235">
        <v>1</v>
      </c>
      <c r="M235" t="s">
        <v>52</v>
      </c>
      <c r="N235" t="s">
        <v>27</v>
      </c>
      <c r="O235" t="s">
        <v>28</v>
      </c>
      <c r="P235" t="s">
        <v>29</v>
      </c>
      <c r="Q235">
        <v>26</v>
      </c>
      <c r="R235">
        <v>7</v>
      </c>
      <c r="S235">
        <v>8</v>
      </c>
      <c r="T235" t="s">
        <v>30</v>
      </c>
      <c r="U235" t="str">
        <f>IF(AND(Employees_Data[[#This Row],[Age]]&gt;=20,Employees_Data[[#This Row],[Age]]&lt;=30),"Young",IF(AND(Employees_Data[[#This Row],[Age]]&gt;=31,Employees_Data[[#This Row],[Age]]&lt;=40),"Mid-Age",IF(Employees_Data[[#This Row],[Age]]&gt;=41,"Senior")))</f>
        <v>Senior</v>
      </c>
      <c r="V235" t="str">
        <f>IF(Employees_Data[[#This Row],[Salary]]&lt;=30000,"Low",IF(AND(Employees_Data[[#This Row],[Salary]]&gt;30000,Employees_Data[[#This Row],[Salary]]&lt;=60000),"Medium",IF(AND(Employees_Data[[#This Row],[Salary]]&gt;60000,Employees_Data[[#This Row],[Salary]]&lt;=90000),"High",IF(Employees_Data[[#This Row],[Salary]]&gt;90000,"Executive"))))</f>
        <v>Executive</v>
      </c>
      <c r="W23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35" s="14" t="str">
        <f>VLOOKUP(Employees_Data[[#This Row],[Department]],Departments!$A$2:$B$7,2,FALSE)</f>
        <v>D04</v>
      </c>
      <c r="Y235" s="14" t="str">
        <f>INDEX(Departments!$B$2:$B$7,MATCH(Employees_Data[[#This Row],[Department]],Departments!$A$2:$A$7,0))</f>
        <v>D04</v>
      </c>
      <c r="Z235" s="14" t="str">
        <f>INDEX(Salary_Bands!$C$2:$C$5,MATCH(Employees_Data[[#This Row],[Salary]],Salary_Bands!$A$2:$A$5,1))</f>
        <v>Executive</v>
      </c>
    </row>
    <row r="236" spans="1:26" hidden="1" x14ac:dyDescent="0.3">
      <c r="A236" t="s">
        <v>533</v>
      </c>
      <c r="B236" t="s">
        <v>534</v>
      </c>
      <c r="C236" t="s">
        <v>22</v>
      </c>
      <c r="D236" s="12">
        <v>52</v>
      </c>
      <c r="E236" t="s">
        <v>23</v>
      </c>
      <c r="F236" t="s">
        <v>109</v>
      </c>
      <c r="G236" t="s">
        <v>51</v>
      </c>
      <c r="H236">
        <v>26</v>
      </c>
      <c r="I236" s="1">
        <v>44569</v>
      </c>
      <c r="J236" s="10">
        <v>91494</v>
      </c>
      <c r="K236" s="10">
        <v>5198</v>
      </c>
      <c r="L236">
        <v>3</v>
      </c>
      <c r="M236" t="s">
        <v>36</v>
      </c>
      <c r="N236" t="s">
        <v>76</v>
      </c>
      <c r="O236" t="s">
        <v>28</v>
      </c>
      <c r="P236" t="s">
        <v>28</v>
      </c>
      <c r="Q236">
        <v>51</v>
      </c>
      <c r="R236">
        <v>17</v>
      </c>
      <c r="S236">
        <v>3</v>
      </c>
      <c r="T236" t="s">
        <v>30</v>
      </c>
      <c r="U236" t="str">
        <f>IF(AND(Employees_Data[[#This Row],[Age]]&gt;=20,Employees_Data[[#This Row],[Age]]&lt;=30),"Young",IF(AND(Employees_Data[[#This Row],[Age]]&gt;=31,Employees_Data[[#This Row],[Age]]&lt;=40),"Mid-Age",IF(Employees_Data[[#This Row],[Age]]&gt;=41,"Senior")))</f>
        <v>Senior</v>
      </c>
      <c r="V236" t="str">
        <f>IF(Employees_Data[[#This Row],[Salary]]&lt;=30000,"Low",IF(AND(Employees_Data[[#This Row],[Salary]]&gt;30000,Employees_Data[[#This Row],[Salary]]&lt;=60000),"Medium",IF(AND(Employees_Data[[#This Row],[Salary]]&gt;60000,Employees_Data[[#This Row],[Salary]]&lt;=90000),"High",IF(Employees_Data[[#This Row],[Salary]]&gt;90000,"Executive"))))</f>
        <v>Executive</v>
      </c>
      <c r="W23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36" s="14" t="str">
        <f>VLOOKUP(Employees_Data[[#This Row],[Department]],Departments!$A$2:$B$7,2,FALSE)</f>
        <v>D06</v>
      </c>
      <c r="Y236" s="14" t="str">
        <f>INDEX(Departments!$B$2:$B$7,MATCH(Employees_Data[[#This Row],[Department]],Departments!$A$2:$A$7,0))</f>
        <v>D06</v>
      </c>
      <c r="Z236" s="14" t="str">
        <f>INDEX(Salary_Bands!$C$2:$C$5,MATCH(Employees_Data[[#This Row],[Salary]],Salary_Bands!$A$2:$A$5,1))</f>
        <v>Executive</v>
      </c>
    </row>
    <row r="237" spans="1:26" hidden="1" x14ac:dyDescent="0.3">
      <c r="A237" t="s">
        <v>535</v>
      </c>
      <c r="B237" t="s">
        <v>536</v>
      </c>
      <c r="C237" t="s">
        <v>40</v>
      </c>
      <c r="D237" s="12">
        <v>43</v>
      </c>
      <c r="E237" t="s">
        <v>61</v>
      </c>
      <c r="F237" t="s">
        <v>66</v>
      </c>
      <c r="G237" t="s">
        <v>51</v>
      </c>
      <c r="H237">
        <v>17</v>
      </c>
      <c r="I237" s="1">
        <v>43466</v>
      </c>
      <c r="J237" s="10">
        <v>54131</v>
      </c>
      <c r="K237" s="10">
        <v>10538</v>
      </c>
      <c r="L237">
        <v>3</v>
      </c>
      <c r="M237" t="s">
        <v>52</v>
      </c>
      <c r="N237" t="s">
        <v>37</v>
      </c>
      <c r="O237" t="s">
        <v>28</v>
      </c>
      <c r="P237" t="s">
        <v>28</v>
      </c>
      <c r="Q237">
        <v>59</v>
      </c>
      <c r="R237">
        <v>3</v>
      </c>
      <c r="S237">
        <v>4</v>
      </c>
      <c r="T237" t="s">
        <v>30</v>
      </c>
      <c r="U237" t="str">
        <f>IF(AND(Employees_Data[[#This Row],[Age]]&gt;=20,Employees_Data[[#This Row],[Age]]&lt;=30),"Young",IF(AND(Employees_Data[[#This Row],[Age]]&gt;=31,Employees_Data[[#This Row],[Age]]&lt;=40),"Mid-Age",IF(Employees_Data[[#This Row],[Age]]&gt;=41,"Senior")))</f>
        <v>Senior</v>
      </c>
      <c r="V237" t="str">
        <f>IF(Employees_Data[[#This Row],[Salary]]&lt;=30000,"Low",IF(AND(Employees_Data[[#This Row],[Salary]]&gt;30000,Employees_Data[[#This Row],[Salary]]&lt;=60000),"Medium",IF(AND(Employees_Data[[#This Row],[Salary]]&gt;60000,Employees_Data[[#This Row],[Salary]]&lt;=90000),"High",IF(Employees_Data[[#This Row],[Salary]]&gt;90000,"Executive"))))</f>
        <v>Medium</v>
      </c>
      <c r="W23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37" s="14" t="str">
        <f>VLOOKUP(Employees_Data[[#This Row],[Department]],Departments!$A$2:$B$7,2,FALSE)</f>
        <v>D02</v>
      </c>
      <c r="Y237" s="14" t="str">
        <f>INDEX(Departments!$B$2:$B$7,MATCH(Employees_Data[[#This Row],[Department]],Departments!$A$2:$A$7,0))</f>
        <v>D02</v>
      </c>
      <c r="Z237" s="14" t="str">
        <f>INDEX(Salary_Bands!$C$2:$C$5,MATCH(Employees_Data[[#This Row],[Salary]],Salary_Bands!$A$2:$A$5,1))</f>
        <v>Medium</v>
      </c>
    </row>
    <row r="238" spans="1:26" hidden="1" x14ac:dyDescent="0.3">
      <c r="A238" t="s">
        <v>537</v>
      </c>
      <c r="B238" t="s">
        <v>538</v>
      </c>
      <c r="C238" t="s">
        <v>22</v>
      </c>
      <c r="D238" s="12">
        <v>26</v>
      </c>
      <c r="E238" t="s">
        <v>87</v>
      </c>
      <c r="F238" t="s">
        <v>91</v>
      </c>
      <c r="G238" t="s">
        <v>35</v>
      </c>
      <c r="H238">
        <v>2</v>
      </c>
      <c r="I238" s="1">
        <v>43897</v>
      </c>
      <c r="J238" s="10">
        <v>90598</v>
      </c>
      <c r="K238" s="10">
        <v>8563</v>
      </c>
      <c r="L238">
        <v>1</v>
      </c>
      <c r="M238" t="s">
        <v>36</v>
      </c>
      <c r="N238" t="s">
        <v>58</v>
      </c>
      <c r="O238" t="s">
        <v>28</v>
      </c>
      <c r="P238" t="s">
        <v>28</v>
      </c>
      <c r="Q238">
        <v>14</v>
      </c>
      <c r="R238">
        <v>10</v>
      </c>
      <c r="S238">
        <v>7</v>
      </c>
      <c r="T238" t="s">
        <v>30</v>
      </c>
      <c r="U238" t="str">
        <f>IF(AND(Employees_Data[[#This Row],[Age]]&gt;=20,Employees_Data[[#This Row],[Age]]&lt;=30),"Young",IF(AND(Employees_Data[[#This Row],[Age]]&gt;=31,Employees_Data[[#This Row],[Age]]&lt;=40),"Mid-Age",IF(Employees_Data[[#This Row],[Age]]&gt;=41,"Senior")))</f>
        <v>Young</v>
      </c>
      <c r="V238" t="str">
        <f>IF(Employees_Data[[#This Row],[Salary]]&lt;=30000,"Low",IF(AND(Employees_Data[[#This Row],[Salary]]&gt;30000,Employees_Data[[#This Row],[Salary]]&lt;=60000),"Medium",IF(AND(Employees_Data[[#This Row],[Salary]]&gt;60000,Employees_Data[[#This Row],[Salary]]&lt;=90000),"High",IF(Employees_Data[[#This Row],[Salary]]&gt;90000,"Executive"))))</f>
        <v>Executive</v>
      </c>
      <c r="W23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238" s="14" t="str">
        <f>VLOOKUP(Employees_Data[[#This Row],[Department]],Departments!$A$2:$B$7,2,FALSE)</f>
        <v>D04</v>
      </c>
      <c r="Y238" s="14" t="str">
        <f>INDEX(Departments!$B$2:$B$7,MATCH(Employees_Data[[#This Row],[Department]],Departments!$A$2:$A$7,0))</f>
        <v>D04</v>
      </c>
      <c r="Z238" s="14" t="str">
        <f>INDEX(Salary_Bands!$C$2:$C$5,MATCH(Employees_Data[[#This Row],[Salary]],Salary_Bands!$A$2:$A$5,1))</f>
        <v>Executive</v>
      </c>
    </row>
    <row r="239" spans="1:26" hidden="1" x14ac:dyDescent="0.3">
      <c r="A239" t="s">
        <v>539</v>
      </c>
      <c r="B239" t="s">
        <v>540</v>
      </c>
      <c r="C239" t="s">
        <v>40</v>
      </c>
      <c r="D239" s="12">
        <v>27</v>
      </c>
      <c r="E239" t="s">
        <v>23</v>
      </c>
      <c r="F239" t="s">
        <v>24</v>
      </c>
      <c r="G239" t="s">
        <v>35</v>
      </c>
      <c r="H239">
        <v>3</v>
      </c>
      <c r="I239" s="1">
        <v>44463</v>
      </c>
      <c r="J239" s="10">
        <v>107710</v>
      </c>
      <c r="K239" s="10">
        <v>7524</v>
      </c>
      <c r="L239">
        <v>2</v>
      </c>
      <c r="M239" t="s">
        <v>52</v>
      </c>
      <c r="N239" t="s">
        <v>63</v>
      </c>
      <c r="O239" t="s">
        <v>28</v>
      </c>
      <c r="P239" t="s">
        <v>29</v>
      </c>
      <c r="Q239">
        <v>36</v>
      </c>
      <c r="R239">
        <v>2</v>
      </c>
      <c r="S239">
        <v>6</v>
      </c>
      <c r="T239" t="s">
        <v>43</v>
      </c>
      <c r="U239" t="str">
        <f>IF(AND(Employees_Data[[#This Row],[Age]]&gt;=20,Employees_Data[[#This Row],[Age]]&lt;=30),"Young",IF(AND(Employees_Data[[#This Row],[Age]]&gt;=31,Employees_Data[[#This Row],[Age]]&lt;=40),"Mid-Age",IF(Employees_Data[[#This Row],[Age]]&gt;=41,"Senior")))</f>
        <v>Young</v>
      </c>
      <c r="V239" t="str">
        <f>IF(Employees_Data[[#This Row],[Salary]]&lt;=30000,"Low",IF(AND(Employees_Data[[#This Row],[Salary]]&gt;30000,Employees_Data[[#This Row],[Salary]]&lt;=60000),"Medium",IF(AND(Employees_Data[[#This Row],[Salary]]&gt;60000,Employees_Data[[#This Row],[Salary]]&lt;=90000),"High",IF(Employees_Data[[#This Row],[Salary]]&gt;90000,"Executive"))))</f>
        <v>Executive</v>
      </c>
      <c r="W23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239" s="14" t="str">
        <f>VLOOKUP(Employees_Data[[#This Row],[Department]],Departments!$A$2:$B$7,2,FALSE)</f>
        <v>D06</v>
      </c>
      <c r="Y239" s="14" t="str">
        <f>INDEX(Departments!$B$2:$B$7,MATCH(Employees_Data[[#This Row],[Department]],Departments!$A$2:$A$7,0))</f>
        <v>D06</v>
      </c>
      <c r="Z239" s="14" t="str">
        <f>INDEX(Salary_Bands!$C$2:$C$5,MATCH(Employees_Data[[#This Row],[Salary]],Salary_Bands!$A$2:$A$5,1))</f>
        <v>Executive</v>
      </c>
    </row>
    <row r="240" spans="1:26" hidden="1" x14ac:dyDescent="0.3">
      <c r="A240" t="s">
        <v>541</v>
      </c>
      <c r="B240" t="s">
        <v>542</v>
      </c>
      <c r="C240" t="s">
        <v>22</v>
      </c>
      <c r="D240" s="12">
        <v>49</v>
      </c>
      <c r="E240" t="s">
        <v>61</v>
      </c>
      <c r="F240" t="s">
        <v>66</v>
      </c>
      <c r="G240" t="s">
        <v>51</v>
      </c>
      <c r="H240">
        <v>23</v>
      </c>
      <c r="I240" s="1">
        <v>44859</v>
      </c>
      <c r="J240" s="10">
        <v>77873</v>
      </c>
      <c r="K240" s="10">
        <v>2461</v>
      </c>
      <c r="L240">
        <v>4</v>
      </c>
      <c r="M240" t="s">
        <v>36</v>
      </c>
      <c r="N240" t="s">
        <v>63</v>
      </c>
      <c r="O240" t="s">
        <v>28</v>
      </c>
      <c r="P240" t="s">
        <v>29</v>
      </c>
      <c r="Q240">
        <v>6</v>
      </c>
      <c r="R240">
        <v>0</v>
      </c>
      <c r="S240">
        <v>8</v>
      </c>
      <c r="T240" t="s">
        <v>43</v>
      </c>
      <c r="U240" t="str">
        <f>IF(AND(Employees_Data[[#This Row],[Age]]&gt;=20,Employees_Data[[#This Row],[Age]]&lt;=30),"Young",IF(AND(Employees_Data[[#This Row],[Age]]&gt;=31,Employees_Data[[#This Row],[Age]]&lt;=40),"Mid-Age",IF(Employees_Data[[#This Row],[Age]]&gt;=41,"Senior")))</f>
        <v>Senior</v>
      </c>
      <c r="V240" t="str">
        <f>IF(Employees_Data[[#This Row],[Salary]]&lt;=30000,"Low",IF(AND(Employees_Data[[#This Row],[Salary]]&gt;30000,Employees_Data[[#This Row],[Salary]]&lt;=60000),"Medium",IF(AND(Employees_Data[[#This Row],[Salary]]&gt;60000,Employees_Data[[#This Row],[Salary]]&lt;=90000),"High",IF(Employees_Data[[#This Row],[Salary]]&gt;90000,"Executive"))))</f>
        <v>High</v>
      </c>
      <c r="W24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40" s="14" t="str">
        <f>VLOOKUP(Employees_Data[[#This Row],[Department]],Departments!$A$2:$B$7,2,FALSE)</f>
        <v>D02</v>
      </c>
      <c r="Y240" s="14" t="str">
        <f>INDEX(Departments!$B$2:$B$7,MATCH(Employees_Data[[#This Row],[Department]],Departments!$A$2:$A$7,0))</f>
        <v>D02</v>
      </c>
      <c r="Z240" s="14" t="str">
        <f>INDEX(Salary_Bands!$C$2:$C$5,MATCH(Employees_Data[[#This Row],[Salary]],Salary_Bands!$A$2:$A$5,1))</f>
        <v>High</v>
      </c>
    </row>
    <row r="241" spans="1:26" hidden="1" x14ac:dyDescent="0.3">
      <c r="A241" t="s">
        <v>543</v>
      </c>
      <c r="B241" t="s">
        <v>544</v>
      </c>
      <c r="C241" t="s">
        <v>22</v>
      </c>
      <c r="D241" s="12">
        <v>37</v>
      </c>
      <c r="E241" t="s">
        <v>23</v>
      </c>
      <c r="F241" t="s">
        <v>109</v>
      </c>
      <c r="G241" t="s">
        <v>80</v>
      </c>
      <c r="H241">
        <v>15</v>
      </c>
      <c r="I241" s="1">
        <v>44511</v>
      </c>
      <c r="J241" s="10">
        <v>65906</v>
      </c>
      <c r="K241" s="10">
        <v>3498</v>
      </c>
      <c r="L241">
        <v>2</v>
      </c>
      <c r="M241" t="s">
        <v>36</v>
      </c>
      <c r="N241" t="s">
        <v>37</v>
      </c>
      <c r="O241" t="s">
        <v>28</v>
      </c>
      <c r="P241" t="s">
        <v>28</v>
      </c>
      <c r="Q241">
        <v>51</v>
      </c>
      <c r="R241">
        <v>16</v>
      </c>
      <c r="S241">
        <v>2</v>
      </c>
      <c r="T241" t="s">
        <v>30</v>
      </c>
      <c r="U241" t="str">
        <f>IF(AND(Employees_Data[[#This Row],[Age]]&gt;=20,Employees_Data[[#This Row],[Age]]&lt;=30),"Young",IF(AND(Employees_Data[[#This Row],[Age]]&gt;=31,Employees_Data[[#This Row],[Age]]&lt;=40),"Mid-Age",IF(Employees_Data[[#This Row],[Age]]&gt;=41,"Senior")))</f>
        <v>Mid-Age</v>
      </c>
      <c r="V241" t="str">
        <f>IF(Employees_Data[[#This Row],[Salary]]&lt;=30000,"Low",IF(AND(Employees_Data[[#This Row],[Salary]]&gt;30000,Employees_Data[[#This Row],[Salary]]&lt;=60000),"Medium",IF(AND(Employees_Data[[#This Row],[Salary]]&gt;60000,Employees_Data[[#This Row],[Salary]]&lt;=90000),"High",IF(Employees_Data[[#This Row],[Salary]]&gt;90000,"Executive"))))</f>
        <v>High</v>
      </c>
      <c r="W24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41" s="14" t="str">
        <f>VLOOKUP(Employees_Data[[#This Row],[Department]],Departments!$A$2:$B$7,2,FALSE)</f>
        <v>D06</v>
      </c>
      <c r="Y241" s="14" t="str">
        <f>INDEX(Departments!$B$2:$B$7,MATCH(Employees_Data[[#This Row],[Department]],Departments!$A$2:$A$7,0))</f>
        <v>D06</v>
      </c>
      <c r="Z241" s="14" t="str">
        <f>INDEX(Salary_Bands!$C$2:$C$5,MATCH(Employees_Data[[#This Row],[Salary]],Salary_Bands!$A$2:$A$5,1))</f>
        <v>High</v>
      </c>
    </row>
    <row r="242" spans="1:26" hidden="1" x14ac:dyDescent="0.3">
      <c r="A242" t="s">
        <v>545</v>
      </c>
      <c r="B242" t="s">
        <v>546</v>
      </c>
      <c r="C242" t="s">
        <v>40</v>
      </c>
      <c r="D242" s="12">
        <v>43</v>
      </c>
      <c r="E242" t="s">
        <v>33</v>
      </c>
      <c r="F242" t="s">
        <v>34</v>
      </c>
      <c r="G242" t="s">
        <v>80</v>
      </c>
      <c r="H242">
        <v>19</v>
      </c>
      <c r="I242" s="1">
        <v>43649</v>
      </c>
      <c r="J242" s="10">
        <v>69922</v>
      </c>
      <c r="K242" s="10">
        <v>9484</v>
      </c>
      <c r="L242">
        <v>4</v>
      </c>
      <c r="M242" t="s">
        <v>26</v>
      </c>
      <c r="N242" t="s">
        <v>48</v>
      </c>
      <c r="O242" t="s">
        <v>28</v>
      </c>
      <c r="P242" t="s">
        <v>29</v>
      </c>
      <c r="Q242">
        <v>18</v>
      </c>
      <c r="R242">
        <v>0</v>
      </c>
      <c r="S242">
        <v>6</v>
      </c>
      <c r="T242" t="s">
        <v>43</v>
      </c>
      <c r="U242" t="str">
        <f>IF(AND(Employees_Data[[#This Row],[Age]]&gt;=20,Employees_Data[[#This Row],[Age]]&lt;=30),"Young",IF(AND(Employees_Data[[#This Row],[Age]]&gt;=31,Employees_Data[[#This Row],[Age]]&lt;=40),"Mid-Age",IF(Employees_Data[[#This Row],[Age]]&gt;=41,"Senior")))</f>
        <v>Senior</v>
      </c>
      <c r="V242" t="str">
        <f>IF(Employees_Data[[#This Row],[Salary]]&lt;=30000,"Low",IF(AND(Employees_Data[[#This Row],[Salary]]&gt;30000,Employees_Data[[#This Row],[Salary]]&lt;=60000),"Medium",IF(AND(Employees_Data[[#This Row],[Salary]]&gt;60000,Employees_Data[[#This Row],[Salary]]&lt;=90000),"High",IF(Employees_Data[[#This Row],[Salary]]&gt;90000,"Executive"))))</f>
        <v>High</v>
      </c>
      <c r="W24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42" s="14" t="str">
        <f>VLOOKUP(Employees_Data[[#This Row],[Department]],Departments!$A$2:$B$7,2,FALSE)</f>
        <v>D05</v>
      </c>
      <c r="Y242" s="14" t="str">
        <f>INDEX(Departments!$B$2:$B$7,MATCH(Employees_Data[[#This Row],[Department]],Departments!$A$2:$A$7,0))</f>
        <v>D05</v>
      </c>
      <c r="Z242" s="14" t="str">
        <f>INDEX(Salary_Bands!$C$2:$C$5,MATCH(Employees_Data[[#This Row],[Salary]],Salary_Bands!$A$2:$A$5,1))</f>
        <v>High</v>
      </c>
    </row>
    <row r="243" spans="1:26" hidden="1" x14ac:dyDescent="0.3">
      <c r="A243" t="s">
        <v>547</v>
      </c>
      <c r="B243" t="s">
        <v>548</v>
      </c>
      <c r="C243" t="s">
        <v>22</v>
      </c>
      <c r="D243" s="12">
        <v>32</v>
      </c>
      <c r="E243" t="s">
        <v>33</v>
      </c>
      <c r="F243" t="s">
        <v>34</v>
      </c>
      <c r="G243" t="s">
        <v>25</v>
      </c>
      <c r="H243">
        <v>11</v>
      </c>
      <c r="I243" s="1">
        <v>44602</v>
      </c>
      <c r="J243" s="10">
        <v>118206</v>
      </c>
      <c r="K243" s="10">
        <v>3571</v>
      </c>
      <c r="L243">
        <v>1</v>
      </c>
      <c r="M243" t="s">
        <v>52</v>
      </c>
      <c r="N243" t="s">
        <v>27</v>
      </c>
      <c r="O243" t="s">
        <v>28</v>
      </c>
      <c r="P243" t="s">
        <v>29</v>
      </c>
      <c r="Q243">
        <v>8</v>
      </c>
      <c r="R243">
        <v>3</v>
      </c>
      <c r="S243">
        <v>7</v>
      </c>
      <c r="T243" t="s">
        <v>30</v>
      </c>
      <c r="U243" t="str">
        <f>IF(AND(Employees_Data[[#This Row],[Age]]&gt;=20,Employees_Data[[#This Row],[Age]]&lt;=30),"Young",IF(AND(Employees_Data[[#This Row],[Age]]&gt;=31,Employees_Data[[#This Row],[Age]]&lt;=40),"Mid-Age",IF(Employees_Data[[#This Row],[Age]]&gt;=41,"Senior")))</f>
        <v>Mid-Age</v>
      </c>
      <c r="V243" t="str">
        <f>IF(Employees_Data[[#This Row],[Salary]]&lt;=30000,"Low",IF(AND(Employees_Data[[#This Row],[Salary]]&gt;30000,Employees_Data[[#This Row],[Salary]]&lt;=60000),"Medium",IF(AND(Employees_Data[[#This Row],[Salary]]&gt;60000,Employees_Data[[#This Row],[Salary]]&lt;=90000),"High",IF(Employees_Data[[#This Row],[Salary]]&gt;90000,"Executive"))))</f>
        <v>Executive</v>
      </c>
      <c r="W24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43" s="14" t="str">
        <f>VLOOKUP(Employees_Data[[#This Row],[Department]],Departments!$A$2:$B$7,2,FALSE)</f>
        <v>D05</v>
      </c>
      <c r="Y243" s="14" t="str">
        <f>INDEX(Departments!$B$2:$B$7,MATCH(Employees_Data[[#This Row],[Department]],Departments!$A$2:$A$7,0))</f>
        <v>D05</v>
      </c>
      <c r="Z243" s="14" t="str">
        <f>INDEX(Salary_Bands!$C$2:$C$5,MATCH(Employees_Data[[#This Row],[Salary]],Salary_Bands!$A$2:$A$5,1))</f>
        <v>Executive</v>
      </c>
    </row>
    <row r="244" spans="1:26" hidden="1" x14ac:dyDescent="0.3">
      <c r="A244" t="s">
        <v>549</v>
      </c>
      <c r="B244" t="s">
        <v>550</v>
      </c>
      <c r="C244" t="s">
        <v>22</v>
      </c>
      <c r="D244" s="12">
        <v>46</v>
      </c>
      <c r="E244" t="s">
        <v>87</v>
      </c>
      <c r="F244" t="s">
        <v>220</v>
      </c>
      <c r="G244" t="s">
        <v>51</v>
      </c>
      <c r="H244">
        <v>25</v>
      </c>
      <c r="I244" s="1">
        <v>45342</v>
      </c>
      <c r="J244" s="10">
        <v>58126</v>
      </c>
      <c r="K244" s="10">
        <v>15791</v>
      </c>
      <c r="L244">
        <v>4</v>
      </c>
      <c r="M244" t="s">
        <v>52</v>
      </c>
      <c r="N244" t="s">
        <v>27</v>
      </c>
      <c r="O244" t="s">
        <v>28</v>
      </c>
      <c r="P244" t="s">
        <v>28</v>
      </c>
      <c r="Q244">
        <v>44</v>
      </c>
      <c r="R244">
        <v>19</v>
      </c>
      <c r="S244">
        <v>3</v>
      </c>
      <c r="T244" t="s">
        <v>30</v>
      </c>
      <c r="U244" t="str">
        <f>IF(AND(Employees_Data[[#This Row],[Age]]&gt;=20,Employees_Data[[#This Row],[Age]]&lt;=30),"Young",IF(AND(Employees_Data[[#This Row],[Age]]&gt;=31,Employees_Data[[#This Row],[Age]]&lt;=40),"Mid-Age",IF(Employees_Data[[#This Row],[Age]]&gt;=41,"Senior")))</f>
        <v>Senior</v>
      </c>
      <c r="V244" t="str">
        <f>IF(Employees_Data[[#This Row],[Salary]]&lt;=30000,"Low",IF(AND(Employees_Data[[#This Row],[Salary]]&gt;30000,Employees_Data[[#This Row],[Salary]]&lt;=60000),"Medium",IF(AND(Employees_Data[[#This Row],[Salary]]&gt;60000,Employees_Data[[#This Row],[Salary]]&lt;=90000),"High",IF(Employees_Data[[#This Row],[Salary]]&gt;90000,"Executive"))))</f>
        <v>Medium</v>
      </c>
      <c r="W24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44" s="14" t="str">
        <f>VLOOKUP(Employees_Data[[#This Row],[Department]],Departments!$A$2:$B$7,2,FALSE)</f>
        <v>D04</v>
      </c>
      <c r="Y244" s="14" t="str">
        <f>INDEX(Departments!$B$2:$B$7,MATCH(Employees_Data[[#This Row],[Department]],Departments!$A$2:$A$7,0))</f>
        <v>D04</v>
      </c>
      <c r="Z244" s="14" t="str">
        <f>INDEX(Salary_Bands!$C$2:$C$5,MATCH(Employees_Data[[#This Row],[Salary]],Salary_Bands!$A$2:$A$5,1))</f>
        <v>Medium</v>
      </c>
    </row>
    <row r="245" spans="1:26" hidden="1" x14ac:dyDescent="0.3">
      <c r="A245" t="s">
        <v>551</v>
      </c>
      <c r="B245" t="s">
        <v>552</v>
      </c>
      <c r="C245" t="s">
        <v>40</v>
      </c>
      <c r="D245" s="12">
        <v>48</v>
      </c>
      <c r="E245" t="s">
        <v>23</v>
      </c>
      <c r="F245" t="s">
        <v>24</v>
      </c>
      <c r="G245" t="s">
        <v>35</v>
      </c>
      <c r="H245">
        <v>27</v>
      </c>
      <c r="I245" s="1">
        <v>45196</v>
      </c>
      <c r="J245" s="10">
        <v>119210</v>
      </c>
      <c r="K245" s="10">
        <v>21955</v>
      </c>
      <c r="L245">
        <v>5</v>
      </c>
      <c r="M245" t="s">
        <v>26</v>
      </c>
      <c r="N245" t="s">
        <v>63</v>
      </c>
      <c r="O245" t="s">
        <v>28</v>
      </c>
      <c r="P245" t="s">
        <v>28</v>
      </c>
      <c r="Q245">
        <v>58</v>
      </c>
      <c r="R245">
        <v>16</v>
      </c>
      <c r="S245">
        <v>2</v>
      </c>
      <c r="T245" t="s">
        <v>30</v>
      </c>
      <c r="U245" t="str">
        <f>IF(AND(Employees_Data[[#This Row],[Age]]&gt;=20,Employees_Data[[#This Row],[Age]]&lt;=30),"Young",IF(AND(Employees_Data[[#This Row],[Age]]&gt;=31,Employees_Data[[#This Row],[Age]]&lt;=40),"Mid-Age",IF(Employees_Data[[#This Row],[Age]]&gt;=41,"Senior")))</f>
        <v>Senior</v>
      </c>
      <c r="V245" t="str">
        <f>IF(Employees_Data[[#This Row],[Salary]]&lt;=30000,"Low",IF(AND(Employees_Data[[#This Row],[Salary]]&gt;30000,Employees_Data[[#This Row],[Salary]]&lt;=60000),"Medium",IF(AND(Employees_Data[[#This Row],[Salary]]&gt;60000,Employees_Data[[#This Row],[Salary]]&lt;=90000),"High",IF(Employees_Data[[#This Row],[Salary]]&gt;90000,"Executive"))))</f>
        <v>Executive</v>
      </c>
      <c r="W24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45" s="14" t="str">
        <f>VLOOKUP(Employees_Data[[#This Row],[Department]],Departments!$A$2:$B$7,2,FALSE)</f>
        <v>D06</v>
      </c>
      <c r="Y245" s="14" t="str">
        <f>INDEX(Departments!$B$2:$B$7,MATCH(Employees_Data[[#This Row],[Department]],Departments!$A$2:$A$7,0))</f>
        <v>D06</v>
      </c>
      <c r="Z245" s="14" t="str">
        <f>INDEX(Salary_Bands!$C$2:$C$5,MATCH(Employees_Data[[#This Row],[Salary]],Salary_Bands!$A$2:$A$5,1))</f>
        <v>Executive</v>
      </c>
    </row>
    <row r="246" spans="1:26" hidden="1" x14ac:dyDescent="0.3">
      <c r="A246" t="s">
        <v>553</v>
      </c>
      <c r="B246" t="s">
        <v>554</v>
      </c>
      <c r="C246" t="s">
        <v>40</v>
      </c>
      <c r="D246" s="12">
        <v>48</v>
      </c>
      <c r="E246" t="s">
        <v>61</v>
      </c>
      <c r="F246" t="s">
        <v>229</v>
      </c>
      <c r="G246" t="s">
        <v>51</v>
      </c>
      <c r="H246">
        <v>25</v>
      </c>
      <c r="I246" s="1">
        <v>43757</v>
      </c>
      <c r="J246" s="10">
        <v>30164</v>
      </c>
      <c r="K246" s="10">
        <v>9684</v>
      </c>
      <c r="L246">
        <v>5</v>
      </c>
      <c r="M246" t="s">
        <v>26</v>
      </c>
      <c r="N246" t="s">
        <v>27</v>
      </c>
      <c r="O246" t="s">
        <v>28</v>
      </c>
      <c r="P246" t="s">
        <v>29</v>
      </c>
      <c r="Q246">
        <v>12</v>
      </c>
      <c r="R246">
        <v>18</v>
      </c>
      <c r="S246">
        <v>8</v>
      </c>
      <c r="T246" t="s">
        <v>30</v>
      </c>
      <c r="U246" t="str">
        <f>IF(AND(Employees_Data[[#This Row],[Age]]&gt;=20,Employees_Data[[#This Row],[Age]]&lt;=30),"Young",IF(AND(Employees_Data[[#This Row],[Age]]&gt;=31,Employees_Data[[#This Row],[Age]]&lt;=40),"Mid-Age",IF(Employees_Data[[#This Row],[Age]]&gt;=41,"Senior")))</f>
        <v>Senior</v>
      </c>
      <c r="V246" t="str">
        <f>IF(Employees_Data[[#This Row],[Salary]]&lt;=30000,"Low",IF(AND(Employees_Data[[#This Row],[Salary]]&gt;30000,Employees_Data[[#This Row],[Salary]]&lt;=60000),"Medium",IF(AND(Employees_Data[[#This Row],[Salary]]&gt;60000,Employees_Data[[#This Row],[Salary]]&lt;=90000),"High",IF(Employees_Data[[#This Row],[Salary]]&gt;90000,"Executive"))))</f>
        <v>Medium</v>
      </c>
      <c r="W24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46" s="14" t="str">
        <f>VLOOKUP(Employees_Data[[#This Row],[Department]],Departments!$A$2:$B$7,2,FALSE)</f>
        <v>D02</v>
      </c>
      <c r="Y246" s="14" t="str">
        <f>INDEX(Departments!$B$2:$B$7,MATCH(Employees_Data[[#This Row],[Department]],Departments!$A$2:$A$7,0))</f>
        <v>D02</v>
      </c>
      <c r="Z246" s="14" t="str">
        <f>INDEX(Salary_Bands!$C$2:$C$5,MATCH(Employees_Data[[#This Row],[Salary]],Salary_Bands!$A$2:$A$5,1))</f>
        <v>Medium</v>
      </c>
    </row>
    <row r="247" spans="1:26" hidden="1" x14ac:dyDescent="0.3">
      <c r="A247" t="s">
        <v>555</v>
      </c>
      <c r="B247" t="s">
        <v>556</v>
      </c>
      <c r="C247" t="s">
        <v>40</v>
      </c>
      <c r="D247" s="12">
        <v>31</v>
      </c>
      <c r="E247" t="s">
        <v>23</v>
      </c>
      <c r="F247" t="s">
        <v>100</v>
      </c>
      <c r="G247" t="s">
        <v>51</v>
      </c>
      <c r="H247">
        <v>10</v>
      </c>
      <c r="I247" s="1">
        <v>45196</v>
      </c>
      <c r="J247" s="10">
        <v>34836</v>
      </c>
      <c r="K247" s="10">
        <v>17213</v>
      </c>
      <c r="L247">
        <v>1</v>
      </c>
      <c r="M247" t="s">
        <v>26</v>
      </c>
      <c r="N247" t="s">
        <v>27</v>
      </c>
      <c r="O247" t="s">
        <v>28</v>
      </c>
      <c r="P247" t="s">
        <v>29</v>
      </c>
      <c r="Q247">
        <v>60</v>
      </c>
      <c r="R247">
        <v>1</v>
      </c>
      <c r="S247">
        <v>5</v>
      </c>
      <c r="T247" t="s">
        <v>30</v>
      </c>
      <c r="U247" t="str">
        <f>IF(AND(Employees_Data[[#This Row],[Age]]&gt;=20,Employees_Data[[#This Row],[Age]]&lt;=30),"Young",IF(AND(Employees_Data[[#This Row],[Age]]&gt;=31,Employees_Data[[#This Row],[Age]]&lt;=40),"Mid-Age",IF(Employees_Data[[#This Row],[Age]]&gt;=41,"Senior")))</f>
        <v>Mid-Age</v>
      </c>
      <c r="V247" t="str">
        <f>IF(Employees_Data[[#This Row],[Salary]]&lt;=30000,"Low",IF(AND(Employees_Data[[#This Row],[Salary]]&gt;30000,Employees_Data[[#This Row],[Salary]]&lt;=60000),"Medium",IF(AND(Employees_Data[[#This Row],[Salary]]&gt;60000,Employees_Data[[#This Row],[Salary]]&lt;=90000),"High",IF(Employees_Data[[#This Row],[Salary]]&gt;90000,"Executive"))))</f>
        <v>Medium</v>
      </c>
      <c r="W24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247" s="14" t="str">
        <f>VLOOKUP(Employees_Data[[#This Row],[Department]],Departments!$A$2:$B$7,2,FALSE)</f>
        <v>D06</v>
      </c>
      <c r="Y247" s="14" t="str">
        <f>INDEX(Departments!$B$2:$B$7,MATCH(Employees_Data[[#This Row],[Department]],Departments!$A$2:$A$7,0))</f>
        <v>D06</v>
      </c>
      <c r="Z247" s="14" t="str">
        <f>INDEX(Salary_Bands!$C$2:$C$5,MATCH(Employees_Data[[#This Row],[Salary]],Salary_Bands!$A$2:$A$5,1))</f>
        <v>Medium</v>
      </c>
    </row>
    <row r="248" spans="1:26" hidden="1" x14ac:dyDescent="0.3">
      <c r="A248" t="s">
        <v>557</v>
      </c>
      <c r="B248" t="s">
        <v>558</v>
      </c>
      <c r="C248" t="s">
        <v>22</v>
      </c>
      <c r="D248" s="12">
        <v>42</v>
      </c>
      <c r="E248" t="s">
        <v>41</v>
      </c>
      <c r="F248" t="s">
        <v>232</v>
      </c>
      <c r="G248" t="s">
        <v>51</v>
      </c>
      <c r="H248">
        <v>18</v>
      </c>
      <c r="I248" s="1">
        <v>43575</v>
      </c>
      <c r="J248" s="10">
        <v>37451</v>
      </c>
      <c r="K248" s="10">
        <v>13715</v>
      </c>
      <c r="L248">
        <v>1</v>
      </c>
      <c r="M248" t="s">
        <v>36</v>
      </c>
      <c r="N248" t="s">
        <v>53</v>
      </c>
      <c r="O248" t="s">
        <v>28</v>
      </c>
      <c r="P248" t="s">
        <v>28</v>
      </c>
      <c r="Q248">
        <v>51</v>
      </c>
      <c r="R248">
        <v>2</v>
      </c>
      <c r="S248">
        <v>1</v>
      </c>
      <c r="T248" t="s">
        <v>30</v>
      </c>
      <c r="U248" t="str">
        <f>IF(AND(Employees_Data[[#This Row],[Age]]&gt;=20,Employees_Data[[#This Row],[Age]]&lt;=30),"Young",IF(AND(Employees_Data[[#This Row],[Age]]&gt;=31,Employees_Data[[#This Row],[Age]]&lt;=40),"Mid-Age",IF(Employees_Data[[#This Row],[Age]]&gt;=41,"Senior")))</f>
        <v>Senior</v>
      </c>
      <c r="V248" t="str">
        <f>IF(Employees_Data[[#This Row],[Salary]]&lt;=30000,"Low",IF(AND(Employees_Data[[#This Row],[Salary]]&gt;30000,Employees_Data[[#This Row],[Salary]]&lt;=60000),"Medium",IF(AND(Employees_Data[[#This Row],[Salary]]&gt;60000,Employees_Data[[#This Row],[Salary]]&lt;=90000),"High",IF(Employees_Data[[#This Row],[Salary]]&gt;90000,"Executive"))))</f>
        <v>Medium</v>
      </c>
      <c r="W24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48" s="14" t="str">
        <f>VLOOKUP(Employees_Data[[#This Row],[Department]],Departments!$A$2:$B$7,2,FALSE)</f>
        <v>D03</v>
      </c>
      <c r="Y248" s="14" t="str">
        <f>INDEX(Departments!$B$2:$B$7,MATCH(Employees_Data[[#This Row],[Department]],Departments!$A$2:$A$7,0))</f>
        <v>D03</v>
      </c>
      <c r="Z248" s="14" t="str">
        <f>INDEX(Salary_Bands!$C$2:$C$5,MATCH(Employees_Data[[#This Row],[Salary]],Salary_Bands!$A$2:$A$5,1))</f>
        <v>Medium</v>
      </c>
    </row>
    <row r="249" spans="1:26" hidden="1" x14ac:dyDescent="0.3">
      <c r="A249" t="s">
        <v>559</v>
      </c>
      <c r="B249" t="s">
        <v>560</v>
      </c>
      <c r="C249" t="s">
        <v>40</v>
      </c>
      <c r="D249" s="12">
        <v>33</v>
      </c>
      <c r="E249" t="s">
        <v>41</v>
      </c>
      <c r="F249" t="s">
        <v>232</v>
      </c>
      <c r="G249" t="s">
        <v>47</v>
      </c>
      <c r="H249">
        <v>12</v>
      </c>
      <c r="I249" s="1">
        <v>44742</v>
      </c>
      <c r="J249" s="10">
        <v>77461</v>
      </c>
      <c r="K249" s="10">
        <v>23261</v>
      </c>
      <c r="L249">
        <v>4</v>
      </c>
      <c r="M249" t="s">
        <v>26</v>
      </c>
      <c r="N249" t="s">
        <v>27</v>
      </c>
      <c r="O249" t="s">
        <v>28</v>
      </c>
      <c r="P249" t="s">
        <v>29</v>
      </c>
      <c r="Q249">
        <v>49</v>
      </c>
      <c r="R249">
        <v>1</v>
      </c>
      <c r="S249">
        <v>5</v>
      </c>
      <c r="T249" t="s">
        <v>30</v>
      </c>
      <c r="U249" t="str">
        <f>IF(AND(Employees_Data[[#This Row],[Age]]&gt;=20,Employees_Data[[#This Row],[Age]]&lt;=30),"Young",IF(AND(Employees_Data[[#This Row],[Age]]&gt;=31,Employees_Data[[#This Row],[Age]]&lt;=40),"Mid-Age",IF(Employees_Data[[#This Row],[Age]]&gt;=41,"Senior")))</f>
        <v>Mid-Age</v>
      </c>
      <c r="V249" t="str">
        <f>IF(Employees_Data[[#This Row],[Salary]]&lt;=30000,"Low",IF(AND(Employees_Data[[#This Row],[Salary]]&gt;30000,Employees_Data[[#This Row],[Salary]]&lt;=60000),"Medium",IF(AND(Employees_Data[[#This Row],[Salary]]&gt;60000,Employees_Data[[#This Row],[Salary]]&lt;=90000),"High",IF(Employees_Data[[#This Row],[Salary]]&gt;90000,"Executive"))))</f>
        <v>High</v>
      </c>
      <c r="W24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49" s="14" t="str">
        <f>VLOOKUP(Employees_Data[[#This Row],[Department]],Departments!$A$2:$B$7,2,FALSE)</f>
        <v>D03</v>
      </c>
      <c r="Y249" s="14" t="str">
        <f>INDEX(Departments!$B$2:$B$7,MATCH(Employees_Data[[#This Row],[Department]],Departments!$A$2:$A$7,0))</f>
        <v>D03</v>
      </c>
      <c r="Z249" s="14" t="str">
        <f>INDEX(Salary_Bands!$C$2:$C$5,MATCH(Employees_Data[[#This Row],[Salary]],Salary_Bands!$A$2:$A$5,1))</f>
        <v>High</v>
      </c>
    </row>
    <row r="250" spans="1:26" hidden="1" x14ac:dyDescent="0.3">
      <c r="A250" t="s">
        <v>561</v>
      </c>
      <c r="B250" t="s">
        <v>562</v>
      </c>
      <c r="C250" t="s">
        <v>40</v>
      </c>
      <c r="D250" s="12">
        <v>48</v>
      </c>
      <c r="E250" t="s">
        <v>61</v>
      </c>
      <c r="F250" t="s">
        <v>62</v>
      </c>
      <c r="G250" t="s">
        <v>25</v>
      </c>
      <c r="H250">
        <v>23</v>
      </c>
      <c r="I250" s="1">
        <v>45078</v>
      </c>
      <c r="J250" s="10">
        <v>130154</v>
      </c>
      <c r="K250" s="10">
        <v>2944</v>
      </c>
      <c r="L250">
        <v>5</v>
      </c>
      <c r="M250" t="s">
        <v>52</v>
      </c>
      <c r="N250" t="s">
        <v>63</v>
      </c>
      <c r="O250" t="s">
        <v>28</v>
      </c>
      <c r="P250" t="s">
        <v>29</v>
      </c>
      <c r="Q250">
        <v>35</v>
      </c>
      <c r="R250">
        <v>15</v>
      </c>
      <c r="S250">
        <v>8</v>
      </c>
      <c r="T250" t="s">
        <v>30</v>
      </c>
      <c r="U250" t="str">
        <f>IF(AND(Employees_Data[[#This Row],[Age]]&gt;=20,Employees_Data[[#This Row],[Age]]&lt;=30),"Young",IF(AND(Employees_Data[[#This Row],[Age]]&gt;=31,Employees_Data[[#This Row],[Age]]&lt;=40),"Mid-Age",IF(Employees_Data[[#This Row],[Age]]&gt;=41,"Senior")))</f>
        <v>Senior</v>
      </c>
      <c r="V250" t="str">
        <f>IF(Employees_Data[[#This Row],[Salary]]&lt;=30000,"Low",IF(AND(Employees_Data[[#This Row],[Salary]]&gt;30000,Employees_Data[[#This Row],[Salary]]&lt;=60000),"Medium",IF(AND(Employees_Data[[#This Row],[Salary]]&gt;60000,Employees_Data[[#This Row],[Salary]]&lt;=90000),"High",IF(Employees_Data[[#This Row],[Salary]]&gt;90000,"Executive"))))</f>
        <v>Executive</v>
      </c>
      <c r="W25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50" s="14" t="str">
        <f>VLOOKUP(Employees_Data[[#This Row],[Department]],Departments!$A$2:$B$7,2,FALSE)</f>
        <v>D02</v>
      </c>
      <c r="Y250" s="14" t="str">
        <f>INDEX(Departments!$B$2:$B$7,MATCH(Employees_Data[[#This Row],[Department]],Departments!$A$2:$A$7,0))</f>
        <v>D02</v>
      </c>
      <c r="Z250" s="14" t="str">
        <f>INDEX(Salary_Bands!$C$2:$C$5,MATCH(Employees_Data[[#This Row],[Salary]],Salary_Bands!$A$2:$A$5,1))</f>
        <v>Executive</v>
      </c>
    </row>
    <row r="251" spans="1:26" hidden="1" x14ac:dyDescent="0.3">
      <c r="A251" t="s">
        <v>563</v>
      </c>
      <c r="B251" t="s">
        <v>564</v>
      </c>
      <c r="C251" t="s">
        <v>22</v>
      </c>
      <c r="D251" s="12">
        <v>50</v>
      </c>
      <c r="E251" t="s">
        <v>56</v>
      </c>
      <c r="F251" t="s">
        <v>125</v>
      </c>
      <c r="G251" t="s">
        <v>51</v>
      </c>
      <c r="H251">
        <v>29</v>
      </c>
      <c r="I251" s="1">
        <v>43360</v>
      </c>
      <c r="J251" s="10">
        <v>59290</v>
      </c>
      <c r="K251" s="10">
        <v>19009</v>
      </c>
      <c r="L251">
        <v>3</v>
      </c>
      <c r="M251" t="s">
        <v>52</v>
      </c>
      <c r="N251" t="s">
        <v>48</v>
      </c>
      <c r="O251" t="s">
        <v>28</v>
      </c>
      <c r="P251" t="s">
        <v>29</v>
      </c>
      <c r="Q251">
        <v>32</v>
      </c>
      <c r="R251">
        <v>7</v>
      </c>
      <c r="S251">
        <v>1</v>
      </c>
      <c r="T251" t="s">
        <v>30</v>
      </c>
      <c r="U251" t="str">
        <f>IF(AND(Employees_Data[[#This Row],[Age]]&gt;=20,Employees_Data[[#This Row],[Age]]&lt;=30),"Young",IF(AND(Employees_Data[[#This Row],[Age]]&gt;=31,Employees_Data[[#This Row],[Age]]&lt;=40),"Mid-Age",IF(Employees_Data[[#This Row],[Age]]&gt;=41,"Senior")))</f>
        <v>Senior</v>
      </c>
      <c r="V251" t="str">
        <f>IF(Employees_Data[[#This Row],[Salary]]&lt;=30000,"Low",IF(AND(Employees_Data[[#This Row],[Salary]]&gt;30000,Employees_Data[[#This Row],[Salary]]&lt;=60000),"Medium",IF(AND(Employees_Data[[#This Row],[Salary]]&gt;60000,Employees_Data[[#This Row],[Salary]]&lt;=90000),"High",IF(Employees_Data[[#This Row],[Salary]]&gt;90000,"Executive"))))</f>
        <v>Medium</v>
      </c>
      <c r="W25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51" s="14" t="str">
        <f>VLOOKUP(Employees_Data[[#This Row],[Department]],Departments!$A$2:$B$7,2,FALSE)</f>
        <v>D01</v>
      </c>
      <c r="Y251" s="14" t="str">
        <f>INDEX(Departments!$B$2:$B$7,MATCH(Employees_Data[[#This Row],[Department]],Departments!$A$2:$A$7,0))</f>
        <v>D01</v>
      </c>
      <c r="Z251" s="14" t="str">
        <f>INDEX(Salary_Bands!$C$2:$C$5,MATCH(Employees_Data[[#This Row],[Salary]],Salary_Bands!$A$2:$A$5,1))</f>
        <v>Medium</v>
      </c>
    </row>
    <row r="252" spans="1:26" x14ac:dyDescent="0.3">
      <c r="A252" t="s">
        <v>565</v>
      </c>
      <c r="B252" t="s">
        <v>566</v>
      </c>
      <c r="C252" t="s">
        <v>40</v>
      </c>
      <c r="D252" s="12">
        <v>46</v>
      </c>
      <c r="E252" t="s">
        <v>87</v>
      </c>
      <c r="F252" t="s">
        <v>220</v>
      </c>
      <c r="G252" t="s">
        <v>47</v>
      </c>
      <c r="H252">
        <v>24</v>
      </c>
      <c r="I252" s="1">
        <v>45387</v>
      </c>
      <c r="J252" s="10">
        <v>141924</v>
      </c>
      <c r="K252" s="10">
        <v>7419</v>
      </c>
      <c r="L252">
        <v>5</v>
      </c>
      <c r="M252" t="s">
        <v>26</v>
      </c>
      <c r="N252" t="s">
        <v>63</v>
      </c>
      <c r="O252" s="5" t="s">
        <v>29</v>
      </c>
      <c r="P252" t="s">
        <v>28</v>
      </c>
      <c r="Q252">
        <v>25</v>
      </c>
      <c r="R252">
        <v>7</v>
      </c>
      <c r="S252">
        <v>1</v>
      </c>
      <c r="T252" t="s">
        <v>30</v>
      </c>
      <c r="U252" t="str">
        <f>IF(AND(Employees_Data[[#This Row],[Age]]&gt;=20,Employees_Data[[#This Row],[Age]]&lt;=30),"Young",IF(AND(Employees_Data[[#This Row],[Age]]&gt;=31,Employees_Data[[#This Row],[Age]]&lt;=40),"Mid-Age",IF(Employees_Data[[#This Row],[Age]]&gt;=41,"Senior")))</f>
        <v>Senior</v>
      </c>
      <c r="V252" t="str">
        <f>IF(Employees_Data[[#This Row],[Salary]]&lt;=30000,"Low",IF(AND(Employees_Data[[#This Row],[Salary]]&gt;30000,Employees_Data[[#This Row],[Salary]]&lt;=60000),"Medium",IF(AND(Employees_Data[[#This Row],[Salary]]&gt;60000,Employees_Data[[#This Row],[Salary]]&lt;=90000),"High",IF(Employees_Data[[#This Row],[Salary]]&gt;90000,"Executive"))))</f>
        <v>Executive</v>
      </c>
      <c r="W25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52" s="14" t="str">
        <f>VLOOKUP(Employees_Data[[#This Row],[Department]],Departments!$A$2:$B$7,2,FALSE)</f>
        <v>D04</v>
      </c>
      <c r="Y252" s="14" t="str">
        <f>INDEX(Departments!$B$2:$B$7,MATCH(Employees_Data[[#This Row],[Department]],Departments!$A$2:$A$7,0))</f>
        <v>D04</v>
      </c>
      <c r="Z252" s="14" t="str">
        <f>INDEX(Salary_Bands!$C$2:$C$5,MATCH(Employees_Data[[#This Row],[Salary]],Salary_Bands!$A$2:$A$5,1))</f>
        <v>Executive</v>
      </c>
    </row>
    <row r="253" spans="1:26" hidden="1" x14ac:dyDescent="0.3">
      <c r="A253" t="s">
        <v>567</v>
      </c>
      <c r="B253" t="s">
        <v>568</v>
      </c>
      <c r="C253" t="s">
        <v>40</v>
      </c>
      <c r="D253" s="12">
        <v>25</v>
      </c>
      <c r="E253" t="s">
        <v>41</v>
      </c>
      <c r="F253" t="s">
        <v>232</v>
      </c>
      <c r="G253" t="s">
        <v>25</v>
      </c>
      <c r="H253">
        <v>0</v>
      </c>
      <c r="I253" s="1">
        <v>44013</v>
      </c>
      <c r="J253" s="10">
        <v>97154</v>
      </c>
      <c r="K253" s="10">
        <v>16683</v>
      </c>
      <c r="L253">
        <v>4</v>
      </c>
      <c r="M253" t="s">
        <v>26</v>
      </c>
      <c r="N253" t="s">
        <v>63</v>
      </c>
      <c r="O253" t="s">
        <v>28</v>
      </c>
      <c r="P253" t="s">
        <v>28</v>
      </c>
      <c r="Q253">
        <v>33</v>
      </c>
      <c r="R253">
        <v>10</v>
      </c>
      <c r="S253">
        <v>7</v>
      </c>
      <c r="T253" t="s">
        <v>43</v>
      </c>
      <c r="U253" t="str">
        <f>IF(AND(Employees_Data[[#This Row],[Age]]&gt;=20,Employees_Data[[#This Row],[Age]]&lt;=30),"Young",IF(AND(Employees_Data[[#This Row],[Age]]&gt;=31,Employees_Data[[#This Row],[Age]]&lt;=40),"Mid-Age",IF(Employees_Data[[#This Row],[Age]]&gt;=41,"Senior")))</f>
        <v>Young</v>
      </c>
      <c r="V253" t="str">
        <f>IF(Employees_Data[[#This Row],[Salary]]&lt;=30000,"Low",IF(AND(Employees_Data[[#This Row],[Salary]]&gt;30000,Employees_Data[[#This Row],[Salary]]&lt;=60000),"Medium",IF(AND(Employees_Data[[#This Row],[Salary]]&gt;60000,Employees_Data[[#This Row],[Salary]]&lt;=90000),"High",IF(Employees_Data[[#This Row],[Salary]]&gt;90000,"Executive"))))</f>
        <v>Executive</v>
      </c>
      <c r="W25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253" s="14" t="str">
        <f>VLOOKUP(Employees_Data[[#This Row],[Department]],Departments!$A$2:$B$7,2,FALSE)</f>
        <v>D03</v>
      </c>
      <c r="Y253" s="14" t="str">
        <f>INDEX(Departments!$B$2:$B$7,MATCH(Employees_Data[[#This Row],[Department]],Departments!$A$2:$A$7,0))</f>
        <v>D03</v>
      </c>
      <c r="Z253" s="14" t="str">
        <f>INDEX(Salary_Bands!$C$2:$C$5,MATCH(Employees_Data[[#This Row],[Salary]],Salary_Bands!$A$2:$A$5,1))</f>
        <v>Executive</v>
      </c>
    </row>
    <row r="254" spans="1:26" hidden="1" x14ac:dyDescent="0.3">
      <c r="A254" t="s">
        <v>569</v>
      </c>
      <c r="B254" t="s">
        <v>570</v>
      </c>
      <c r="C254" t="s">
        <v>40</v>
      </c>
      <c r="D254" s="12">
        <v>23</v>
      </c>
      <c r="E254" t="s">
        <v>56</v>
      </c>
      <c r="F254" t="s">
        <v>125</v>
      </c>
      <c r="G254" t="s">
        <v>25</v>
      </c>
      <c r="H254">
        <v>2</v>
      </c>
      <c r="I254" s="1">
        <v>44753</v>
      </c>
      <c r="J254" s="10">
        <v>79046</v>
      </c>
      <c r="K254" s="10">
        <v>20426</v>
      </c>
      <c r="L254">
        <v>1</v>
      </c>
      <c r="M254" t="s">
        <v>26</v>
      </c>
      <c r="N254" t="s">
        <v>48</v>
      </c>
      <c r="O254" t="s">
        <v>28</v>
      </c>
      <c r="P254" t="s">
        <v>28</v>
      </c>
      <c r="Q254">
        <v>26</v>
      </c>
      <c r="R254">
        <v>11</v>
      </c>
      <c r="S254">
        <v>9</v>
      </c>
      <c r="T254" t="s">
        <v>30</v>
      </c>
      <c r="U254" t="str">
        <f>IF(AND(Employees_Data[[#This Row],[Age]]&gt;=20,Employees_Data[[#This Row],[Age]]&lt;=30),"Young",IF(AND(Employees_Data[[#This Row],[Age]]&gt;=31,Employees_Data[[#This Row],[Age]]&lt;=40),"Mid-Age",IF(Employees_Data[[#This Row],[Age]]&gt;=41,"Senior")))</f>
        <v>Young</v>
      </c>
      <c r="V254" t="str">
        <f>IF(Employees_Data[[#This Row],[Salary]]&lt;=30000,"Low",IF(AND(Employees_Data[[#This Row],[Salary]]&gt;30000,Employees_Data[[#This Row],[Salary]]&lt;=60000),"Medium",IF(AND(Employees_Data[[#This Row],[Salary]]&gt;60000,Employees_Data[[#This Row],[Salary]]&lt;=90000),"High",IF(Employees_Data[[#This Row],[Salary]]&gt;90000,"Executive"))))</f>
        <v>High</v>
      </c>
      <c r="W25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254" s="14" t="str">
        <f>VLOOKUP(Employees_Data[[#This Row],[Department]],Departments!$A$2:$B$7,2,FALSE)</f>
        <v>D01</v>
      </c>
      <c r="Y254" s="14" t="str">
        <f>INDEX(Departments!$B$2:$B$7,MATCH(Employees_Data[[#This Row],[Department]],Departments!$A$2:$A$7,0))</f>
        <v>D01</v>
      </c>
      <c r="Z254" s="14" t="str">
        <f>INDEX(Salary_Bands!$C$2:$C$5,MATCH(Employees_Data[[#This Row],[Salary]],Salary_Bands!$A$2:$A$5,1))</f>
        <v>High</v>
      </c>
    </row>
    <row r="255" spans="1:26" hidden="1" x14ac:dyDescent="0.3">
      <c r="A255" t="s">
        <v>571</v>
      </c>
      <c r="B255" t="s">
        <v>572</v>
      </c>
      <c r="C255" t="s">
        <v>40</v>
      </c>
      <c r="D255" s="12">
        <v>51</v>
      </c>
      <c r="E255" t="s">
        <v>56</v>
      </c>
      <c r="F255" t="s">
        <v>57</v>
      </c>
      <c r="G255" t="s">
        <v>80</v>
      </c>
      <c r="H255">
        <v>28</v>
      </c>
      <c r="I255" s="1">
        <v>45395</v>
      </c>
      <c r="J255" s="10">
        <v>125586</v>
      </c>
      <c r="K255" s="10">
        <v>5192</v>
      </c>
      <c r="L255">
        <v>5</v>
      </c>
      <c r="M255" t="s">
        <v>52</v>
      </c>
      <c r="N255" t="s">
        <v>76</v>
      </c>
      <c r="O255" t="s">
        <v>28</v>
      </c>
      <c r="P255" t="s">
        <v>29</v>
      </c>
      <c r="Q255">
        <v>26</v>
      </c>
      <c r="R255">
        <v>11</v>
      </c>
      <c r="S255">
        <v>10</v>
      </c>
      <c r="T255" t="s">
        <v>30</v>
      </c>
      <c r="U255" t="str">
        <f>IF(AND(Employees_Data[[#This Row],[Age]]&gt;=20,Employees_Data[[#This Row],[Age]]&lt;=30),"Young",IF(AND(Employees_Data[[#This Row],[Age]]&gt;=31,Employees_Data[[#This Row],[Age]]&lt;=40),"Mid-Age",IF(Employees_Data[[#This Row],[Age]]&gt;=41,"Senior")))</f>
        <v>Senior</v>
      </c>
      <c r="V255" t="str">
        <f>IF(Employees_Data[[#This Row],[Salary]]&lt;=30000,"Low",IF(AND(Employees_Data[[#This Row],[Salary]]&gt;30000,Employees_Data[[#This Row],[Salary]]&lt;=60000),"Medium",IF(AND(Employees_Data[[#This Row],[Salary]]&gt;60000,Employees_Data[[#This Row],[Salary]]&lt;=90000),"High",IF(Employees_Data[[#This Row],[Salary]]&gt;90000,"Executive"))))</f>
        <v>Executive</v>
      </c>
      <c r="W25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55" s="14" t="str">
        <f>VLOOKUP(Employees_Data[[#This Row],[Department]],Departments!$A$2:$B$7,2,FALSE)</f>
        <v>D01</v>
      </c>
      <c r="Y255" s="14" t="str">
        <f>INDEX(Departments!$B$2:$B$7,MATCH(Employees_Data[[#This Row],[Department]],Departments!$A$2:$A$7,0))</f>
        <v>D01</v>
      </c>
      <c r="Z255" s="14" t="str">
        <f>INDEX(Salary_Bands!$C$2:$C$5,MATCH(Employees_Data[[#This Row],[Salary]],Salary_Bands!$A$2:$A$5,1))</f>
        <v>Executive</v>
      </c>
    </row>
    <row r="256" spans="1:26" x14ac:dyDescent="0.3">
      <c r="A256" t="s">
        <v>573</v>
      </c>
      <c r="B256" t="s">
        <v>574</v>
      </c>
      <c r="C256" t="s">
        <v>40</v>
      </c>
      <c r="D256" s="12">
        <v>55</v>
      </c>
      <c r="E256" t="s">
        <v>23</v>
      </c>
      <c r="F256" t="s">
        <v>100</v>
      </c>
      <c r="G256" t="s">
        <v>80</v>
      </c>
      <c r="H256">
        <v>32</v>
      </c>
      <c r="I256" s="1">
        <v>43536</v>
      </c>
      <c r="J256" s="10">
        <v>31000</v>
      </c>
      <c r="K256" s="10">
        <v>10332</v>
      </c>
      <c r="L256">
        <v>2</v>
      </c>
      <c r="M256" t="s">
        <v>52</v>
      </c>
      <c r="N256" t="s">
        <v>76</v>
      </c>
      <c r="O256" s="5" t="s">
        <v>29</v>
      </c>
      <c r="P256" t="s">
        <v>29</v>
      </c>
      <c r="Q256">
        <v>12</v>
      </c>
      <c r="R256">
        <v>12</v>
      </c>
      <c r="S256">
        <v>8</v>
      </c>
      <c r="T256" t="s">
        <v>30</v>
      </c>
      <c r="U256" t="str">
        <f>IF(AND(Employees_Data[[#This Row],[Age]]&gt;=20,Employees_Data[[#This Row],[Age]]&lt;=30),"Young",IF(AND(Employees_Data[[#This Row],[Age]]&gt;=31,Employees_Data[[#This Row],[Age]]&lt;=40),"Mid-Age",IF(Employees_Data[[#This Row],[Age]]&gt;=41,"Senior")))</f>
        <v>Senior</v>
      </c>
      <c r="V256" t="str">
        <f>IF(Employees_Data[[#This Row],[Salary]]&lt;=30000,"Low",IF(AND(Employees_Data[[#This Row],[Salary]]&gt;30000,Employees_Data[[#This Row],[Salary]]&lt;=60000),"Medium",IF(AND(Employees_Data[[#This Row],[Salary]]&gt;60000,Employees_Data[[#This Row],[Salary]]&lt;=90000),"High",IF(Employees_Data[[#This Row],[Salary]]&gt;90000,"Executive"))))</f>
        <v>Medium</v>
      </c>
      <c r="W25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56" s="14" t="str">
        <f>VLOOKUP(Employees_Data[[#This Row],[Department]],Departments!$A$2:$B$7,2,FALSE)</f>
        <v>D06</v>
      </c>
      <c r="Y256" s="14" t="str">
        <f>INDEX(Departments!$B$2:$B$7,MATCH(Employees_Data[[#This Row],[Department]],Departments!$A$2:$A$7,0))</f>
        <v>D06</v>
      </c>
      <c r="Z256" s="14" t="str">
        <f>INDEX(Salary_Bands!$C$2:$C$5,MATCH(Employees_Data[[#This Row],[Salary]],Salary_Bands!$A$2:$A$5,1))</f>
        <v>Medium</v>
      </c>
    </row>
    <row r="257" spans="1:26" hidden="1" x14ac:dyDescent="0.3">
      <c r="A257" t="s">
        <v>575</v>
      </c>
      <c r="B257" t="s">
        <v>576</v>
      </c>
      <c r="C257" t="s">
        <v>22</v>
      </c>
      <c r="D257" s="12">
        <v>34</v>
      </c>
      <c r="E257" t="s">
        <v>61</v>
      </c>
      <c r="F257" t="s">
        <v>229</v>
      </c>
      <c r="G257" t="s">
        <v>47</v>
      </c>
      <c r="H257">
        <v>8</v>
      </c>
      <c r="I257" s="1">
        <v>44485</v>
      </c>
      <c r="J257" s="10">
        <v>39125</v>
      </c>
      <c r="K257" s="10">
        <v>16987</v>
      </c>
      <c r="L257">
        <v>4</v>
      </c>
      <c r="M257" t="s">
        <v>52</v>
      </c>
      <c r="N257" t="s">
        <v>53</v>
      </c>
      <c r="O257" t="s">
        <v>28</v>
      </c>
      <c r="P257" t="s">
        <v>29</v>
      </c>
      <c r="Q257">
        <v>36</v>
      </c>
      <c r="R257">
        <v>0</v>
      </c>
      <c r="S257">
        <v>1</v>
      </c>
      <c r="T257" t="s">
        <v>30</v>
      </c>
      <c r="U257" t="str">
        <f>IF(AND(Employees_Data[[#This Row],[Age]]&gt;=20,Employees_Data[[#This Row],[Age]]&lt;=30),"Young",IF(AND(Employees_Data[[#This Row],[Age]]&gt;=31,Employees_Data[[#This Row],[Age]]&lt;=40),"Mid-Age",IF(Employees_Data[[#This Row],[Age]]&gt;=41,"Senior")))</f>
        <v>Mid-Age</v>
      </c>
      <c r="V257" t="str">
        <f>IF(Employees_Data[[#This Row],[Salary]]&lt;=30000,"Low",IF(AND(Employees_Data[[#This Row],[Salary]]&gt;30000,Employees_Data[[#This Row],[Salary]]&lt;=60000),"Medium",IF(AND(Employees_Data[[#This Row],[Salary]]&gt;60000,Employees_Data[[#This Row],[Salary]]&lt;=90000),"High",IF(Employees_Data[[#This Row],[Salary]]&gt;90000,"Executive"))))</f>
        <v>Medium</v>
      </c>
      <c r="W25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257" s="14" t="str">
        <f>VLOOKUP(Employees_Data[[#This Row],[Department]],Departments!$A$2:$B$7,2,FALSE)</f>
        <v>D02</v>
      </c>
      <c r="Y257" s="14" t="str">
        <f>INDEX(Departments!$B$2:$B$7,MATCH(Employees_Data[[#This Row],[Department]],Departments!$A$2:$A$7,0))</f>
        <v>D02</v>
      </c>
      <c r="Z257" s="14" t="str">
        <f>INDEX(Salary_Bands!$C$2:$C$5,MATCH(Employees_Data[[#This Row],[Salary]],Salary_Bands!$A$2:$A$5,1))</f>
        <v>Medium</v>
      </c>
    </row>
    <row r="258" spans="1:26" hidden="1" x14ac:dyDescent="0.3">
      <c r="A258" t="s">
        <v>577</v>
      </c>
      <c r="B258" t="s">
        <v>578</v>
      </c>
      <c r="C258" t="s">
        <v>22</v>
      </c>
      <c r="D258" s="12">
        <v>25</v>
      </c>
      <c r="E258" t="s">
        <v>33</v>
      </c>
      <c r="F258" t="s">
        <v>34</v>
      </c>
      <c r="G258" t="s">
        <v>25</v>
      </c>
      <c r="H258">
        <v>0</v>
      </c>
      <c r="I258" s="1">
        <v>44873</v>
      </c>
      <c r="J258" s="10">
        <v>134945</v>
      </c>
      <c r="K258" s="10">
        <v>7690</v>
      </c>
      <c r="L258">
        <v>5</v>
      </c>
      <c r="M258" t="s">
        <v>52</v>
      </c>
      <c r="N258" t="s">
        <v>63</v>
      </c>
      <c r="O258" t="s">
        <v>28</v>
      </c>
      <c r="P258" t="s">
        <v>29</v>
      </c>
      <c r="Q258">
        <v>11</v>
      </c>
      <c r="R258">
        <v>12</v>
      </c>
      <c r="S258">
        <v>8</v>
      </c>
      <c r="T258" t="s">
        <v>30</v>
      </c>
      <c r="U258" t="str">
        <f>IF(AND(Employees_Data[[#This Row],[Age]]&gt;=20,Employees_Data[[#This Row],[Age]]&lt;=30),"Young",IF(AND(Employees_Data[[#This Row],[Age]]&gt;=31,Employees_Data[[#This Row],[Age]]&lt;=40),"Mid-Age",IF(Employees_Data[[#This Row],[Age]]&gt;=41,"Senior")))</f>
        <v>Young</v>
      </c>
      <c r="V258" t="str">
        <f>IF(Employees_Data[[#This Row],[Salary]]&lt;=30000,"Low",IF(AND(Employees_Data[[#This Row],[Salary]]&gt;30000,Employees_Data[[#This Row],[Salary]]&lt;=60000),"Medium",IF(AND(Employees_Data[[#This Row],[Salary]]&gt;60000,Employees_Data[[#This Row],[Salary]]&lt;=90000),"High",IF(Employees_Data[[#This Row],[Salary]]&gt;90000,"Executive"))))</f>
        <v>Executive</v>
      </c>
      <c r="W25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258" s="14" t="str">
        <f>VLOOKUP(Employees_Data[[#This Row],[Department]],Departments!$A$2:$B$7,2,FALSE)</f>
        <v>D05</v>
      </c>
      <c r="Y258" s="14" t="str">
        <f>INDEX(Departments!$B$2:$B$7,MATCH(Employees_Data[[#This Row],[Department]],Departments!$A$2:$A$7,0))</f>
        <v>D05</v>
      </c>
      <c r="Z258" s="14" t="str">
        <f>INDEX(Salary_Bands!$C$2:$C$5,MATCH(Employees_Data[[#This Row],[Salary]],Salary_Bands!$A$2:$A$5,1))</f>
        <v>Executive</v>
      </c>
    </row>
    <row r="259" spans="1:26" hidden="1" x14ac:dyDescent="0.3">
      <c r="A259" t="s">
        <v>579</v>
      </c>
      <c r="B259" t="s">
        <v>580</v>
      </c>
      <c r="C259" t="s">
        <v>40</v>
      </c>
      <c r="D259" s="12">
        <v>42</v>
      </c>
      <c r="E259" t="s">
        <v>23</v>
      </c>
      <c r="F259" t="s">
        <v>109</v>
      </c>
      <c r="G259" t="s">
        <v>47</v>
      </c>
      <c r="H259">
        <v>17</v>
      </c>
      <c r="I259" s="1">
        <v>44676</v>
      </c>
      <c r="J259" s="10">
        <v>79875</v>
      </c>
      <c r="K259" s="10">
        <v>6370</v>
      </c>
      <c r="L259">
        <v>5</v>
      </c>
      <c r="M259" t="s">
        <v>26</v>
      </c>
      <c r="N259" t="s">
        <v>58</v>
      </c>
      <c r="O259" t="s">
        <v>28</v>
      </c>
      <c r="P259" t="s">
        <v>28</v>
      </c>
      <c r="Q259">
        <v>58</v>
      </c>
      <c r="R259">
        <v>17</v>
      </c>
      <c r="S259">
        <v>4</v>
      </c>
      <c r="T259" t="s">
        <v>30</v>
      </c>
      <c r="U259" t="str">
        <f>IF(AND(Employees_Data[[#This Row],[Age]]&gt;=20,Employees_Data[[#This Row],[Age]]&lt;=30),"Young",IF(AND(Employees_Data[[#This Row],[Age]]&gt;=31,Employees_Data[[#This Row],[Age]]&lt;=40),"Mid-Age",IF(Employees_Data[[#This Row],[Age]]&gt;=41,"Senior")))</f>
        <v>Senior</v>
      </c>
      <c r="V259" t="str">
        <f>IF(Employees_Data[[#This Row],[Salary]]&lt;=30000,"Low",IF(AND(Employees_Data[[#This Row],[Salary]]&gt;30000,Employees_Data[[#This Row],[Salary]]&lt;=60000),"Medium",IF(AND(Employees_Data[[#This Row],[Salary]]&gt;60000,Employees_Data[[#This Row],[Salary]]&lt;=90000),"High",IF(Employees_Data[[#This Row],[Salary]]&gt;90000,"Executive"))))</f>
        <v>High</v>
      </c>
      <c r="W25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59" s="14" t="str">
        <f>VLOOKUP(Employees_Data[[#This Row],[Department]],Departments!$A$2:$B$7,2,FALSE)</f>
        <v>D06</v>
      </c>
      <c r="Y259" s="14" t="str">
        <f>INDEX(Departments!$B$2:$B$7,MATCH(Employees_Data[[#This Row],[Department]],Departments!$A$2:$A$7,0))</f>
        <v>D06</v>
      </c>
      <c r="Z259" s="14" t="str">
        <f>INDEX(Salary_Bands!$C$2:$C$5,MATCH(Employees_Data[[#This Row],[Salary]],Salary_Bands!$A$2:$A$5,1))</f>
        <v>High</v>
      </c>
    </row>
    <row r="260" spans="1:26" hidden="1" x14ac:dyDescent="0.3">
      <c r="A260" t="s">
        <v>581</v>
      </c>
      <c r="B260" t="s">
        <v>582</v>
      </c>
      <c r="C260" t="s">
        <v>22</v>
      </c>
      <c r="D260" s="12">
        <v>35</v>
      </c>
      <c r="E260" t="s">
        <v>41</v>
      </c>
      <c r="F260" t="s">
        <v>69</v>
      </c>
      <c r="G260" t="s">
        <v>25</v>
      </c>
      <c r="H260">
        <v>13</v>
      </c>
      <c r="I260" s="1">
        <v>43959</v>
      </c>
      <c r="J260" s="10">
        <v>106810</v>
      </c>
      <c r="K260" s="10">
        <v>19776</v>
      </c>
      <c r="L260">
        <v>3</v>
      </c>
      <c r="M260" t="s">
        <v>52</v>
      </c>
      <c r="N260" t="s">
        <v>48</v>
      </c>
      <c r="O260" t="s">
        <v>28</v>
      </c>
      <c r="P260" t="s">
        <v>28</v>
      </c>
      <c r="Q260">
        <v>50</v>
      </c>
      <c r="R260">
        <v>3</v>
      </c>
      <c r="S260">
        <v>6</v>
      </c>
      <c r="T260" t="s">
        <v>43</v>
      </c>
      <c r="U260" t="str">
        <f>IF(AND(Employees_Data[[#This Row],[Age]]&gt;=20,Employees_Data[[#This Row],[Age]]&lt;=30),"Young",IF(AND(Employees_Data[[#This Row],[Age]]&gt;=31,Employees_Data[[#This Row],[Age]]&lt;=40),"Mid-Age",IF(Employees_Data[[#This Row],[Age]]&gt;=41,"Senior")))</f>
        <v>Mid-Age</v>
      </c>
      <c r="V260" t="str">
        <f>IF(Employees_Data[[#This Row],[Salary]]&lt;=30000,"Low",IF(AND(Employees_Data[[#This Row],[Salary]]&gt;30000,Employees_Data[[#This Row],[Salary]]&lt;=60000),"Medium",IF(AND(Employees_Data[[#This Row],[Salary]]&gt;60000,Employees_Data[[#This Row],[Salary]]&lt;=90000),"High",IF(Employees_Data[[#This Row],[Salary]]&gt;90000,"Executive"))))</f>
        <v>Executive</v>
      </c>
      <c r="W26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60" s="14" t="str">
        <f>VLOOKUP(Employees_Data[[#This Row],[Department]],Departments!$A$2:$B$7,2,FALSE)</f>
        <v>D03</v>
      </c>
      <c r="Y260" s="14" t="str">
        <f>INDEX(Departments!$B$2:$B$7,MATCH(Employees_Data[[#This Row],[Department]],Departments!$A$2:$A$7,0))</f>
        <v>D03</v>
      </c>
      <c r="Z260" s="14" t="str">
        <f>INDEX(Salary_Bands!$C$2:$C$5,MATCH(Employees_Data[[#This Row],[Salary]],Salary_Bands!$A$2:$A$5,1))</f>
        <v>Executive</v>
      </c>
    </row>
    <row r="261" spans="1:26" hidden="1" x14ac:dyDescent="0.3">
      <c r="A261" t="s">
        <v>583</v>
      </c>
      <c r="B261" t="s">
        <v>584</v>
      </c>
      <c r="C261" t="s">
        <v>22</v>
      </c>
      <c r="D261" s="12">
        <v>52</v>
      </c>
      <c r="E261" t="s">
        <v>41</v>
      </c>
      <c r="F261" t="s">
        <v>69</v>
      </c>
      <c r="G261" t="s">
        <v>25</v>
      </c>
      <c r="H261">
        <v>27</v>
      </c>
      <c r="I261" s="1">
        <v>45438</v>
      </c>
      <c r="J261" s="10">
        <v>148558</v>
      </c>
      <c r="K261" s="10">
        <v>5488</v>
      </c>
      <c r="L261">
        <v>4</v>
      </c>
      <c r="M261" t="s">
        <v>26</v>
      </c>
      <c r="N261" t="s">
        <v>58</v>
      </c>
      <c r="O261" t="s">
        <v>28</v>
      </c>
      <c r="P261" t="s">
        <v>29</v>
      </c>
      <c r="Q261">
        <v>8</v>
      </c>
      <c r="R261">
        <v>1</v>
      </c>
      <c r="S261">
        <v>9</v>
      </c>
      <c r="T261" t="s">
        <v>30</v>
      </c>
      <c r="U261" t="str">
        <f>IF(AND(Employees_Data[[#This Row],[Age]]&gt;=20,Employees_Data[[#This Row],[Age]]&lt;=30),"Young",IF(AND(Employees_Data[[#This Row],[Age]]&gt;=31,Employees_Data[[#This Row],[Age]]&lt;=40),"Mid-Age",IF(Employees_Data[[#This Row],[Age]]&gt;=41,"Senior")))</f>
        <v>Senior</v>
      </c>
      <c r="V261" t="str">
        <f>IF(Employees_Data[[#This Row],[Salary]]&lt;=30000,"Low",IF(AND(Employees_Data[[#This Row],[Salary]]&gt;30000,Employees_Data[[#This Row],[Salary]]&lt;=60000),"Medium",IF(AND(Employees_Data[[#This Row],[Salary]]&gt;60000,Employees_Data[[#This Row],[Salary]]&lt;=90000),"High",IF(Employees_Data[[#This Row],[Salary]]&gt;90000,"Executive"))))</f>
        <v>Executive</v>
      </c>
      <c r="W26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61" s="14" t="str">
        <f>VLOOKUP(Employees_Data[[#This Row],[Department]],Departments!$A$2:$B$7,2,FALSE)</f>
        <v>D03</v>
      </c>
      <c r="Y261" s="14" t="str">
        <f>INDEX(Departments!$B$2:$B$7,MATCH(Employees_Data[[#This Row],[Department]],Departments!$A$2:$A$7,0))</f>
        <v>D03</v>
      </c>
      <c r="Z261" s="14" t="str">
        <f>INDEX(Salary_Bands!$C$2:$C$5,MATCH(Employees_Data[[#This Row],[Salary]],Salary_Bands!$A$2:$A$5,1))</f>
        <v>Executive</v>
      </c>
    </row>
    <row r="262" spans="1:26" hidden="1" x14ac:dyDescent="0.3">
      <c r="A262" t="s">
        <v>585</v>
      </c>
      <c r="B262" t="s">
        <v>586</v>
      </c>
      <c r="C262" t="s">
        <v>40</v>
      </c>
      <c r="D262" s="12">
        <v>32</v>
      </c>
      <c r="E262" t="s">
        <v>61</v>
      </c>
      <c r="F262" t="s">
        <v>229</v>
      </c>
      <c r="G262" t="s">
        <v>47</v>
      </c>
      <c r="H262">
        <v>9</v>
      </c>
      <c r="I262" s="1">
        <v>44127</v>
      </c>
      <c r="J262" s="10">
        <v>44192</v>
      </c>
      <c r="K262" s="10">
        <v>5358</v>
      </c>
      <c r="L262">
        <v>1</v>
      </c>
      <c r="M262" t="s">
        <v>52</v>
      </c>
      <c r="N262" t="s">
        <v>63</v>
      </c>
      <c r="O262" t="s">
        <v>28</v>
      </c>
      <c r="P262" t="s">
        <v>29</v>
      </c>
      <c r="Q262">
        <v>52</v>
      </c>
      <c r="R262">
        <v>20</v>
      </c>
      <c r="S262">
        <v>5</v>
      </c>
      <c r="T262" t="s">
        <v>30</v>
      </c>
      <c r="U262" t="str">
        <f>IF(AND(Employees_Data[[#This Row],[Age]]&gt;=20,Employees_Data[[#This Row],[Age]]&lt;=30),"Young",IF(AND(Employees_Data[[#This Row],[Age]]&gt;=31,Employees_Data[[#This Row],[Age]]&lt;=40),"Mid-Age",IF(Employees_Data[[#This Row],[Age]]&gt;=41,"Senior")))</f>
        <v>Mid-Age</v>
      </c>
      <c r="V262" t="str">
        <f>IF(Employees_Data[[#This Row],[Salary]]&lt;=30000,"Low",IF(AND(Employees_Data[[#This Row],[Salary]]&gt;30000,Employees_Data[[#This Row],[Salary]]&lt;=60000),"Medium",IF(AND(Employees_Data[[#This Row],[Salary]]&gt;60000,Employees_Data[[#This Row],[Salary]]&lt;=90000),"High",IF(Employees_Data[[#This Row],[Salary]]&gt;90000,"Executive"))))</f>
        <v>Medium</v>
      </c>
      <c r="W26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262" s="14" t="str">
        <f>VLOOKUP(Employees_Data[[#This Row],[Department]],Departments!$A$2:$B$7,2,FALSE)</f>
        <v>D02</v>
      </c>
      <c r="Y262" s="14" t="str">
        <f>INDEX(Departments!$B$2:$B$7,MATCH(Employees_Data[[#This Row],[Department]],Departments!$A$2:$A$7,0))</f>
        <v>D02</v>
      </c>
      <c r="Z262" s="14" t="str">
        <f>INDEX(Salary_Bands!$C$2:$C$5,MATCH(Employees_Data[[#This Row],[Salary]],Salary_Bands!$A$2:$A$5,1))</f>
        <v>Medium</v>
      </c>
    </row>
    <row r="263" spans="1:26" hidden="1" x14ac:dyDescent="0.3">
      <c r="A263" t="s">
        <v>587</v>
      </c>
      <c r="B263" t="s">
        <v>588</v>
      </c>
      <c r="C263" t="s">
        <v>40</v>
      </c>
      <c r="D263" s="12">
        <v>37</v>
      </c>
      <c r="E263" t="s">
        <v>33</v>
      </c>
      <c r="F263" t="s">
        <v>46</v>
      </c>
      <c r="G263" t="s">
        <v>25</v>
      </c>
      <c r="H263">
        <v>12</v>
      </c>
      <c r="I263" s="1">
        <v>44279</v>
      </c>
      <c r="J263" s="10">
        <v>115824</v>
      </c>
      <c r="K263" s="10">
        <v>3762</v>
      </c>
      <c r="L263">
        <v>1</v>
      </c>
      <c r="M263" t="s">
        <v>26</v>
      </c>
      <c r="N263" t="s">
        <v>48</v>
      </c>
      <c r="O263" t="s">
        <v>28</v>
      </c>
      <c r="P263" t="s">
        <v>28</v>
      </c>
      <c r="Q263">
        <v>17</v>
      </c>
      <c r="R263">
        <v>19</v>
      </c>
      <c r="S263">
        <v>7</v>
      </c>
      <c r="T263" t="s">
        <v>30</v>
      </c>
      <c r="U263" t="str">
        <f>IF(AND(Employees_Data[[#This Row],[Age]]&gt;=20,Employees_Data[[#This Row],[Age]]&lt;=30),"Young",IF(AND(Employees_Data[[#This Row],[Age]]&gt;=31,Employees_Data[[#This Row],[Age]]&lt;=40),"Mid-Age",IF(Employees_Data[[#This Row],[Age]]&gt;=41,"Senior")))</f>
        <v>Mid-Age</v>
      </c>
      <c r="V263" t="str">
        <f>IF(Employees_Data[[#This Row],[Salary]]&lt;=30000,"Low",IF(AND(Employees_Data[[#This Row],[Salary]]&gt;30000,Employees_Data[[#This Row],[Salary]]&lt;=60000),"Medium",IF(AND(Employees_Data[[#This Row],[Salary]]&gt;60000,Employees_Data[[#This Row],[Salary]]&lt;=90000),"High",IF(Employees_Data[[#This Row],[Salary]]&gt;90000,"Executive"))))</f>
        <v>Executive</v>
      </c>
      <c r="W26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63" s="14" t="str">
        <f>VLOOKUP(Employees_Data[[#This Row],[Department]],Departments!$A$2:$B$7,2,FALSE)</f>
        <v>D05</v>
      </c>
      <c r="Y263" s="14" t="str">
        <f>INDEX(Departments!$B$2:$B$7,MATCH(Employees_Data[[#This Row],[Department]],Departments!$A$2:$A$7,0))</f>
        <v>D05</v>
      </c>
      <c r="Z263" s="14" t="str">
        <f>INDEX(Salary_Bands!$C$2:$C$5,MATCH(Employees_Data[[#This Row],[Salary]],Salary_Bands!$A$2:$A$5,1))</f>
        <v>Executive</v>
      </c>
    </row>
    <row r="264" spans="1:26" hidden="1" x14ac:dyDescent="0.3">
      <c r="A264" t="s">
        <v>589</v>
      </c>
      <c r="B264" t="s">
        <v>590</v>
      </c>
      <c r="C264" t="s">
        <v>40</v>
      </c>
      <c r="D264" s="12">
        <v>45</v>
      </c>
      <c r="E264" t="s">
        <v>87</v>
      </c>
      <c r="F264" t="s">
        <v>91</v>
      </c>
      <c r="G264" t="s">
        <v>47</v>
      </c>
      <c r="H264">
        <v>20</v>
      </c>
      <c r="I264" s="1">
        <v>45339</v>
      </c>
      <c r="J264" s="10">
        <v>121790</v>
      </c>
      <c r="K264" s="10">
        <v>7813</v>
      </c>
      <c r="L264">
        <v>5</v>
      </c>
      <c r="M264" t="s">
        <v>52</v>
      </c>
      <c r="N264" t="s">
        <v>27</v>
      </c>
      <c r="O264" t="s">
        <v>28</v>
      </c>
      <c r="P264" t="s">
        <v>29</v>
      </c>
      <c r="Q264">
        <v>16</v>
      </c>
      <c r="R264">
        <v>16</v>
      </c>
      <c r="S264">
        <v>4</v>
      </c>
      <c r="T264" t="s">
        <v>30</v>
      </c>
      <c r="U264" t="str">
        <f>IF(AND(Employees_Data[[#This Row],[Age]]&gt;=20,Employees_Data[[#This Row],[Age]]&lt;=30),"Young",IF(AND(Employees_Data[[#This Row],[Age]]&gt;=31,Employees_Data[[#This Row],[Age]]&lt;=40),"Mid-Age",IF(Employees_Data[[#This Row],[Age]]&gt;=41,"Senior")))</f>
        <v>Senior</v>
      </c>
      <c r="V264" t="str">
        <f>IF(Employees_Data[[#This Row],[Salary]]&lt;=30000,"Low",IF(AND(Employees_Data[[#This Row],[Salary]]&gt;30000,Employees_Data[[#This Row],[Salary]]&lt;=60000),"Medium",IF(AND(Employees_Data[[#This Row],[Salary]]&gt;60000,Employees_Data[[#This Row],[Salary]]&lt;=90000),"High",IF(Employees_Data[[#This Row],[Salary]]&gt;90000,"Executive"))))</f>
        <v>Executive</v>
      </c>
      <c r="W26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64" s="14" t="str">
        <f>VLOOKUP(Employees_Data[[#This Row],[Department]],Departments!$A$2:$B$7,2,FALSE)</f>
        <v>D04</v>
      </c>
      <c r="Y264" s="14" t="str">
        <f>INDEX(Departments!$B$2:$B$7,MATCH(Employees_Data[[#This Row],[Department]],Departments!$A$2:$A$7,0))</f>
        <v>D04</v>
      </c>
      <c r="Z264" s="14" t="str">
        <f>INDEX(Salary_Bands!$C$2:$C$5,MATCH(Employees_Data[[#This Row],[Salary]],Salary_Bands!$A$2:$A$5,1))</f>
        <v>Executive</v>
      </c>
    </row>
    <row r="265" spans="1:26" hidden="1" x14ac:dyDescent="0.3">
      <c r="A265" t="s">
        <v>591</v>
      </c>
      <c r="B265" t="s">
        <v>592</v>
      </c>
      <c r="C265" t="s">
        <v>22</v>
      </c>
      <c r="D265" s="12">
        <v>24</v>
      </c>
      <c r="E265" t="s">
        <v>56</v>
      </c>
      <c r="F265" t="s">
        <v>125</v>
      </c>
      <c r="G265" t="s">
        <v>51</v>
      </c>
      <c r="H265">
        <v>0</v>
      </c>
      <c r="I265" s="1">
        <v>44244</v>
      </c>
      <c r="J265" s="10">
        <v>97954</v>
      </c>
      <c r="K265" s="10">
        <v>17280</v>
      </c>
      <c r="L265">
        <v>3</v>
      </c>
      <c r="M265" t="s">
        <v>52</v>
      </c>
      <c r="N265" t="s">
        <v>76</v>
      </c>
      <c r="O265" t="s">
        <v>28</v>
      </c>
      <c r="P265" t="s">
        <v>29</v>
      </c>
      <c r="Q265">
        <v>14</v>
      </c>
      <c r="R265">
        <v>10</v>
      </c>
      <c r="S265">
        <v>3</v>
      </c>
      <c r="T265" t="s">
        <v>30</v>
      </c>
      <c r="U265" t="str">
        <f>IF(AND(Employees_Data[[#This Row],[Age]]&gt;=20,Employees_Data[[#This Row],[Age]]&lt;=30),"Young",IF(AND(Employees_Data[[#This Row],[Age]]&gt;=31,Employees_Data[[#This Row],[Age]]&lt;=40),"Mid-Age",IF(Employees_Data[[#This Row],[Age]]&gt;=41,"Senior")))</f>
        <v>Young</v>
      </c>
      <c r="V265" t="str">
        <f>IF(Employees_Data[[#This Row],[Salary]]&lt;=30000,"Low",IF(AND(Employees_Data[[#This Row],[Salary]]&gt;30000,Employees_Data[[#This Row],[Salary]]&lt;=60000),"Medium",IF(AND(Employees_Data[[#This Row],[Salary]]&gt;60000,Employees_Data[[#This Row],[Salary]]&lt;=90000),"High",IF(Employees_Data[[#This Row],[Salary]]&gt;90000,"Executive"))))</f>
        <v>Executive</v>
      </c>
      <c r="W26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265" s="14" t="str">
        <f>VLOOKUP(Employees_Data[[#This Row],[Department]],Departments!$A$2:$B$7,2,FALSE)</f>
        <v>D01</v>
      </c>
      <c r="Y265" s="14" t="str">
        <f>INDEX(Departments!$B$2:$B$7,MATCH(Employees_Data[[#This Row],[Department]],Departments!$A$2:$A$7,0))</f>
        <v>D01</v>
      </c>
      <c r="Z265" s="14" t="str">
        <f>INDEX(Salary_Bands!$C$2:$C$5,MATCH(Employees_Data[[#This Row],[Salary]],Salary_Bands!$A$2:$A$5,1))</f>
        <v>Executive</v>
      </c>
    </row>
    <row r="266" spans="1:26" hidden="1" x14ac:dyDescent="0.3">
      <c r="A266" t="s">
        <v>593</v>
      </c>
      <c r="B266" t="s">
        <v>594</v>
      </c>
      <c r="C266" t="s">
        <v>22</v>
      </c>
      <c r="D266" s="12">
        <v>41</v>
      </c>
      <c r="E266" t="s">
        <v>33</v>
      </c>
      <c r="F266" t="s">
        <v>118</v>
      </c>
      <c r="G266" t="s">
        <v>35</v>
      </c>
      <c r="H266">
        <v>17</v>
      </c>
      <c r="I266" s="1">
        <v>45446</v>
      </c>
      <c r="J266" s="10">
        <v>97110</v>
      </c>
      <c r="K266" s="10">
        <v>19059</v>
      </c>
      <c r="L266">
        <v>3</v>
      </c>
      <c r="M266" t="s">
        <v>26</v>
      </c>
      <c r="N266" t="s">
        <v>63</v>
      </c>
      <c r="O266" t="s">
        <v>28</v>
      </c>
      <c r="P266" t="s">
        <v>29</v>
      </c>
      <c r="Q266">
        <v>31</v>
      </c>
      <c r="R266">
        <v>17</v>
      </c>
      <c r="S266">
        <v>2</v>
      </c>
      <c r="T266" t="s">
        <v>30</v>
      </c>
      <c r="U266" t="str">
        <f>IF(AND(Employees_Data[[#This Row],[Age]]&gt;=20,Employees_Data[[#This Row],[Age]]&lt;=30),"Young",IF(AND(Employees_Data[[#This Row],[Age]]&gt;=31,Employees_Data[[#This Row],[Age]]&lt;=40),"Mid-Age",IF(Employees_Data[[#This Row],[Age]]&gt;=41,"Senior")))</f>
        <v>Senior</v>
      </c>
      <c r="V266" t="str">
        <f>IF(Employees_Data[[#This Row],[Salary]]&lt;=30000,"Low",IF(AND(Employees_Data[[#This Row],[Salary]]&gt;30000,Employees_Data[[#This Row],[Salary]]&lt;=60000),"Medium",IF(AND(Employees_Data[[#This Row],[Salary]]&gt;60000,Employees_Data[[#This Row],[Salary]]&lt;=90000),"High",IF(Employees_Data[[#This Row],[Salary]]&gt;90000,"Executive"))))</f>
        <v>Executive</v>
      </c>
      <c r="W26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66" s="14" t="str">
        <f>VLOOKUP(Employees_Data[[#This Row],[Department]],Departments!$A$2:$B$7,2,FALSE)</f>
        <v>D05</v>
      </c>
      <c r="Y266" s="14" t="str">
        <f>INDEX(Departments!$B$2:$B$7,MATCH(Employees_Data[[#This Row],[Department]],Departments!$A$2:$A$7,0))</f>
        <v>D05</v>
      </c>
      <c r="Z266" s="14" t="str">
        <f>INDEX(Salary_Bands!$C$2:$C$5,MATCH(Employees_Data[[#This Row],[Salary]],Salary_Bands!$A$2:$A$5,1))</f>
        <v>Executive</v>
      </c>
    </row>
    <row r="267" spans="1:26" hidden="1" x14ac:dyDescent="0.3">
      <c r="A267" t="s">
        <v>595</v>
      </c>
      <c r="B267" t="s">
        <v>596</v>
      </c>
      <c r="C267" t="s">
        <v>40</v>
      </c>
      <c r="D267" s="12">
        <v>27</v>
      </c>
      <c r="E267" t="s">
        <v>33</v>
      </c>
      <c r="F267" t="s">
        <v>46</v>
      </c>
      <c r="G267" t="s">
        <v>25</v>
      </c>
      <c r="H267">
        <v>4</v>
      </c>
      <c r="I267" s="1">
        <v>44007</v>
      </c>
      <c r="J267" s="10">
        <v>140788</v>
      </c>
      <c r="K267" s="10">
        <v>23276</v>
      </c>
      <c r="L267">
        <v>2</v>
      </c>
      <c r="M267" t="s">
        <v>26</v>
      </c>
      <c r="N267" t="s">
        <v>27</v>
      </c>
      <c r="O267" t="s">
        <v>28</v>
      </c>
      <c r="P267" t="s">
        <v>28</v>
      </c>
      <c r="Q267">
        <v>33</v>
      </c>
      <c r="R267">
        <v>7</v>
      </c>
      <c r="S267">
        <v>6</v>
      </c>
      <c r="T267" t="s">
        <v>30</v>
      </c>
      <c r="U267" t="str">
        <f>IF(AND(Employees_Data[[#This Row],[Age]]&gt;=20,Employees_Data[[#This Row],[Age]]&lt;=30),"Young",IF(AND(Employees_Data[[#This Row],[Age]]&gt;=31,Employees_Data[[#This Row],[Age]]&lt;=40),"Mid-Age",IF(Employees_Data[[#This Row],[Age]]&gt;=41,"Senior")))</f>
        <v>Young</v>
      </c>
      <c r="V267" t="str">
        <f>IF(Employees_Data[[#This Row],[Salary]]&lt;=30000,"Low",IF(AND(Employees_Data[[#This Row],[Salary]]&gt;30000,Employees_Data[[#This Row],[Salary]]&lt;=60000),"Medium",IF(AND(Employees_Data[[#This Row],[Salary]]&gt;60000,Employees_Data[[#This Row],[Salary]]&lt;=90000),"High",IF(Employees_Data[[#This Row],[Salary]]&gt;90000,"Executive"))))</f>
        <v>Executive</v>
      </c>
      <c r="W26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267" s="14" t="str">
        <f>VLOOKUP(Employees_Data[[#This Row],[Department]],Departments!$A$2:$B$7,2,FALSE)</f>
        <v>D05</v>
      </c>
      <c r="Y267" s="14" t="str">
        <f>INDEX(Departments!$B$2:$B$7,MATCH(Employees_Data[[#This Row],[Department]],Departments!$A$2:$A$7,0))</f>
        <v>D05</v>
      </c>
      <c r="Z267" s="14" t="str">
        <f>INDEX(Salary_Bands!$C$2:$C$5,MATCH(Employees_Data[[#This Row],[Salary]],Salary_Bands!$A$2:$A$5,1))</f>
        <v>Executive</v>
      </c>
    </row>
    <row r="268" spans="1:26" hidden="1" x14ac:dyDescent="0.3">
      <c r="A268" t="s">
        <v>597</v>
      </c>
      <c r="B268" t="s">
        <v>598</v>
      </c>
      <c r="C268" t="s">
        <v>22</v>
      </c>
      <c r="D268" s="12">
        <v>37</v>
      </c>
      <c r="E268" t="s">
        <v>23</v>
      </c>
      <c r="F268" t="s">
        <v>109</v>
      </c>
      <c r="G268" t="s">
        <v>25</v>
      </c>
      <c r="H268">
        <v>16</v>
      </c>
      <c r="I268" s="1">
        <v>44415</v>
      </c>
      <c r="J268" s="10">
        <v>74987</v>
      </c>
      <c r="K268" s="10">
        <v>14286</v>
      </c>
      <c r="L268">
        <v>1</v>
      </c>
      <c r="M268" t="s">
        <v>52</v>
      </c>
      <c r="N268" t="s">
        <v>63</v>
      </c>
      <c r="O268" t="s">
        <v>28</v>
      </c>
      <c r="P268" t="s">
        <v>28</v>
      </c>
      <c r="Q268">
        <v>36</v>
      </c>
      <c r="R268">
        <v>1</v>
      </c>
      <c r="S268">
        <v>7</v>
      </c>
      <c r="T268" t="s">
        <v>30</v>
      </c>
      <c r="U268" t="str">
        <f>IF(AND(Employees_Data[[#This Row],[Age]]&gt;=20,Employees_Data[[#This Row],[Age]]&lt;=30),"Young",IF(AND(Employees_Data[[#This Row],[Age]]&gt;=31,Employees_Data[[#This Row],[Age]]&lt;=40),"Mid-Age",IF(Employees_Data[[#This Row],[Age]]&gt;=41,"Senior")))</f>
        <v>Mid-Age</v>
      </c>
      <c r="V268" t="str">
        <f>IF(Employees_Data[[#This Row],[Salary]]&lt;=30000,"Low",IF(AND(Employees_Data[[#This Row],[Salary]]&gt;30000,Employees_Data[[#This Row],[Salary]]&lt;=60000),"Medium",IF(AND(Employees_Data[[#This Row],[Salary]]&gt;60000,Employees_Data[[#This Row],[Salary]]&lt;=90000),"High",IF(Employees_Data[[#This Row],[Salary]]&gt;90000,"Executive"))))</f>
        <v>High</v>
      </c>
      <c r="W26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68" s="14" t="str">
        <f>VLOOKUP(Employees_Data[[#This Row],[Department]],Departments!$A$2:$B$7,2,FALSE)</f>
        <v>D06</v>
      </c>
      <c r="Y268" s="14" t="str">
        <f>INDEX(Departments!$B$2:$B$7,MATCH(Employees_Data[[#This Row],[Department]],Departments!$A$2:$A$7,0))</f>
        <v>D06</v>
      </c>
      <c r="Z268" s="14" t="str">
        <f>INDEX(Salary_Bands!$C$2:$C$5,MATCH(Employees_Data[[#This Row],[Salary]],Salary_Bands!$A$2:$A$5,1))</f>
        <v>High</v>
      </c>
    </row>
    <row r="269" spans="1:26" hidden="1" x14ac:dyDescent="0.3">
      <c r="A269" t="s">
        <v>599</v>
      </c>
      <c r="B269" t="s">
        <v>600</v>
      </c>
      <c r="C269" t="s">
        <v>22</v>
      </c>
      <c r="D269" s="12">
        <v>34</v>
      </c>
      <c r="E269" t="s">
        <v>41</v>
      </c>
      <c r="F269" t="s">
        <v>69</v>
      </c>
      <c r="G269" t="s">
        <v>80</v>
      </c>
      <c r="H269">
        <v>11</v>
      </c>
      <c r="I269" s="1">
        <v>45205</v>
      </c>
      <c r="J269" s="10">
        <v>35793</v>
      </c>
      <c r="K269" s="10">
        <v>8906</v>
      </c>
      <c r="L269">
        <v>1</v>
      </c>
      <c r="M269" t="s">
        <v>52</v>
      </c>
      <c r="N269" t="s">
        <v>48</v>
      </c>
      <c r="O269" t="s">
        <v>28</v>
      </c>
      <c r="P269" t="s">
        <v>29</v>
      </c>
      <c r="Q269">
        <v>60</v>
      </c>
      <c r="R269">
        <v>13</v>
      </c>
      <c r="S269">
        <v>3</v>
      </c>
      <c r="T269" t="s">
        <v>30</v>
      </c>
      <c r="U269" t="str">
        <f>IF(AND(Employees_Data[[#This Row],[Age]]&gt;=20,Employees_Data[[#This Row],[Age]]&lt;=30),"Young",IF(AND(Employees_Data[[#This Row],[Age]]&gt;=31,Employees_Data[[#This Row],[Age]]&lt;=40),"Mid-Age",IF(Employees_Data[[#This Row],[Age]]&gt;=41,"Senior")))</f>
        <v>Mid-Age</v>
      </c>
      <c r="V269" t="str">
        <f>IF(Employees_Data[[#This Row],[Salary]]&lt;=30000,"Low",IF(AND(Employees_Data[[#This Row],[Salary]]&gt;30000,Employees_Data[[#This Row],[Salary]]&lt;=60000),"Medium",IF(AND(Employees_Data[[#This Row],[Salary]]&gt;60000,Employees_Data[[#This Row],[Salary]]&lt;=90000),"High",IF(Employees_Data[[#This Row],[Salary]]&gt;90000,"Executive"))))</f>
        <v>Medium</v>
      </c>
      <c r="W26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69" s="14" t="str">
        <f>VLOOKUP(Employees_Data[[#This Row],[Department]],Departments!$A$2:$B$7,2,FALSE)</f>
        <v>D03</v>
      </c>
      <c r="Y269" s="14" t="str">
        <f>INDEX(Departments!$B$2:$B$7,MATCH(Employees_Data[[#This Row],[Department]],Departments!$A$2:$A$7,0))</f>
        <v>D03</v>
      </c>
      <c r="Z269" s="14" t="str">
        <f>INDEX(Salary_Bands!$C$2:$C$5,MATCH(Employees_Data[[#This Row],[Salary]],Salary_Bands!$A$2:$A$5,1))</f>
        <v>Medium</v>
      </c>
    </row>
    <row r="270" spans="1:26" hidden="1" x14ac:dyDescent="0.3">
      <c r="A270" t="s">
        <v>601</v>
      </c>
      <c r="B270" t="s">
        <v>602</v>
      </c>
      <c r="C270" t="s">
        <v>22</v>
      </c>
      <c r="D270" s="12">
        <v>49</v>
      </c>
      <c r="E270" t="s">
        <v>56</v>
      </c>
      <c r="F270" t="s">
        <v>57</v>
      </c>
      <c r="G270" t="s">
        <v>80</v>
      </c>
      <c r="H270">
        <v>23</v>
      </c>
      <c r="I270" s="1">
        <v>43396</v>
      </c>
      <c r="J270" s="10">
        <v>122896</v>
      </c>
      <c r="K270" s="10">
        <v>3778</v>
      </c>
      <c r="L270">
        <v>2</v>
      </c>
      <c r="M270" t="s">
        <v>26</v>
      </c>
      <c r="N270" t="s">
        <v>63</v>
      </c>
      <c r="O270" t="s">
        <v>28</v>
      </c>
      <c r="P270" t="s">
        <v>28</v>
      </c>
      <c r="Q270">
        <v>40</v>
      </c>
      <c r="R270">
        <v>2</v>
      </c>
      <c r="S270">
        <v>1</v>
      </c>
      <c r="T270" t="s">
        <v>30</v>
      </c>
      <c r="U270" t="str">
        <f>IF(AND(Employees_Data[[#This Row],[Age]]&gt;=20,Employees_Data[[#This Row],[Age]]&lt;=30),"Young",IF(AND(Employees_Data[[#This Row],[Age]]&gt;=31,Employees_Data[[#This Row],[Age]]&lt;=40),"Mid-Age",IF(Employees_Data[[#This Row],[Age]]&gt;=41,"Senior")))</f>
        <v>Senior</v>
      </c>
      <c r="V270" t="str">
        <f>IF(Employees_Data[[#This Row],[Salary]]&lt;=30000,"Low",IF(AND(Employees_Data[[#This Row],[Salary]]&gt;30000,Employees_Data[[#This Row],[Salary]]&lt;=60000),"Medium",IF(AND(Employees_Data[[#This Row],[Salary]]&gt;60000,Employees_Data[[#This Row],[Salary]]&lt;=90000),"High",IF(Employees_Data[[#This Row],[Salary]]&gt;90000,"Executive"))))</f>
        <v>Executive</v>
      </c>
      <c r="W27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70" s="14" t="str">
        <f>VLOOKUP(Employees_Data[[#This Row],[Department]],Departments!$A$2:$B$7,2,FALSE)</f>
        <v>D01</v>
      </c>
      <c r="Y270" s="14" t="str">
        <f>INDEX(Departments!$B$2:$B$7,MATCH(Employees_Data[[#This Row],[Department]],Departments!$A$2:$A$7,0))</f>
        <v>D01</v>
      </c>
      <c r="Z270" s="14" t="str">
        <f>INDEX(Salary_Bands!$C$2:$C$5,MATCH(Employees_Data[[#This Row],[Salary]],Salary_Bands!$A$2:$A$5,1))</f>
        <v>Executive</v>
      </c>
    </row>
    <row r="271" spans="1:26" hidden="1" x14ac:dyDescent="0.3">
      <c r="A271" t="s">
        <v>603</v>
      </c>
      <c r="B271" t="s">
        <v>604</v>
      </c>
      <c r="C271" t="s">
        <v>22</v>
      </c>
      <c r="D271" s="12">
        <v>38</v>
      </c>
      <c r="E271" t="s">
        <v>33</v>
      </c>
      <c r="F271" t="s">
        <v>118</v>
      </c>
      <c r="G271" t="s">
        <v>25</v>
      </c>
      <c r="H271">
        <v>14</v>
      </c>
      <c r="I271" s="1">
        <v>44690</v>
      </c>
      <c r="J271" s="10">
        <v>84129</v>
      </c>
      <c r="K271" s="10">
        <v>2193</v>
      </c>
      <c r="L271">
        <v>4</v>
      </c>
      <c r="M271" t="s">
        <v>52</v>
      </c>
      <c r="N271" t="s">
        <v>48</v>
      </c>
      <c r="O271" t="s">
        <v>28</v>
      </c>
      <c r="P271" t="s">
        <v>29</v>
      </c>
      <c r="Q271">
        <v>53</v>
      </c>
      <c r="R271">
        <v>18</v>
      </c>
      <c r="S271">
        <v>7</v>
      </c>
      <c r="T271" t="s">
        <v>30</v>
      </c>
      <c r="U271" t="str">
        <f>IF(AND(Employees_Data[[#This Row],[Age]]&gt;=20,Employees_Data[[#This Row],[Age]]&lt;=30),"Young",IF(AND(Employees_Data[[#This Row],[Age]]&gt;=31,Employees_Data[[#This Row],[Age]]&lt;=40),"Mid-Age",IF(Employees_Data[[#This Row],[Age]]&gt;=41,"Senior")))</f>
        <v>Mid-Age</v>
      </c>
      <c r="V271" t="str">
        <f>IF(Employees_Data[[#This Row],[Salary]]&lt;=30000,"Low",IF(AND(Employees_Data[[#This Row],[Salary]]&gt;30000,Employees_Data[[#This Row],[Salary]]&lt;=60000),"Medium",IF(AND(Employees_Data[[#This Row],[Salary]]&gt;60000,Employees_Data[[#This Row],[Salary]]&lt;=90000),"High",IF(Employees_Data[[#This Row],[Salary]]&gt;90000,"Executive"))))</f>
        <v>High</v>
      </c>
      <c r="W27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71" s="14" t="str">
        <f>VLOOKUP(Employees_Data[[#This Row],[Department]],Departments!$A$2:$B$7,2,FALSE)</f>
        <v>D05</v>
      </c>
      <c r="Y271" s="14" t="str">
        <f>INDEX(Departments!$B$2:$B$7,MATCH(Employees_Data[[#This Row],[Department]],Departments!$A$2:$A$7,0))</f>
        <v>D05</v>
      </c>
      <c r="Z271" s="14" t="str">
        <f>INDEX(Salary_Bands!$C$2:$C$5,MATCH(Employees_Data[[#This Row],[Salary]],Salary_Bands!$A$2:$A$5,1))</f>
        <v>High</v>
      </c>
    </row>
    <row r="272" spans="1:26" hidden="1" x14ac:dyDescent="0.3">
      <c r="A272" t="s">
        <v>605</v>
      </c>
      <c r="B272" t="s">
        <v>606</v>
      </c>
      <c r="C272" t="s">
        <v>40</v>
      </c>
      <c r="D272" s="12">
        <v>26</v>
      </c>
      <c r="E272" t="s">
        <v>56</v>
      </c>
      <c r="F272" t="s">
        <v>79</v>
      </c>
      <c r="G272" t="s">
        <v>47</v>
      </c>
      <c r="H272">
        <v>3</v>
      </c>
      <c r="I272" s="1">
        <v>45160</v>
      </c>
      <c r="J272" s="10">
        <v>38911</v>
      </c>
      <c r="K272" s="10">
        <v>14947</v>
      </c>
      <c r="L272">
        <v>3</v>
      </c>
      <c r="M272" t="s">
        <v>52</v>
      </c>
      <c r="N272" t="s">
        <v>27</v>
      </c>
      <c r="O272" t="s">
        <v>28</v>
      </c>
      <c r="P272" t="s">
        <v>28</v>
      </c>
      <c r="Q272">
        <v>15</v>
      </c>
      <c r="R272">
        <v>17</v>
      </c>
      <c r="S272">
        <v>5</v>
      </c>
      <c r="T272" t="s">
        <v>30</v>
      </c>
      <c r="U272" t="str">
        <f>IF(AND(Employees_Data[[#This Row],[Age]]&gt;=20,Employees_Data[[#This Row],[Age]]&lt;=30),"Young",IF(AND(Employees_Data[[#This Row],[Age]]&gt;=31,Employees_Data[[#This Row],[Age]]&lt;=40),"Mid-Age",IF(Employees_Data[[#This Row],[Age]]&gt;=41,"Senior")))</f>
        <v>Young</v>
      </c>
      <c r="V272" t="str">
        <f>IF(Employees_Data[[#This Row],[Salary]]&lt;=30000,"Low",IF(AND(Employees_Data[[#This Row],[Salary]]&gt;30000,Employees_Data[[#This Row],[Salary]]&lt;=60000),"Medium",IF(AND(Employees_Data[[#This Row],[Salary]]&gt;60000,Employees_Data[[#This Row],[Salary]]&lt;=90000),"High",IF(Employees_Data[[#This Row],[Salary]]&gt;90000,"Executive"))))</f>
        <v>Medium</v>
      </c>
      <c r="W27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272" s="14" t="str">
        <f>VLOOKUP(Employees_Data[[#This Row],[Department]],Departments!$A$2:$B$7,2,FALSE)</f>
        <v>D01</v>
      </c>
      <c r="Y272" s="14" t="str">
        <f>INDEX(Departments!$B$2:$B$7,MATCH(Employees_Data[[#This Row],[Department]],Departments!$A$2:$A$7,0))</f>
        <v>D01</v>
      </c>
      <c r="Z272" s="14" t="str">
        <f>INDEX(Salary_Bands!$C$2:$C$5,MATCH(Employees_Data[[#This Row],[Salary]],Salary_Bands!$A$2:$A$5,1))</f>
        <v>Medium</v>
      </c>
    </row>
    <row r="273" spans="1:26" hidden="1" x14ac:dyDescent="0.3">
      <c r="A273" t="s">
        <v>607</v>
      </c>
      <c r="B273" t="s">
        <v>608</v>
      </c>
      <c r="C273" t="s">
        <v>40</v>
      </c>
      <c r="D273" s="12">
        <v>47</v>
      </c>
      <c r="E273" t="s">
        <v>61</v>
      </c>
      <c r="F273" t="s">
        <v>62</v>
      </c>
      <c r="G273" t="s">
        <v>80</v>
      </c>
      <c r="H273">
        <v>22</v>
      </c>
      <c r="I273" s="1">
        <v>44309</v>
      </c>
      <c r="J273" s="10">
        <v>108105</v>
      </c>
      <c r="K273" s="10">
        <v>20137</v>
      </c>
      <c r="L273">
        <v>2</v>
      </c>
      <c r="M273" t="s">
        <v>52</v>
      </c>
      <c r="N273" t="s">
        <v>76</v>
      </c>
      <c r="O273" t="s">
        <v>28</v>
      </c>
      <c r="P273" t="s">
        <v>29</v>
      </c>
      <c r="Q273">
        <v>7</v>
      </c>
      <c r="R273">
        <v>0</v>
      </c>
      <c r="S273">
        <v>5</v>
      </c>
      <c r="T273" t="s">
        <v>30</v>
      </c>
      <c r="U273" t="str">
        <f>IF(AND(Employees_Data[[#This Row],[Age]]&gt;=20,Employees_Data[[#This Row],[Age]]&lt;=30),"Young",IF(AND(Employees_Data[[#This Row],[Age]]&gt;=31,Employees_Data[[#This Row],[Age]]&lt;=40),"Mid-Age",IF(Employees_Data[[#This Row],[Age]]&gt;=41,"Senior")))</f>
        <v>Senior</v>
      </c>
      <c r="V273" t="str">
        <f>IF(Employees_Data[[#This Row],[Salary]]&lt;=30000,"Low",IF(AND(Employees_Data[[#This Row],[Salary]]&gt;30000,Employees_Data[[#This Row],[Salary]]&lt;=60000),"Medium",IF(AND(Employees_Data[[#This Row],[Salary]]&gt;60000,Employees_Data[[#This Row],[Salary]]&lt;=90000),"High",IF(Employees_Data[[#This Row],[Salary]]&gt;90000,"Executive"))))</f>
        <v>Executive</v>
      </c>
      <c r="W27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73" s="14" t="str">
        <f>VLOOKUP(Employees_Data[[#This Row],[Department]],Departments!$A$2:$B$7,2,FALSE)</f>
        <v>D02</v>
      </c>
      <c r="Y273" s="14" t="str">
        <f>INDEX(Departments!$B$2:$B$7,MATCH(Employees_Data[[#This Row],[Department]],Departments!$A$2:$A$7,0))</f>
        <v>D02</v>
      </c>
      <c r="Z273" s="14" t="str">
        <f>INDEX(Salary_Bands!$C$2:$C$5,MATCH(Employees_Data[[#This Row],[Salary]],Salary_Bands!$A$2:$A$5,1))</f>
        <v>Executive</v>
      </c>
    </row>
    <row r="274" spans="1:26" hidden="1" x14ac:dyDescent="0.3">
      <c r="A274" t="s">
        <v>609</v>
      </c>
      <c r="B274" t="s">
        <v>610</v>
      </c>
      <c r="C274" t="s">
        <v>40</v>
      </c>
      <c r="D274" s="12">
        <v>47</v>
      </c>
      <c r="E274" t="s">
        <v>33</v>
      </c>
      <c r="F274" t="s">
        <v>34</v>
      </c>
      <c r="G274" t="s">
        <v>35</v>
      </c>
      <c r="H274">
        <v>22</v>
      </c>
      <c r="I274" s="1">
        <v>45343</v>
      </c>
      <c r="J274" s="10">
        <v>149122</v>
      </c>
      <c r="K274" s="10">
        <v>15521</v>
      </c>
      <c r="L274">
        <v>1</v>
      </c>
      <c r="M274" t="s">
        <v>52</v>
      </c>
      <c r="N274" t="s">
        <v>63</v>
      </c>
      <c r="O274" t="s">
        <v>28</v>
      </c>
      <c r="P274" t="s">
        <v>29</v>
      </c>
      <c r="Q274">
        <v>15</v>
      </c>
      <c r="R274">
        <v>5</v>
      </c>
      <c r="S274">
        <v>5</v>
      </c>
      <c r="T274" t="s">
        <v>30</v>
      </c>
      <c r="U274" t="str">
        <f>IF(AND(Employees_Data[[#This Row],[Age]]&gt;=20,Employees_Data[[#This Row],[Age]]&lt;=30),"Young",IF(AND(Employees_Data[[#This Row],[Age]]&gt;=31,Employees_Data[[#This Row],[Age]]&lt;=40),"Mid-Age",IF(Employees_Data[[#This Row],[Age]]&gt;=41,"Senior")))</f>
        <v>Senior</v>
      </c>
      <c r="V274" t="str">
        <f>IF(Employees_Data[[#This Row],[Salary]]&lt;=30000,"Low",IF(AND(Employees_Data[[#This Row],[Salary]]&gt;30000,Employees_Data[[#This Row],[Salary]]&lt;=60000),"Medium",IF(AND(Employees_Data[[#This Row],[Salary]]&gt;60000,Employees_Data[[#This Row],[Salary]]&lt;=90000),"High",IF(Employees_Data[[#This Row],[Salary]]&gt;90000,"Executive"))))</f>
        <v>Executive</v>
      </c>
      <c r="W27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74" s="14" t="str">
        <f>VLOOKUP(Employees_Data[[#This Row],[Department]],Departments!$A$2:$B$7,2,FALSE)</f>
        <v>D05</v>
      </c>
      <c r="Y274" s="14" t="str">
        <f>INDEX(Departments!$B$2:$B$7,MATCH(Employees_Data[[#This Row],[Department]],Departments!$A$2:$A$7,0))</f>
        <v>D05</v>
      </c>
      <c r="Z274" s="14" t="str">
        <f>INDEX(Salary_Bands!$C$2:$C$5,MATCH(Employees_Data[[#This Row],[Salary]],Salary_Bands!$A$2:$A$5,1))</f>
        <v>Executive</v>
      </c>
    </row>
    <row r="275" spans="1:26" hidden="1" x14ac:dyDescent="0.3">
      <c r="A275" t="s">
        <v>611</v>
      </c>
      <c r="B275" t="s">
        <v>612</v>
      </c>
      <c r="C275" t="s">
        <v>40</v>
      </c>
      <c r="D275" s="12">
        <v>38</v>
      </c>
      <c r="E275" t="s">
        <v>61</v>
      </c>
      <c r="F275" t="s">
        <v>66</v>
      </c>
      <c r="G275" t="s">
        <v>25</v>
      </c>
      <c r="H275">
        <v>16</v>
      </c>
      <c r="I275" s="1">
        <v>43570</v>
      </c>
      <c r="J275" s="10">
        <v>48770</v>
      </c>
      <c r="K275" s="10">
        <v>4396</v>
      </c>
      <c r="L275">
        <v>5</v>
      </c>
      <c r="M275" t="s">
        <v>36</v>
      </c>
      <c r="N275" t="s">
        <v>48</v>
      </c>
      <c r="O275" t="s">
        <v>28</v>
      </c>
      <c r="P275" t="s">
        <v>29</v>
      </c>
      <c r="Q275">
        <v>21</v>
      </c>
      <c r="R275">
        <v>3</v>
      </c>
      <c r="S275">
        <v>1</v>
      </c>
      <c r="T275" t="s">
        <v>30</v>
      </c>
      <c r="U275" t="str">
        <f>IF(AND(Employees_Data[[#This Row],[Age]]&gt;=20,Employees_Data[[#This Row],[Age]]&lt;=30),"Young",IF(AND(Employees_Data[[#This Row],[Age]]&gt;=31,Employees_Data[[#This Row],[Age]]&lt;=40),"Mid-Age",IF(Employees_Data[[#This Row],[Age]]&gt;=41,"Senior")))</f>
        <v>Mid-Age</v>
      </c>
      <c r="V275" t="str">
        <f>IF(Employees_Data[[#This Row],[Salary]]&lt;=30000,"Low",IF(AND(Employees_Data[[#This Row],[Salary]]&gt;30000,Employees_Data[[#This Row],[Salary]]&lt;=60000),"Medium",IF(AND(Employees_Data[[#This Row],[Salary]]&gt;60000,Employees_Data[[#This Row],[Salary]]&lt;=90000),"High",IF(Employees_Data[[#This Row],[Salary]]&gt;90000,"Executive"))))</f>
        <v>Medium</v>
      </c>
      <c r="W27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75" s="14" t="str">
        <f>VLOOKUP(Employees_Data[[#This Row],[Department]],Departments!$A$2:$B$7,2,FALSE)</f>
        <v>D02</v>
      </c>
      <c r="Y275" s="14" t="str">
        <f>INDEX(Departments!$B$2:$B$7,MATCH(Employees_Data[[#This Row],[Department]],Departments!$A$2:$A$7,0))</f>
        <v>D02</v>
      </c>
      <c r="Z275" s="14" t="str">
        <f>INDEX(Salary_Bands!$C$2:$C$5,MATCH(Employees_Data[[#This Row],[Salary]],Salary_Bands!$A$2:$A$5,1))</f>
        <v>Medium</v>
      </c>
    </row>
    <row r="276" spans="1:26" hidden="1" x14ac:dyDescent="0.3">
      <c r="A276" t="s">
        <v>613</v>
      </c>
      <c r="B276" t="s">
        <v>614</v>
      </c>
      <c r="C276" t="s">
        <v>22</v>
      </c>
      <c r="D276" s="12">
        <v>53</v>
      </c>
      <c r="E276" t="s">
        <v>61</v>
      </c>
      <c r="F276" t="s">
        <v>66</v>
      </c>
      <c r="G276" t="s">
        <v>51</v>
      </c>
      <c r="H276">
        <v>30</v>
      </c>
      <c r="I276" s="1">
        <v>44563</v>
      </c>
      <c r="J276" s="10">
        <v>41805</v>
      </c>
      <c r="K276" s="10">
        <v>17920</v>
      </c>
      <c r="L276">
        <v>2</v>
      </c>
      <c r="M276" t="s">
        <v>36</v>
      </c>
      <c r="N276" t="s">
        <v>37</v>
      </c>
      <c r="O276" t="s">
        <v>28</v>
      </c>
      <c r="P276" t="s">
        <v>28</v>
      </c>
      <c r="Q276">
        <v>49</v>
      </c>
      <c r="R276">
        <v>18</v>
      </c>
      <c r="S276">
        <v>2</v>
      </c>
      <c r="T276" t="s">
        <v>43</v>
      </c>
      <c r="U276" t="str">
        <f>IF(AND(Employees_Data[[#This Row],[Age]]&gt;=20,Employees_Data[[#This Row],[Age]]&lt;=30),"Young",IF(AND(Employees_Data[[#This Row],[Age]]&gt;=31,Employees_Data[[#This Row],[Age]]&lt;=40),"Mid-Age",IF(Employees_Data[[#This Row],[Age]]&gt;=41,"Senior")))</f>
        <v>Senior</v>
      </c>
      <c r="V276" t="str">
        <f>IF(Employees_Data[[#This Row],[Salary]]&lt;=30000,"Low",IF(AND(Employees_Data[[#This Row],[Salary]]&gt;30000,Employees_Data[[#This Row],[Salary]]&lt;=60000),"Medium",IF(AND(Employees_Data[[#This Row],[Salary]]&gt;60000,Employees_Data[[#This Row],[Salary]]&lt;=90000),"High",IF(Employees_Data[[#This Row],[Salary]]&gt;90000,"Executive"))))</f>
        <v>Medium</v>
      </c>
      <c r="W27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76" s="14" t="str">
        <f>VLOOKUP(Employees_Data[[#This Row],[Department]],Departments!$A$2:$B$7,2,FALSE)</f>
        <v>D02</v>
      </c>
      <c r="Y276" s="14" t="str">
        <f>INDEX(Departments!$B$2:$B$7,MATCH(Employees_Data[[#This Row],[Department]],Departments!$A$2:$A$7,0))</f>
        <v>D02</v>
      </c>
      <c r="Z276" s="14" t="str">
        <f>INDEX(Salary_Bands!$C$2:$C$5,MATCH(Employees_Data[[#This Row],[Salary]],Salary_Bands!$A$2:$A$5,1))</f>
        <v>Medium</v>
      </c>
    </row>
    <row r="277" spans="1:26" hidden="1" x14ac:dyDescent="0.3">
      <c r="A277" t="s">
        <v>615</v>
      </c>
      <c r="B277" t="s">
        <v>616</v>
      </c>
      <c r="C277" t="s">
        <v>40</v>
      </c>
      <c r="D277" s="12">
        <v>45</v>
      </c>
      <c r="E277" t="s">
        <v>61</v>
      </c>
      <c r="F277" t="s">
        <v>66</v>
      </c>
      <c r="G277" t="s">
        <v>51</v>
      </c>
      <c r="H277">
        <v>22</v>
      </c>
      <c r="I277" s="1">
        <v>44855</v>
      </c>
      <c r="J277" s="10">
        <v>47103</v>
      </c>
      <c r="K277" s="10">
        <v>13779</v>
      </c>
      <c r="L277">
        <v>1</v>
      </c>
      <c r="M277" t="s">
        <v>26</v>
      </c>
      <c r="N277" t="s">
        <v>48</v>
      </c>
      <c r="O277" t="s">
        <v>28</v>
      </c>
      <c r="P277" t="s">
        <v>28</v>
      </c>
      <c r="Q277">
        <v>35</v>
      </c>
      <c r="R277">
        <v>14</v>
      </c>
      <c r="S277">
        <v>6</v>
      </c>
      <c r="T277" t="s">
        <v>30</v>
      </c>
      <c r="U277" t="str">
        <f>IF(AND(Employees_Data[[#This Row],[Age]]&gt;=20,Employees_Data[[#This Row],[Age]]&lt;=30),"Young",IF(AND(Employees_Data[[#This Row],[Age]]&gt;=31,Employees_Data[[#This Row],[Age]]&lt;=40),"Mid-Age",IF(Employees_Data[[#This Row],[Age]]&gt;=41,"Senior")))</f>
        <v>Senior</v>
      </c>
      <c r="V277" t="str">
        <f>IF(Employees_Data[[#This Row],[Salary]]&lt;=30000,"Low",IF(AND(Employees_Data[[#This Row],[Salary]]&gt;30000,Employees_Data[[#This Row],[Salary]]&lt;=60000),"Medium",IF(AND(Employees_Data[[#This Row],[Salary]]&gt;60000,Employees_Data[[#This Row],[Salary]]&lt;=90000),"High",IF(Employees_Data[[#This Row],[Salary]]&gt;90000,"Executive"))))</f>
        <v>Medium</v>
      </c>
      <c r="W27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77" s="14" t="str">
        <f>VLOOKUP(Employees_Data[[#This Row],[Department]],Departments!$A$2:$B$7,2,FALSE)</f>
        <v>D02</v>
      </c>
      <c r="Y277" s="14" t="str">
        <f>INDEX(Departments!$B$2:$B$7,MATCH(Employees_Data[[#This Row],[Department]],Departments!$A$2:$A$7,0))</f>
        <v>D02</v>
      </c>
      <c r="Z277" s="14" t="str">
        <f>INDEX(Salary_Bands!$C$2:$C$5,MATCH(Employees_Data[[#This Row],[Salary]],Salary_Bands!$A$2:$A$5,1))</f>
        <v>Medium</v>
      </c>
    </row>
    <row r="278" spans="1:26" x14ac:dyDescent="0.3">
      <c r="A278" t="s">
        <v>617</v>
      </c>
      <c r="B278" t="s">
        <v>618</v>
      </c>
      <c r="C278" t="s">
        <v>22</v>
      </c>
      <c r="D278" s="12">
        <v>41</v>
      </c>
      <c r="E278" t="s">
        <v>87</v>
      </c>
      <c r="F278" t="s">
        <v>220</v>
      </c>
      <c r="G278" t="s">
        <v>25</v>
      </c>
      <c r="H278">
        <v>17</v>
      </c>
      <c r="I278" s="1">
        <v>45360</v>
      </c>
      <c r="J278" s="10">
        <v>39264</v>
      </c>
      <c r="K278" s="10">
        <v>8436</v>
      </c>
      <c r="L278">
        <v>2</v>
      </c>
      <c r="M278" t="s">
        <v>36</v>
      </c>
      <c r="N278" t="s">
        <v>48</v>
      </c>
      <c r="O278" s="5" t="s">
        <v>29</v>
      </c>
      <c r="P278" t="s">
        <v>29</v>
      </c>
      <c r="Q278">
        <v>51</v>
      </c>
      <c r="R278">
        <v>2</v>
      </c>
      <c r="S278">
        <v>10</v>
      </c>
      <c r="T278" t="s">
        <v>30</v>
      </c>
      <c r="U278" t="str">
        <f>IF(AND(Employees_Data[[#This Row],[Age]]&gt;=20,Employees_Data[[#This Row],[Age]]&lt;=30),"Young",IF(AND(Employees_Data[[#This Row],[Age]]&gt;=31,Employees_Data[[#This Row],[Age]]&lt;=40),"Mid-Age",IF(Employees_Data[[#This Row],[Age]]&gt;=41,"Senior")))</f>
        <v>Senior</v>
      </c>
      <c r="V278" t="str">
        <f>IF(Employees_Data[[#This Row],[Salary]]&lt;=30000,"Low",IF(AND(Employees_Data[[#This Row],[Salary]]&gt;30000,Employees_Data[[#This Row],[Salary]]&lt;=60000),"Medium",IF(AND(Employees_Data[[#This Row],[Salary]]&gt;60000,Employees_Data[[#This Row],[Salary]]&lt;=90000),"High",IF(Employees_Data[[#This Row],[Salary]]&gt;90000,"Executive"))))</f>
        <v>Medium</v>
      </c>
      <c r="W27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78" s="14" t="str">
        <f>VLOOKUP(Employees_Data[[#This Row],[Department]],Departments!$A$2:$B$7,2,FALSE)</f>
        <v>D04</v>
      </c>
      <c r="Y278" s="14" t="str">
        <f>INDEX(Departments!$B$2:$B$7,MATCH(Employees_Data[[#This Row],[Department]],Departments!$A$2:$A$7,0))</f>
        <v>D04</v>
      </c>
      <c r="Z278" s="14" t="str">
        <f>INDEX(Salary_Bands!$C$2:$C$5,MATCH(Employees_Data[[#This Row],[Salary]],Salary_Bands!$A$2:$A$5,1))</f>
        <v>Medium</v>
      </c>
    </row>
    <row r="279" spans="1:26" hidden="1" x14ac:dyDescent="0.3">
      <c r="A279" t="s">
        <v>619</v>
      </c>
      <c r="B279" t="s">
        <v>620</v>
      </c>
      <c r="C279" t="s">
        <v>40</v>
      </c>
      <c r="D279" s="12">
        <v>23</v>
      </c>
      <c r="E279" t="s">
        <v>56</v>
      </c>
      <c r="F279" t="s">
        <v>79</v>
      </c>
      <c r="G279" t="s">
        <v>35</v>
      </c>
      <c r="H279">
        <v>0</v>
      </c>
      <c r="I279" s="1">
        <v>45472</v>
      </c>
      <c r="J279" s="10">
        <v>78101</v>
      </c>
      <c r="K279" s="10">
        <v>13987</v>
      </c>
      <c r="L279">
        <v>5</v>
      </c>
      <c r="M279" t="s">
        <v>36</v>
      </c>
      <c r="N279" t="s">
        <v>76</v>
      </c>
      <c r="O279" t="s">
        <v>28</v>
      </c>
      <c r="P279" t="s">
        <v>28</v>
      </c>
      <c r="Q279">
        <v>13</v>
      </c>
      <c r="R279">
        <v>14</v>
      </c>
      <c r="S279">
        <v>4</v>
      </c>
      <c r="T279" t="s">
        <v>30</v>
      </c>
      <c r="U279" t="str">
        <f>IF(AND(Employees_Data[[#This Row],[Age]]&gt;=20,Employees_Data[[#This Row],[Age]]&lt;=30),"Young",IF(AND(Employees_Data[[#This Row],[Age]]&gt;=31,Employees_Data[[#This Row],[Age]]&lt;=40),"Mid-Age",IF(Employees_Data[[#This Row],[Age]]&gt;=41,"Senior")))</f>
        <v>Young</v>
      </c>
      <c r="V279" t="str">
        <f>IF(Employees_Data[[#This Row],[Salary]]&lt;=30000,"Low",IF(AND(Employees_Data[[#This Row],[Salary]]&gt;30000,Employees_Data[[#This Row],[Salary]]&lt;=60000),"Medium",IF(AND(Employees_Data[[#This Row],[Salary]]&gt;60000,Employees_Data[[#This Row],[Salary]]&lt;=90000),"High",IF(Employees_Data[[#This Row],[Salary]]&gt;90000,"Executive"))))</f>
        <v>High</v>
      </c>
      <c r="W27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279" s="14" t="str">
        <f>VLOOKUP(Employees_Data[[#This Row],[Department]],Departments!$A$2:$B$7,2,FALSE)</f>
        <v>D01</v>
      </c>
      <c r="Y279" s="14" t="str">
        <f>INDEX(Departments!$B$2:$B$7,MATCH(Employees_Data[[#This Row],[Department]],Departments!$A$2:$A$7,0))</f>
        <v>D01</v>
      </c>
      <c r="Z279" s="14" t="str">
        <f>INDEX(Salary_Bands!$C$2:$C$5,MATCH(Employees_Data[[#This Row],[Salary]],Salary_Bands!$A$2:$A$5,1))</f>
        <v>High</v>
      </c>
    </row>
    <row r="280" spans="1:26" hidden="1" x14ac:dyDescent="0.3">
      <c r="A280" t="s">
        <v>621</v>
      </c>
      <c r="B280" t="s">
        <v>622</v>
      </c>
      <c r="C280" t="s">
        <v>22</v>
      </c>
      <c r="D280" s="12">
        <v>27</v>
      </c>
      <c r="E280" t="s">
        <v>33</v>
      </c>
      <c r="F280" t="s">
        <v>34</v>
      </c>
      <c r="G280" t="s">
        <v>25</v>
      </c>
      <c r="H280">
        <v>3</v>
      </c>
      <c r="I280" s="1">
        <v>44591</v>
      </c>
      <c r="J280" s="10">
        <v>90820</v>
      </c>
      <c r="K280" s="10">
        <v>6599</v>
      </c>
      <c r="L280">
        <v>1</v>
      </c>
      <c r="M280" t="s">
        <v>36</v>
      </c>
      <c r="N280" t="s">
        <v>76</v>
      </c>
      <c r="O280" t="s">
        <v>28</v>
      </c>
      <c r="P280" t="s">
        <v>29</v>
      </c>
      <c r="Q280">
        <v>41</v>
      </c>
      <c r="R280">
        <v>18</v>
      </c>
      <c r="S280">
        <v>4</v>
      </c>
      <c r="T280" t="s">
        <v>30</v>
      </c>
      <c r="U280" t="str">
        <f>IF(AND(Employees_Data[[#This Row],[Age]]&gt;=20,Employees_Data[[#This Row],[Age]]&lt;=30),"Young",IF(AND(Employees_Data[[#This Row],[Age]]&gt;=31,Employees_Data[[#This Row],[Age]]&lt;=40),"Mid-Age",IF(Employees_Data[[#This Row],[Age]]&gt;=41,"Senior")))</f>
        <v>Young</v>
      </c>
      <c r="V280" t="str">
        <f>IF(Employees_Data[[#This Row],[Salary]]&lt;=30000,"Low",IF(AND(Employees_Data[[#This Row],[Salary]]&gt;30000,Employees_Data[[#This Row],[Salary]]&lt;=60000),"Medium",IF(AND(Employees_Data[[#This Row],[Salary]]&gt;60000,Employees_Data[[#This Row],[Salary]]&lt;=90000),"High",IF(Employees_Data[[#This Row],[Salary]]&gt;90000,"Executive"))))</f>
        <v>Executive</v>
      </c>
      <c r="W28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280" s="14" t="str">
        <f>VLOOKUP(Employees_Data[[#This Row],[Department]],Departments!$A$2:$B$7,2,FALSE)</f>
        <v>D05</v>
      </c>
      <c r="Y280" s="14" t="str">
        <f>INDEX(Departments!$B$2:$B$7,MATCH(Employees_Data[[#This Row],[Department]],Departments!$A$2:$A$7,0))</f>
        <v>D05</v>
      </c>
      <c r="Z280" s="14" t="str">
        <f>INDEX(Salary_Bands!$C$2:$C$5,MATCH(Employees_Data[[#This Row],[Salary]],Salary_Bands!$A$2:$A$5,1))</f>
        <v>Executive</v>
      </c>
    </row>
    <row r="281" spans="1:26" x14ac:dyDescent="0.3">
      <c r="A281" t="s">
        <v>623</v>
      </c>
      <c r="B281" t="s">
        <v>624</v>
      </c>
      <c r="C281" t="s">
        <v>22</v>
      </c>
      <c r="D281" s="12">
        <v>52</v>
      </c>
      <c r="E281" t="s">
        <v>23</v>
      </c>
      <c r="F281" t="s">
        <v>24</v>
      </c>
      <c r="G281" t="s">
        <v>35</v>
      </c>
      <c r="H281">
        <v>29</v>
      </c>
      <c r="I281" s="1">
        <v>43266</v>
      </c>
      <c r="J281" s="10">
        <v>53681</v>
      </c>
      <c r="K281" s="10">
        <v>18970</v>
      </c>
      <c r="L281">
        <v>4</v>
      </c>
      <c r="M281" t="s">
        <v>36</v>
      </c>
      <c r="N281" t="s">
        <v>58</v>
      </c>
      <c r="O281" s="5" t="s">
        <v>29</v>
      </c>
      <c r="P281" t="s">
        <v>28</v>
      </c>
      <c r="Q281">
        <v>34</v>
      </c>
      <c r="R281">
        <v>1</v>
      </c>
      <c r="S281">
        <v>4</v>
      </c>
      <c r="T281" t="s">
        <v>30</v>
      </c>
      <c r="U281" t="str">
        <f>IF(AND(Employees_Data[[#This Row],[Age]]&gt;=20,Employees_Data[[#This Row],[Age]]&lt;=30),"Young",IF(AND(Employees_Data[[#This Row],[Age]]&gt;=31,Employees_Data[[#This Row],[Age]]&lt;=40),"Mid-Age",IF(Employees_Data[[#This Row],[Age]]&gt;=41,"Senior")))</f>
        <v>Senior</v>
      </c>
      <c r="V281" t="str">
        <f>IF(Employees_Data[[#This Row],[Salary]]&lt;=30000,"Low",IF(AND(Employees_Data[[#This Row],[Salary]]&gt;30000,Employees_Data[[#This Row],[Salary]]&lt;=60000),"Medium",IF(AND(Employees_Data[[#This Row],[Salary]]&gt;60000,Employees_Data[[#This Row],[Salary]]&lt;=90000),"High",IF(Employees_Data[[#This Row],[Salary]]&gt;90000,"Executive"))))</f>
        <v>Medium</v>
      </c>
      <c r="W28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81" s="14" t="str">
        <f>VLOOKUP(Employees_Data[[#This Row],[Department]],Departments!$A$2:$B$7,2,FALSE)</f>
        <v>D06</v>
      </c>
      <c r="Y281" s="14" t="str">
        <f>INDEX(Departments!$B$2:$B$7,MATCH(Employees_Data[[#This Row],[Department]],Departments!$A$2:$A$7,0))</f>
        <v>D06</v>
      </c>
      <c r="Z281" s="14" t="str">
        <f>INDEX(Salary_Bands!$C$2:$C$5,MATCH(Employees_Data[[#This Row],[Salary]],Salary_Bands!$A$2:$A$5,1))</f>
        <v>Medium</v>
      </c>
    </row>
    <row r="282" spans="1:26" hidden="1" x14ac:dyDescent="0.3">
      <c r="A282" t="s">
        <v>625</v>
      </c>
      <c r="B282" t="s">
        <v>626</v>
      </c>
      <c r="C282" t="s">
        <v>40</v>
      </c>
      <c r="D282" s="12">
        <v>42</v>
      </c>
      <c r="E282" t="s">
        <v>56</v>
      </c>
      <c r="F282" t="s">
        <v>79</v>
      </c>
      <c r="G282" t="s">
        <v>47</v>
      </c>
      <c r="H282">
        <v>21</v>
      </c>
      <c r="I282" s="1">
        <v>45236</v>
      </c>
      <c r="J282" s="10">
        <v>108042</v>
      </c>
      <c r="K282" s="10">
        <v>13970</v>
      </c>
      <c r="L282">
        <v>3</v>
      </c>
      <c r="M282" t="s">
        <v>52</v>
      </c>
      <c r="N282" t="s">
        <v>48</v>
      </c>
      <c r="O282" t="s">
        <v>28</v>
      </c>
      <c r="P282" t="s">
        <v>29</v>
      </c>
      <c r="Q282">
        <v>38</v>
      </c>
      <c r="R282">
        <v>8</v>
      </c>
      <c r="S282">
        <v>5</v>
      </c>
      <c r="T282" t="s">
        <v>30</v>
      </c>
      <c r="U282" t="str">
        <f>IF(AND(Employees_Data[[#This Row],[Age]]&gt;=20,Employees_Data[[#This Row],[Age]]&lt;=30),"Young",IF(AND(Employees_Data[[#This Row],[Age]]&gt;=31,Employees_Data[[#This Row],[Age]]&lt;=40),"Mid-Age",IF(Employees_Data[[#This Row],[Age]]&gt;=41,"Senior")))</f>
        <v>Senior</v>
      </c>
      <c r="V282" t="str">
        <f>IF(Employees_Data[[#This Row],[Salary]]&lt;=30000,"Low",IF(AND(Employees_Data[[#This Row],[Salary]]&gt;30000,Employees_Data[[#This Row],[Salary]]&lt;=60000),"Medium",IF(AND(Employees_Data[[#This Row],[Salary]]&gt;60000,Employees_Data[[#This Row],[Salary]]&lt;=90000),"High",IF(Employees_Data[[#This Row],[Salary]]&gt;90000,"Executive"))))</f>
        <v>Executive</v>
      </c>
      <c r="W28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82" s="14" t="str">
        <f>VLOOKUP(Employees_Data[[#This Row],[Department]],Departments!$A$2:$B$7,2,FALSE)</f>
        <v>D01</v>
      </c>
      <c r="Y282" s="14" t="str">
        <f>INDEX(Departments!$B$2:$B$7,MATCH(Employees_Data[[#This Row],[Department]],Departments!$A$2:$A$7,0))</f>
        <v>D01</v>
      </c>
      <c r="Z282" s="14" t="str">
        <f>INDEX(Salary_Bands!$C$2:$C$5,MATCH(Employees_Data[[#This Row],[Salary]],Salary_Bands!$A$2:$A$5,1))</f>
        <v>Executive</v>
      </c>
    </row>
    <row r="283" spans="1:26" hidden="1" x14ac:dyDescent="0.3">
      <c r="A283" t="s">
        <v>627</v>
      </c>
      <c r="B283" t="s">
        <v>628</v>
      </c>
      <c r="C283" t="s">
        <v>22</v>
      </c>
      <c r="D283" s="12">
        <v>55</v>
      </c>
      <c r="E283" t="s">
        <v>87</v>
      </c>
      <c r="F283" t="s">
        <v>91</v>
      </c>
      <c r="G283" t="s">
        <v>25</v>
      </c>
      <c r="H283">
        <v>31</v>
      </c>
      <c r="I283" s="1">
        <v>44546</v>
      </c>
      <c r="J283" s="10">
        <v>132116</v>
      </c>
      <c r="K283" s="10">
        <v>6553</v>
      </c>
      <c r="L283">
        <v>3</v>
      </c>
      <c r="M283" t="s">
        <v>36</v>
      </c>
      <c r="N283" t="s">
        <v>76</v>
      </c>
      <c r="O283" t="s">
        <v>28</v>
      </c>
      <c r="P283" t="s">
        <v>29</v>
      </c>
      <c r="Q283">
        <v>9</v>
      </c>
      <c r="R283">
        <v>16</v>
      </c>
      <c r="S283">
        <v>8</v>
      </c>
      <c r="T283" t="s">
        <v>30</v>
      </c>
      <c r="U283" t="str">
        <f>IF(AND(Employees_Data[[#This Row],[Age]]&gt;=20,Employees_Data[[#This Row],[Age]]&lt;=30),"Young",IF(AND(Employees_Data[[#This Row],[Age]]&gt;=31,Employees_Data[[#This Row],[Age]]&lt;=40),"Mid-Age",IF(Employees_Data[[#This Row],[Age]]&gt;=41,"Senior")))</f>
        <v>Senior</v>
      </c>
      <c r="V283" t="str">
        <f>IF(Employees_Data[[#This Row],[Salary]]&lt;=30000,"Low",IF(AND(Employees_Data[[#This Row],[Salary]]&gt;30000,Employees_Data[[#This Row],[Salary]]&lt;=60000),"Medium",IF(AND(Employees_Data[[#This Row],[Salary]]&gt;60000,Employees_Data[[#This Row],[Salary]]&lt;=90000),"High",IF(Employees_Data[[#This Row],[Salary]]&gt;90000,"Executive"))))</f>
        <v>Executive</v>
      </c>
      <c r="W28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83" s="14" t="str">
        <f>VLOOKUP(Employees_Data[[#This Row],[Department]],Departments!$A$2:$B$7,2,FALSE)</f>
        <v>D04</v>
      </c>
      <c r="Y283" s="14" t="str">
        <f>INDEX(Departments!$B$2:$B$7,MATCH(Employees_Data[[#This Row],[Department]],Departments!$A$2:$A$7,0))</f>
        <v>D04</v>
      </c>
      <c r="Z283" s="14" t="str">
        <f>INDEX(Salary_Bands!$C$2:$C$5,MATCH(Employees_Data[[#This Row],[Salary]],Salary_Bands!$A$2:$A$5,1))</f>
        <v>Executive</v>
      </c>
    </row>
    <row r="284" spans="1:26" hidden="1" x14ac:dyDescent="0.3">
      <c r="A284" t="s">
        <v>629</v>
      </c>
      <c r="B284" t="s">
        <v>630</v>
      </c>
      <c r="C284" t="s">
        <v>22</v>
      </c>
      <c r="D284" s="12">
        <v>35</v>
      </c>
      <c r="E284" t="s">
        <v>23</v>
      </c>
      <c r="F284" t="s">
        <v>100</v>
      </c>
      <c r="G284" t="s">
        <v>47</v>
      </c>
      <c r="H284">
        <v>13</v>
      </c>
      <c r="I284" s="1">
        <v>43866</v>
      </c>
      <c r="J284" s="10">
        <v>45625</v>
      </c>
      <c r="K284" s="10">
        <v>12820</v>
      </c>
      <c r="L284">
        <v>3</v>
      </c>
      <c r="M284" t="s">
        <v>52</v>
      </c>
      <c r="N284" t="s">
        <v>27</v>
      </c>
      <c r="O284" t="s">
        <v>28</v>
      </c>
      <c r="P284" t="s">
        <v>28</v>
      </c>
      <c r="Q284">
        <v>48</v>
      </c>
      <c r="R284">
        <v>15</v>
      </c>
      <c r="S284">
        <v>10</v>
      </c>
      <c r="T284" t="s">
        <v>43</v>
      </c>
      <c r="U284" t="str">
        <f>IF(AND(Employees_Data[[#This Row],[Age]]&gt;=20,Employees_Data[[#This Row],[Age]]&lt;=30),"Young",IF(AND(Employees_Data[[#This Row],[Age]]&gt;=31,Employees_Data[[#This Row],[Age]]&lt;=40),"Mid-Age",IF(Employees_Data[[#This Row],[Age]]&gt;=41,"Senior")))</f>
        <v>Mid-Age</v>
      </c>
      <c r="V284" t="str">
        <f>IF(Employees_Data[[#This Row],[Salary]]&lt;=30000,"Low",IF(AND(Employees_Data[[#This Row],[Salary]]&gt;30000,Employees_Data[[#This Row],[Salary]]&lt;=60000),"Medium",IF(AND(Employees_Data[[#This Row],[Salary]]&gt;60000,Employees_Data[[#This Row],[Salary]]&lt;=90000),"High",IF(Employees_Data[[#This Row],[Salary]]&gt;90000,"Executive"))))</f>
        <v>Medium</v>
      </c>
      <c r="W28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84" s="14" t="str">
        <f>VLOOKUP(Employees_Data[[#This Row],[Department]],Departments!$A$2:$B$7,2,FALSE)</f>
        <v>D06</v>
      </c>
      <c r="Y284" s="14" t="str">
        <f>INDEX(Departments!$B$2:$B$7,MATCH(Employees_Data[[#This Row],[Department]],Departments!$A$2:$A$7,0))</f>
        <v>D06</v>
      </c>
      <c r="Z284" s="14" t="str">
        <f>INDEX(Salary_Bands!$C$2:$C$5,MATCH(Employees_Data[[#This Row],[Salary]],Salary_Bands!$A$2:$A$5,1))</f>
        <v>Medium</v>
      </c>
    </row>
    <row r="285" spans="1:26" x14ac:dyDescent="0.3">
      <c r="A285" t="s">
        <v>631</v>
      </c>
      <c r="B285" t="s">
        <v>632</v>
      </c>
      <c r="C285" t="s">
        <v>22</v>
      </c>
      <c r="D285" s="12">
        <v>32</v>
      </c>
      <c r="E285" t="s">
        <v>87</v>
      </c>
      <c r="F285" t="s">
        <v>91</v>
      </c>
      <c r="G285" t="s">
        <v>25</v>
      </c>
      <c r="H285">
        <v>6</v>
      </c>
      <c r="I285" s="1">
        <v>44784</v>
      </c>
      <c r="J285" s="10">
        <v>27942</v>
      </c>
      <c r="K285" s="10">
        <v>3284</v>
      </c>
      <c r="L285">
        <v>2</v>
      </c>
      <c r="M285" t="s">
        <v>52</v>
      </c>
      <c r="N285" t="s">
        <v>76</v>
      </c>
      <c r="O285" s="5" t="s">
        <v>29</v>
      </c>
      <c r="P285" t="s">
        <v>29</v>
      </c>
      <c r="Q285">
        <v>15</v>
      </c>
      <c r="R285">
        <v>8</v>
      </c>
      <c r="S285">
        <v>1</v>
      </c>
      <c r="T285" t="s">
        <v>30</v>
      </c>
      <c r="U285" t="str">
        <f>IF(AND(Employees_Data[[#This Row],[Age]]&gt;=20,Employees_Data[[#This Row],[Age]]&lt;=30),"Young",IF(AND(Employees_Data[[#This Row],[Age]]&gt;=31,Employees_Data[[#This Row],[Age]]&lt;=40),"Mid-Age",IF(Employees_Data[[#This Row],[Age]]&gt;=41,"Senior")))</f>
        <v>Mid-Age</v>
      </c>
      <c r="V285" t="str">
        <f>IF(Employees_Data[[#This Row],[Salary]]&lt;=30000,"Low",IF(AND(Employees_Data[[#This Row],[Salary]]&gt;30000,Employees_Data[[#This Row],[Salary]]&lt;=60000),"Medium",IF(AND(Employees_Data[[#This Row],[Salary]]&gt;60000,Employees_Data[[#This Row],[Salary]]&lt;=90000),"High",IF(Employees_Data[[#This Row],[Salary]]&gt;90000,"Executive"))))</f>
        <v>Low</v>
      </c>
      <c r="W28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285" s="14" t="str">
        <f>VLOOKUP(Employees_Data[[#This Row],[Department]],Departments!$A$2:$B$7,2,FALSE)</f>
        <v>D04</v>
      </c>
      <c r="Y285" s="14" t="str">
        <f>INDEX(Departments!$B$2:$B$7,MATCH(Employees_Data[[#This Row],[Department]],Departments!$A$2:$A$7,0))</f>
        <v>D04</v>
      </c>
      <c r="Z285" s="14" t="str">
        <f>INDEX(Salary_Bands!$C$2:$C$5,MATCH(Employees_Data[[#This Row],[Salary]],Salary_Bands!$A$2:$A$5,1))</f>
        <v>Low</v>
      </c>
    </row>
    <row r="286" spans="1:26" hidden="1" x14ac:dyDescent="0.3">
      <c r="A286" t="s">
        <v>633</v>
      </c>
      <c r="B286" t="s">
        <v>634</v>
      </c>
      <c r="C286" t="s">
        <v>40</v>
      </c>
      <c r="D286" s="12">
        <v>47</v>
      </c>
      <c r="E286" t="s">
        <v>61</v>
      </c>
      <c r="F286" t="s">
        <v>66</v>
      </c>
      <c r="G286" t="s">
        <v>47</v>
      </c>
      <c r="H286">
        <v>22</v>
      </c>
      <c r="I286" s="1">
        <v>45409</v>
      </c>
      <c r="J286" s="10">
        <v>108574</v>
      </c>
      <c r="K286" s="10">
        <v>7589</v>
      </c>
      <c r="L286">
        <v>1</v>
      </c>
      <c r="M286" t="s">
        <v>26</v>
      </c>
      <c r="N286" t="s">
        <v>63</v>
      </c>
      <c r="O286" t="s">
        <v>28</v>
      </c>
      <c r="P286" t="s">
        <v>28</v>
      </c>
      <c r="Q286">
        <v>43</v>
      </c>
      <c r="R286">
        <v>4</v>
      </c>
      <c r="S286">
        <v>5</v>
      </c>
      <c r="T286" t="s">
        <v>30</v>
      </c>
      <c r="U286" t="str">
        <f>IF(AND(Employees_Data[[#This Row],[Age]]&gt;=20,Employees_Data[[#This Row],[Age]]&lt;=30),"Young",IF(AND(Employees_Data[[#This Row],[Age]]&gt;=31,Employees_Data[[#This Row],[Age]]&lt;=40),"Mid-Age",IF(Employees_Data[[#This Row],[Age]]&gt;=41,"Senior")))</f>
        <v>Senior</v>
      </c>
      <c r="V286" t="str">
        <f>IF(Employees_Data[[#This Row],[Salary]]&lt;=30000,"Low",IF(AND(Employees_Data[[#This Row],[Salary]]&gt;30000,Employees_Data[[#This Row],[Salary]]&lt;=60000),"Medium",IF(AND(Employees_Data[[#This Row],[Salary]]&gt;60000,Employees_Data[[#This Row],[Salary]]&lt;=90000),"High",IF(Employees_Data[[#This Row],[Salary]]&gt;90000,"Executive"))))</f>
        <v>Executive</v>
      </c>
      <c r="W28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86" s="14" t="str">
        <f>VLOOKUP(Employees_Data[[#This Row],[Department]],Departments!$A$2:$B$7,2,FALSE)</f>
        <v>D02</v>
      </c>
      <c r="Y286" s="14" t="str">
        <f>INDEX(Departments!$B$2:$B$7,MATCH(Employees_Data[[#This Row],[Department]],Departments!$A$2:$A$7,0))</f>
        <v>D02</v>
      </c>
      <c r="Z286" s="14" t="str">
        <f>INDEX(Salary_Bands!$C$2:$C$5,MATCH(Employees_Data[[#This Row],[Salary]],Salary_Bands!$A$2:$A$5,1))</f>
        <v>Executive</v>
      </c>
    </row>
    <row r="287" spans="1:26" hidden="1" x14ac:dyDescent="0.3">
      <c r="A287" t="s">
        <v>635</v>
      </c>
      <c r="B287" t="s">
        <v>636</v>
      </c>
      <c r="C287" t="s">
        <v>40</v>
      </c>
      <c r="D287" s="12">
        <v>54</v>
      </c>
      <c r="E287" t="s">
        <v>33</v>
      </c>
      <c r="F287" t="s">
        <v>118</v>
      </c>
      <c r="G287" t="s">
        <v>47</v>
      </c>
      <c r="H287">
        <v>31</v>
      </c>
      <c r="I287" s="1">
        <v>43787</v>
      </c>
      <c r="J287" s="10">
        <v>119920</v>
      </c>
      <c r="K287" s="10">
        <v>6332</v>
      </c>
      <c r="L287">
        <v>3</v>
      </c>
      <c r="M287" t="s">
        <v>26</v>
      </c>
      <c r="N287" t="s">
        <v>27</v>
      </c>
      <c r="O287" t="s">
        <v>28</v>
      </c>
      <c r="P287" t="s">
        <v>29</v>
      </c>
      <c r="Q287">
        <v>38</v>
      </c>
      <c r="R287">
        <v>16</v>
      </c>
      <c r="S287">
        <v>8</v>
      </c>
      <c r="T287" t="s">
        <v>43</v>
      </c>
      <c r="U287" t="str">
        <f>IF(AND(Employees_Data[[#This Row],[Age]]&gt;=20,Employees_Data[[#This Row],[Age]]&lt;=30),"Young",IF(AND(Employees_Data[[#This Row],[Age]]&gt;=31,Employees_Data[[#This Row],[Age]]&lt;=40),"Mid-Age",IF(Employees_Data[[#This Row],[Age]]&gt;=41,"Senior")))</f>
        <v>Senior</v>
      </c>
      <c r="V287" t="str">
        <f>IF(Employees_Data[[#This Row],[Salary]]&lt;=30000,"Low",IF(AND(Employees_Data[[#This Row],[Salary]]&gt;30000,Employees_Data[[#This Row],[Salary]]&lt;=60000),"Medium",IF(AND(Employees_Data[[#This Row],[Salary]]&gt;60000,Employees_Data[[#This Row],[Salary]]&lt;=90000),"High",IF(Employees_Data[[#This Row],[Salary]]&gt;90000,"Executive"))))</f>
        <v>Executive</v>
      </c>
      <c r="W28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87" s="14" t="str">
        <f>VLOOKUP(Employees_Data[[#This Row],[Department]],Departments!$A$2:$B$7,2,FALSE)</f>
        <v>D05</v>
      </c>
      <c r="Y287" s="14" t="str">
        <f>INDEX(Departments!$B$2:$B$7,MATCH(Employees_Data[[#This Row],[Department]],Departments!$A$2:$A$7,0))</f>
        <v>D05</v>
      </c>
      <c r="Z287" s="14" t="str">
        <f>INDEX(Salary_Bands!$C$2:$C$5,MATCH(Employees_Data[[#This Row],[Salary]],Salary_Bands!$A$2:$A$5,1))</f>
        <v>Executive</v>
      </c>
    </row>
    <row r="288" spans="1:26" hidden="1" x14ac:dyDescent="0.3">
      <c r="A288" t="s">
        <v>637</v>
      </c>
      <c r="B288" t="s">
        <v>638</v>
      </c>
      <c r="C288" t="s">
        <v>22</v>
      </c>
      <c r="D288" s="12">
        <v>31</v>
      </c>
      <c r="E288" t="s">
        <v>23</v>
      </c>
      <c r="F288" t="s">
        <v>100</v>
      </c>
      <c r="G288" t="s">
        <v>80</v>
      </c>
      <c r="H288">
        <v>6</v>
      </c>
      <c r="I288" s="1">
        <v>43495</v>
      </c>
      <c r="J288" s="10">
        <v>48255</v>
      </c>
      <c r="K288" s="10">
        <v>17802</v>
      </c>
      <c r="L288">
        <v>4</v>
      </c>
      <c r="M288" t="s">
        <v>52</v>
      </c>
      <c r="N288" t="s">
        <v>76</v>
      </c>
      <c r="O288" t="s">
        <v>28</v>
      </c>
      <c r="P288" t="s">
        <v>29</v>
      </c>
      <c r="Q288">
        <v>54</v>
      </c>
      <c r="R288">
        <v>20</v>
      </c>
      <c r="S288">
        <v>10</v>
      </c>
      <c r="T288" t="s">
        <v>30</v>
      </c>
      <c r="U288" t="str">
        <f>IF(AND(Employees_Data[[#This Row],[Age]]&gt;=20,Employees_Data[[#This Row],[Age]]&lt;=30),"Young",IF(AND(Employees_Data[[#This Row],[Age]]&gt;=31,Employees_Data[[#This Row],[Age]]&lt;=40),"Mid-Age",IF(Employees_Data[[#This Row],[Age]]&gt;=41,"Senior")))</f>
        <v>Mid-Age</v>
      </c>
      <c r="V288" t="str">
        <f>IF(Employees_Data[[#This Row],[Salary]]&lt;=30000,"Low",IF(AND(Employees_Data[[#This Row],[Salary]]&gt;30000,Employees_Data[[#This Row],[Salary]]&lt;=60000),"Medium",IF(AND(Employees_Data[[#This Row],[Salary]]&gt;60000,Employees_Data[[#This Row],[Salary]]&lt;=90000),"High",IF(Employees_Data[[#This Row],[Salary]]&gt;90000,"Executive"))))</f>
        <v>Medium</v>
      </c>
      <c r="W28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288" s="14" t="str">
        <f>VLOOKUP(Employees_Data[[#This Row],[Department]],Departments!$A$2:$B$7,2,FALSE)</f>
        <v>D06</v>
      </c>
      <c r="Y288" s="14" t="str">
        <f>INDEX(Departments!$B$2:$B$7,MATCH(Employees_Data[[#This Row],[Department]],Departments!$A$2:$A$7,0))</f>
        <v>D06</v>
      </c>
      <c r="Z288" s="14" t="str">
        <f>INDEX(Salary_Bands!$C$2:$C$5,MATCH(Employees_Data[[#This Row],[Salary]],Salary_Bands!$A$2:$A$5,1))</f>
        <v>Medium</v>
      </c>
    </row>
    <row r="289" spans="1:26" hidden="1" x14ac:dyDescent="0.3">
      <c r="A289" t="s">
        <v>639</v>
      </c>
      <c r="B289" t="s">
        <v>640</v>
      </c>
      <c r="C289" t="s">
        <v>40</v>
      </c>
      <c r="D289" s="12">
        <v>48</v>
      </c>
      <c r="E289" t="s">
        <v>87</v>
      </c>
      <c r="F289" t="s">
        <v>88</v>
      </c>
      <c r="G289" t="s">
        <v>51</v>
      </c>
      <c r="H289">
        <v>25</v>
      </c>
      <c r="I289" s="1">
        <v>43278</v>
      </c>
      <c r="J289" s="10">
        <v>116441</v>
      </c>
      <c r="K289" s="10">
        <v>21301</v>
      </c>
      <c r="L289">
        <v>5</v>
      </c>
      <c r="M289" t="s">
        <v>52</v>
      </c>
      <c r="N289" t="s">
        <v>63</v>
      </c>
      <c r="O289" t="s">
        <v>28</v>
      </c>
      <c r="P289" t="s">
        <v>29</v>
      </c>
      <c r="Q289">
        <v>32</v>
      </c>
      <c r="R289">
        <v>4</v>
      </c>
      <c r="S289">
        <v>7</v>
      </c>
      <c r="T289" t="s">
        <v>30</v>
      </c>
      <c r="U289" t="str">
        <f>IF(AND(Employees_Data[[#This Row],[Age]]&gt;=20,Employees_Data[[#This Row],[Age]]&lt;=30),"Young",IF(AND(Employees_Data[[#This Row],[Age]]&gt;=31,Employees_Data[[#This Row],[Age]]&lt;=40),"Mid-Age",IF(Employees_Data[[#This Row],[Age]]&gt;=41,"Senior")))</f>
        <v>Senior</v>
      </c>
      <c r="V289" t="str">
        <f>IF(Employees_Data[[#This Row],[Salary]]&lt;=30000,"Low",IF(AND(Employees_Data[[#This Row],[Salary]]&gt;30000,Employees_Data[[#This Row],[Salary]]&lt;=60000),"Medium",IF(AND(Employees_Data[[#This Row],[Salary]]&gt;60000,Employees_Data[[#This Row],[Salary]]&lt;=90000),"High",IF(Employees_Data[[#This Row],[Salary]]&gt;90000,"Executive"))))</f>
        <v>Executive</v>
      </c>
      <c r="W28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89" s="14" t="str">
        <f>VLOOKUP(Employees_Data[[#This Row],[Department]],Departments!$A$2:$B$7,2,FALSE)</f>
        <v>D04</v>
      </c>
      <c r="Y289" s="14" t="str">
        <f>INDEX(Departments!$B$2:$B$7,MATCH(Employees_Data[[#This Row],[Department]],Departments!$A$2:$A$7,0))</f>
        <v>D04</v>
      </c>
      <c r="Z289" s="14" t="str">
        <f>INDEX(Salary_Bands!$C$2:$C$5,MATCH(Employees_Data[[#This Row],[Salary]],Salary_Bands!$A$2:$A$5,1))</f>
        <v>Executive</v>
      </c>
    </row>
    <row r="290" spans="1:26" hidden="1" x14ac:dyDescent="0.3">
      <c r="A290" t="s">
        <v>641</v>
      </c>
      <c r="B290" t="s">
        <v>642</v>
      </c>
      <c r="C290" t="s">
        <v>22</v>
      </c>
      <c r="D290" s="12">
        <v>36</v>
      </c>
      <c r="E290" t="s">
        <v>41</v>
      </c>
      <c r="F290" t="s">
        <v>232</v>
      </c>
      <c r="G290" t="s">
        <v>25</v>
      </c>
      <c r="H290">
        <v>15</v>
      </c>
      <c r="I290" s="1">
        <v>44261</v>
      </c>
      <c r="J290" s="10">
        <v>103419</v>
      </c>
      <c r="K290" s="10">
        <v>19122</v>
      </c>
      <c r="L290">
        <v>5</v>
      </c>
      <c r="M290" t="s">
        <v>26</v>
      </c>
      <c r="N290" t="s">
        <v>53</v>
      </c>
      <c r="O290" t="s">
        <v>28</v>
      </c>
      <c r="P290" t="s">
        <v>29</v>
      </c>
      <c r="Q290">
        <v>29</v>
      </c>
      <c r="R290">
        <v>20</v>
      </c>
      <c r="S290">
        <v>7</v>
      </c>
      <c r="T290" t="s">
        <v>43</v>
      </c>
      <c r="U290" t="str">
        <f>IF(AND(Employees_Data[[#This Row],[Age]]&gt;=20,Employees_Data[[#This Row],[Age]]&lt;=30),"Young",IF(AND(Employees_Data[[#This Row],[Age]]&gt;=31,Employees_Data[[#This Row],[Age]]&lt;=40),"Mid-Age",IF(Employees_Data[[#This Row],[Age]]&gt;=41,"Senior")))</f>
        <v>Mid-Age</v>
      </c>
      <c r="V290" t="str">
        <f>IF(Employees_Data[[#This Row],[Salary]]&lt;=30000,"Low",IF(AND(Employees_Data[[#This Row],[Salary]]&gt;30000,Employees_Data[[#This Row],[Salary]]&lt;=60000),"Medium",IF(AND(Employees_Data[[#This Row],[Salary]]&gt;60000,Employees_Data[[#This Row],[Salary]]&lt;=90000),"High",IF(Employees_Data[[#This Row],[Salary]]&gt;90000,"Executive"))))</f>
        <v>Executive</v>
      </c>
      <c r="W29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90" s="14" t="str">
        <f>VLOOKUP(Employees_Data[[#This Row],[Department]],Departments!$A$2:$B$7,2,FALSE)</f>
        <v>D03</v>
      </c>
      <c r="Y290" s="14" t="str">
        <f>INDEX(Departments!$B$2:$B$7,MATCH(Employees_Data[[#This Row],[Department]],Departments!$A$2:$A$7,0))</f>
        <v>D03</v>
      </c>
      <c r="Z290" s="14" t="str">
        <f>INDEX(Salary_Bands!$C$2:$C$5,MATCH(Employees_Data[[#This Row],[Salary]],Salary_Bands!$A$2:$A$5,1))</f>
        <v>Executive</v>
      </c>
    </row>
    <row r="291" spans="1:26" hidden="1" x14ac:dyDescent="0.3">
      <c r="A291" t="s">
        <v>643</v>
      </c>
      <c r="B291" t="s">
        <v>644</v>
      </c>
      <c r="C291" t="s">
        <v>40</v>
      </c>
      <c r="D291" s="12">
        <v>42</v>
      </c>
      <c r="E291" t="s">
        <v>61</v>
      </c>
      <c r="F291" t="s">
        <v>66</v>
      </c>
      <c r="G291" t="s">
        <v>25</v>
      </c>
      <c r="H291">
        <v>18</v>
      </c>
      <c r="I291" s="1">
        <v>44584</v>
      </c>
      <c r="J291" s="10">
        <v>38970</v>
      </c>
      <c r="K291" s="10">
        <v>13981</v>
      </c>
      <c r="L291">
        <v>2</v>
      </c>
      <c r="M291" t="s">
        <v>52</v>
      </c>
      <c r="N291" t="s">
        <v>37</v>
      </c>
      <c r="O291" t="s">
        <v>28</v>
      </c>
      <c r="P291" t="s">
        <v>28</v>
      </c>
      <c r="Q291">
        <v>53</v>
      </c>
      <c r="R291">
        <v>6</v>
      </c>
      <c r="S291">
        <v>7</v>
      </c>
      <c r="T291" t="s">
        <v>30</v>
      </c>
      <c r="U291" t="str">
        <f>IF(AND(Employees_Data[[#This Row],[Age]]&gt;=20,Employees_Data[[#This Row],[Age]]&lt;=30),"Young",IF(AND(Employees_Data[[#This Row],[Age]]&gt;=31,Employees_Data[[#This Row],[Age]]&lt;=40),"Mid-Age",IF(Employees_Data[[#This Row],[Age]]&gt;=41,"Senior")))</f>
        <v>Senior</v>
      </c>
      <c r="V291" t="str">
        <f>IF(Employees_Data[[#This Row],[Salary]]&lt;=30000,"Low",IF(AND(Employees_Data[[#This Row],[Salary]]&gt;30000,Employees_Data[[#This Row],[Salary]]&lt;=60000),"Medium",IF(AND(Employees_Data[[#This Row],[Salary]]&gt;60000,Employees_Data[[#This Row],[Salary]]&lt;=90000),"High",IF(Employees_Data[[#This Row],[Salary]]&gt;90000,"Executive"))))</f>
        <v>Medium</v>
      </c>
      <c r="W29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91" s="14" t="str">
        <f>VLOOKUP(Employees_Data[[#This Row],[Department]],Departments!$A$2:$B$7,2,FALSE)</f>
        <v>D02</v>
      </c>
      <c r="Y291" s="14" t="str">
        <f>INDEX(Departments!$B$2:$B$7,MATCH(Employees_Data[[#This Row],[Department]],Departments!$A$2:$A$7,0))</f>
        <v>D02</v>
      </c>
      <c r="Z291" s="14" t="str">
        <f>INDEX(Salary_Bands!$C$2:$C$5,MATCH(Employees_Data[[#This Row],[Salary]],Salary_Bands!$A$2:$A$5,1))</f>
        <v>Medium</v>
      </c>
    </row>
    <row r="292" spans="1:26" hidden="1" x14ac:dyDescent="0.3">
      <c r="A292" t="s">
        <v>645</v>
      </c>
      <c r="B292" t="s">
        <v>646</v>
      </c>
      <c r="C292" t="s">
        <v>40</v>
      </c>
      <c r="D292" s="12">
        <v>52</v>
      </c>
      <c r="E292" t="s">
        <v>87</v>
      </c>
      <c r="F292" t="s">
        <v>88</v>
      </c>
      <c r="G292" t="s">
        <v>47</v>
      </c>
      <c r="H292">
        <v>30</v>
      </c>
      <c r="I292" s="1">
        <v>44617</v>
      </c>
      <c r="J292" s="10">
        <v>98281</v>
      </c>
      <c r="K292" s="10">
        <v>6524</v>
      </c>
      <c r="L292">
        <v>5</v>
      </c>
      <c r="M292" t="s">
        <v>52</v>
      </c>
      <c r="N292" t="s">
        <v>27</v>
      </c>
      <c r="O292" t="s">
        <v>28</v>
      </c>
      <c r="P292" t="s">
        <v>29</v>
      </c>
      <c r="Q292">
        <v>33</v>
      </c>
      <c r="R292">
        <v>5</v>
      </c>
      <c r="S292">
        <v>8</v>
      </c>
      <c r="T292" t="s">
        <v>30</v>
      </c>
      <c r="U292" t="str">
        <f>IF(AND(Employees_Data[[#This Row],[Age]]&gt;=20,Employees_Data[[#This Row],[Age]]&lt;=30),"Young",IF(AND(Employees_Data[[#This Row],[Age]]&gt;=31,Employees_Data[[#This Row],[Age]]&lt;=40),"Mid-Age",IF(Employees_Data[[#This Row],[Age]]&gt;=41,"Senior")))</f>
        <v>Senior</v>
      </c>
      <c r="V292" t="str">
        <f>IF(Employees_Data[[#This Row],[Salary]]&lt;=30000,"Low",IF(AND(Employees_Data[[#This Row],[Salary]]&gt;30000,Employees_Data[[#This Row],[Salary]]&lt;=60000),"Medium",IF(AND(Employees_Data[[#This Row],[Salary]]&gt;60000,Employees_Data[[#This Row],[Salary]]&lt;=90000),"High",IF(Employees_Data[[#This Row],[Salary]]&gt;90000,"Executive"))))</f>
        <v>Executive</v>
      </c>
      <c r="W29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92" s="14" t="str">
        <f>VLOOKUP(Employees_Data[[#This Row],[Department]],Departments!$A$2:$B$7,2,FALSE)</f>
        <v>D04</v>
      </c>
      <c r="Y292" s="14" t="str">
        <f>INDEX(Departments!$B$2:$B$7,MATCH(Employees_Data[[#This Row],[Department]],Departments!$A$2:$A$7,0))</f>
        <v>D04</v>
      </c>
      <c r="Z292" s="14" t="str">
        <f>INDEX(Salary_Bands!$C$2:$C$5,MATCH(Employees_Data[[#This Row],[Salary]],Salary_Bands!$A$2:$A$5,1))</f>
        <v>Executive</v>
      </c>
    </row>
    <row r="293" spans="1:26" hidden="1" x14ac:dyDescent="0.3">
      <c r="A293" t="s">
        <v>647</v>
      </c>
      <c r="B293" t="s">
        <v>648</v>
      </c>
      <c r="C293" t="s">
        <v>22</v>
      </c>
      <c r="D293" s="12">
        <v>54</v>
      </c>
      <c r="E293" t="s">
        <v>56</v>
      </c>
      <c r="F293" t="s">
        <v>57</v>
      </c>
      <c r="G293" t="s">
        <v>47</v>
      </c>
      <c r="H293">
        <v>30</v>
      </c>
      <c r="I293" s="1">
        <v>44487</v>
      </c>
      <c r="J293" s="10">
        <v>129969</v>
      </c>
      <c r="K293" s="10">
        <v>22836</v>
      </c>
      <c r="L293">
        <v>5</v>
      </c>
      <c r="M293" t="s">
        <v>26</v>
      </c>
      <c r="N293" t="s">
        <v>63</v>
      </c>
      <c r="O293" t="s">
        <v>28</v>
      </c>
      <c r="P293" t="s">
        <v>29</v>
      </c>
      <c r="Q293">
        <v>57</v>
      </c>
      <c r="R293">
        <v>4</v>
      </c>
      <c r="S293">
        <v>10</v>
      </c>
      <c r="T293" t="s">
        <v>30</v>
      </c>
      <c r="U293" t="str">
        <f>IF(AND(Employees_Data[[#This Row],[Age]]&gt;=20,Employees_Data[[#This Row],[Age]]&lt;=30),"Young",IF(AND(Employees_Data[[#This Row],[Age]]&gt;=31,Employees_Data[[#This Row],[Age]]&lt;=40),"Mid-Age",IF(Employees_Data[[#This Row],[Age]]&gt;=41,"Senior")))</f>
        <v>Senior</v>
      </c>
      <c r="V293" t="str">
        <f>IF(Employees_Data[[#This Row],[Salary]]&lt;=30000,"Low",IF(AND(Employees_Data[[#This Row],[Salary]]&gt;30000,Employees_Data[[#This Row],[Salary]]&lt;=60000),"Medium",IF(AND(Employees_Data[[#This Row],[Salary]]&gt;60000,Employees_Data[[#This Row],[Salary]]&lt;=90000),"High",IF(Employees_Data[[#This Row],[Salary]]&gt;90000,"Executive"))))</f>
        <v>Executive</v>
      </c>
      <c r="W29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93" s="14" t="str">
        <f>VLOOKUP(Employees_Data[[#This Row],[Department]],Departments!$A$2:$B$7,2,FALSE)</f>
        <v>D01</v>
      </c>
      <c r="Y293" s="14" t="str">
        <f>INDEX(Departments!$B$2:$B$7,MATCH(Employees_Data[[#This Row],[Department]],Departments!$A$2:$A$7,0))</f>
        <v>D01</v>
      </c>
      <c r="Z293" s="14" t="str">
        <f>INDEX(Salary_Bands!$C$2:$C$5,MATCH(Employees_Data[[#This Row],[Salary]],Salary_Bands!$A$2:$A$5,1))</f>
        <v>Executive</v>
      </c>
    </row>
    <row r="294" spans="1:26" x14ac:dyDescent="0.3">
      <c r="A294" t="s">
        <v>649</v>
      </c>
      <c r="B294" t="s">
        <v>650</v>
      </c>
      <c r="C294" t="s">
        <v>40</v>
      </c>
      <c r="D294" s="12">
        <v>49</v>
      </c>
      <c r="E294" t="s">
        <v>87</v>
      </c>
      <c r="F294" t="s">
        <v>88</v>
      </c>
      <c r="G294" t="s">
        <v>47</v>
      </c>
      <c r="H294">
        <v>28</v>
      </c>
      <c r="I294" s="1">
        <v>43363</v>
      </c>
      <c r="J294" s="10">
        <v>59483</v>
      </c>
      <c r="K294" s="10">
        <v>22118</v>
      </c>
      <c r="L294">
        <v>2</v>
      </c>
      <c r="M294" t="s">
        <v>52</v>
      </c>
      <c r="N294" t="s">
        <v>53</v>
      </c>
      <c r="O294" s="5" t="s">
        <v>29</v>
      </c>
      <c r="P294" t="s">
        <v>28</v>
      </c>
      <c r="Q294">
        <v>50</v>
      </c>
      <c r="R294">
        <v>19</v>
      </c>
      <c r="S294">
        <v>6</v>
      </c>
      <c r="T294" t="s">
        <v>43</v>
      </c>
      <c r="U294" t="str">
        <f>IF(AND(Employees_Data[[#This Row],[Age]]&gt;=20,Employees_Data[[#This Row],[Age]]&lt;=30),"Young",IF(AND(Employees_Data[[#This Row],[Age]]&gt;=31,Employees_Data[[#This Row],[Age]]&lt;=40),"Mid-Age",IF(Employees_Data[[#This Row],[Age]]&gt;=41,"Senior")))</f>
        <v>Senior</v>
      </c>
      <c r="V294" t="str">
        <f>IF(Employees_Data[[#This Row],[Salary]]&lt;=30000,"Low",IF(AND(Employees_Data[[#This Row],[Salary]]&gt;30000,Employees_Data[[#This Row],[Salary]]&lt;=60000),"Medium",IF(AND(Employees_Data[[#This Row],[Salary]]&gt;60000,Employees_Data[[#This Row],[Salary]]&lt;=90000),"High",IF(Employees_Data[[#This Row],[Salary]]&gt;90000,"Executive"))))</f>
        <v>Medium</v>
      </c>
      <c r="W29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94" s="14" t="str">
        <f>VLOOKUP(Employees_Data[[#This Row],[Department]],Departments!$A$2:$B$7,2,FALSE)</f>
        <v>D04</v>
      </c>
      <c r="Y294" s="14" t="str">
        <f>INDEX(Departments!$B$2:$B$7,MATCH(Employees_Data[[#This Row],[Department]],Departments!$A$2:$A$7,0))</f>
        <v>D04</v>
      </c>
      <c r="Z294" s="14" t="str">
        <f>INDEX(Salary_Bands!$C$2:$C$5,MATCH(Employees_Data[[#This Row],[Salary]],Salary_Bands!$A$2:$A$5,1))</f>
        <v>Medium</v>
      </c>
    </row>
    <row r="295" spans="1:26" hidden="1" x14ac:dyDescent="0.3">
      <c r="A295" t="s">
        <v>651</v>
      </c>
      <c r="B295" t="s">
        <v>652</v>
      </c>
      <c r="C295" t="s">
        <v>22</v>
      </c>
      <c r="D295" s="12">
        <v>53</v>
      </c>
      <c r="E295" t="s">
        <v>56</v>
      </c>
      <c r="F295" t="s">
        <v>57</v>
      </c>
      <c r="G295" t="s">
        <v>25</v>
      </c>
      <c r="H295">
        <v>29</v>
      </c>
      <c r="I295" s="1">
        <v>43144</v>
      </c>
      <c r="J295" s="10">
        <v>51438</v>
      </c>
      <c r="K295" s="10">
        <v>7553</v>
      </c>
      <c r="L295">
        <v>5</v>
      </c>
      <c r="M295" t="s">
        <v>52</v>
      </c>
      <c r="N295" t="s">
        <v>27</v>
      </c>
      <c r="O295" t="s">
        <v>28</v>
      </c>
      <c r="P295" t="s">
        <v>28</v>
      </c>
      <c r="Q295">
        <v>20</v>
      </c>
      <c r="R295">
        <v>20</v>
      </c>
      <c r="S295">
        <v>5</v>
      </c>
      <c r="T295" t="s">
        <v>30</v>
      </c>
      <c r="U295" t="str">
        <f>IF(AND(Employees_Data[[#This Row],[Age]]&gt;=20,Employees_Data[[#This Row],[Age]]&lt;=30),"Young",IF(AND(Employees_Data[[#This Row],[Age]]&gt;=31,Employees_Data[[#This Row],[Age]]&lt;=40),"Mid-Age",IF(Employees_Data[[#This Row],[Age]]&gt;=41,"Senior")))</f>
        <v>Senior</v>
      </c>
      <c r="V295" t="str">
        <f>IF(Employees_Data[[#This Row],[Salary]]&lt;=30000,"Low",IF(AND(Employees_Data[[#This Row],[Salary]]&gt;30000,Employees_Data[[#This Row],[Salary]]&lt;=60000),"Medium",IF(AND(Employees_Data[[#This Row],[Salary]]&gt;60000,Employees_Data[[#This Row],[Salary]]&lt;=90000),"High",IF(Employees_Data[[#This Row],[Salary]]&gt;90000,"Executive"))))</f>
        <v>Medium</v>
      </c>
      <c r="W29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95" s="14" t="str">
        <f>VLOOKUP(Employees_Data[[#This Row],[Department]],Departments!$A$2:$B$7,2,FALSE)</f>
        <v>D01</v>
      </c>
      <c r="Y295" s="14" t="str">
        <f>INDEX(Departments!$B$2:$B$7,MATCH(Employees_Data[[#This Row],[Department]],Departments!$A$2:$A$7,0))</f>
        <v>D01</v>
      </c>
      <c r="Z295" s="14" t="str">
        <f>INDEX(Salary_Bands!$C$2:$C$5,MATCH(Employees_Data[[#This Row],[Salary]],Salary_Bands!$A$2:$A$5,1))</f>
        <v>Medium</v>
      </c>
    </row>
    <row r="296" spans="1:26" hidden="1" x14ac:dyDescent="0.3">
      <c r="A296" t="s">
        <v>653</v>
      </c>
      <c r="B296" t="s">
        <v>654</v>
      </c>
      <c r="C296" t="s">
        <v>22</v>
      </c>
      <c r="D296" s="12">
        <v>27</v>
      </c>
      <c r="E296" t="s">
        <v>56</v>
      </c>
      <c r="F296" t="s">
        <v>57</v>
      </c>
      <c r="G296" t="s">
        <v>80</v>
      </c>
      <c r="H296">
        <v>4</v>
      </c>
      <c r="I296" s="1">
        <v>44737</v>
      </c>
      <c r="J296" s="10">
        <v>71285</v>
      </c>
      <c r="K296" s="10">
        <v>20009</v>
      </c>
      <c r="L296">
        <v>4</v>
      </c>
      <c r="M296" t="s">
        <v>36</v>
      </c>
      <c r="N296" t="s">
        <v>48</v>
      </c>
      <c r="O296" t="s">
        <v>28</v>
      </c>
      <c r="P296" t="s">
        <v>28</v>
      </c>
      <c r="Q296">
        <v>27</v>
      </c>
      <c r="R296">
        <v>8</v>
      </c>
      <c r="S296">
        <v>7</v>
      </c>
      <c r="T296" t="s">
        <v>30</v>
      </c>
      <c r="U296" t="str">
        <f>IF(AND(Employees_Data[[#This Row],[Age]]&gt;=20,Employees_Data[[#This Row],[Age]]&lt;=30),"Young",IF(AND(Employees_Data[[#This Row],[Age]]&gt;=31,Employees_Data[[#This Row],[Age]]&lt;=40),"Mid-Age",IF(Employees_Data[[#This Row],[Age]]&gt;=41,"Senior")))</f>
        <v>Young</v>
      </c>
      <c r="V296" t="str">
        <f>IF(Employees_Data[[#This Row],[Salary]]&lt;=30000,"Low",IF(AND(Employees_Data[[#This Row],[Salary]]&gt;30000,Employees_Data[[#This Row],[Salary]]&lt;=60000),"Medium",IF(AND(Employees_Data[[#This Row],[Salary]]&gt;60000,Employees_Data[[#This Row],[Salary]]&lt;=90000),"High",IF(Employees_Data[[#This Row],[Salary]]&gt;90000,"Executive"))))</f>
        <v>High</v>
      </c>
      <c r="W29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296" s="14" t="str">
        <f>VLOOKUP(Employees_Data[[#This Row],[Department]],Departments!$A$2:$B$7,2,FALSE)</f>
        <v>D01</v>
      </c>
      <c r="Y296" s="14" t="str">
        <f>INDEX(Departments!$B$2:$B$7,MATCH(Employees_Data[[#This Row],[Department]],Departments!$A$2:$A$7,0))</f>
        <v>D01</v>
      </c>
      <c r="Z296" s="14" t="str">
        <f>INDEX(Salary_Bands!$C$2:$C$5,MATCH(Employees_Data[[#This Row],[Salary]],Salary_Bands!$A$2:$A$5,1))</f>
        <v>High</v>
      </c>
    </row>
    <row r="297" spans="1:26" hidden="1" x14ac:dyDescent="0.3">
      <c r="A297" t="s">
        <v>655</v>
      </c>
      <c r="B297" t="s">
        <v>656</v>
      </c>
      <c r="C297" t="s">
        <v>22</v>
      </c>
      <c r="D297" s="12">
        <v>34</v>
      </c>
      <c r="E297" t="s">
        <v>61</v>
      </c>
      <c r="F297" t="s">
        <v>66</v>
      </c>
      <c r="G297" t="s">
        <v>25</v>
      </c>
      <c r="H297">
        <v>10</v>
      </c>
      <c r="I297" s="1">
        <v>44755</v>
      </c>
      <c r="J297" s="10">
        <v>100354</v>
      </c>
      <c r="K297" s="10">
        <v>11642</v>
      </c>
      <c r="L297">
        <v>1</v>
      </c>
      <c r="M297" t="s">
        <v>36</v>
      </c>
      <c r="N297" t="s">
        <v>27</v>
      </c>
      <c r="O297" t="s">
        <v>28</v>
      </c>
      <c r="P297" t="s">
        <v>28</v>
      </c>
      <c r="Q297">
        <v>39</v>
      </c>
      <c r="R297">
        <v>18</v>
      </c>
      <c r="S297">
        <v>5</v>
      </c>
      <c r="T297" t="s">
        <v>30</v>
      </c>
      <c r="U297" t="str">
        <f>IF(AND(Employees_Data[[#This Row],[Age]]&gt;=20,Employees_Data[[#This Row],[Age]]&lt;=30),"Young",IF(AND(Employees_Data[[#This Row],[Age]]&gt;=31,Employees_Data[[#This Row],[Age]]&lt;=40),"Mid-Age",IF(Employees_Data[[#This Row],[Age]]&gt;=41,"Senior")))</f>
        <v>Mid-Age</v>
      </c>
      <c r="V297" t="str">
        <f>IF(Employees_Data[[#This Row],[Salary]]&lt;=30000,"Low",IF(AND(Employees_Data[[#This Row],[Salary]]&gt;30000,Employees_Data[[#This Row],[Salary]]&lt;=60000),"Medium",IF(AND(Employees_Data[[#This Row],[Salary]]&gt;60000,Employees_Data[[#This Row],[Salary]]&lt;=90000),"High",IF(Employees_Data[[#This Row],[Salary]]&gt;90000,"Executive"))))</f>
        <v>Executive</v>
      </c>
      <c r="W29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297" s="14" t="str">
        <f>VLOOKUP(Employees_Data[[#This Row],[Department]],Departments!$A$2:$B$7,2,FALSE)</f>
        <v>D02</v>
      </c>
      <c r="Y297" s="14" t="str">
        <f>INDEX(Departments!$B$2:$B$7,MATCH(Employees_Data[[#This Row],[Department]],Departments!$A$2:$A$7,0))</f>
        <v>D02</v>
      </c>
      <c r="Z297" s="14" t="str">
        <f>INDEX(Salary_Bands!$C$2:$C$5,MATCH(Employees_Data[[#This Row],[Salary]],Salary_Bands!$A$2:$A$5,1))</f>
        <v>Executive</v>
      </c>
    </row>
    <row r="298" spans="1:26" hidden="1" x14ac:dyDescent="0.3">
      <c r="A298" t="s">
        <v>657</v>
      </c>
      <c r="B298" t="s">
        <v>658</v>
      </c>
      <c r="C298" t="s">
        <v>40</v>
      </c>
      <c r="D298" s="12">
        <v>50</v>
      </c>
      <c r="E298" t="s">
        <v>41</v>
      </c>
      <c r="F298" t="s">
        <v>69</v>
      </c>
      <c r="G298" t="s">
        <v>25</v>
      </c>
      <c r="H298">
        <v>26</v>
      </c>
      <c r="I298" s="1">
        <v>45407</v>
      </c>
      <c r="J298" s="10">
        <v>88390</v>
      </c>
      <c r="K298" s="10">
        <v>2896</v>
      </c>
      <c r="L298">
        <v>2</v>
      </c>
      <c r="M298" t="s">
        <v>36</v>
      </c>
      <c r="N298" t="s">
        <v>27</v>
      </c>
      <c r="O298" t="s">
        <v>28</v>
      </c>
      <c r="P298" t="s">
        <v>28</v>
      </c>
      <c r="Q298">
        <v>9</v>
      </c>
      <c r="R298">
        <v>12</v>
      </c>
      <c r="S298">
        <v>6</v>
      </c>
      <c r="T298" t="s">
        <v>30</v>
      </c>
      <c r="U298" t="str">
        <f>IF(AND(Employees_Data[[#This Row],[Age]]&gt;=20,Employees_Data[[#This Row],[Age]]&lt;=30),"Young",IF(AND(Employees_Data[[#This Row],[Age]]&gt;=31,Employees_Data[[#This Row],[Age]]&lt;=40),"Mid-Age",IF(Employees_Data[[#This Row],[Age]]&gt;=41,"Senior")))</f>
        <v>Senior</v>
      </c>
      <c r="V298" t="str">
        <f>IF(Employees_Data[[#This Row],[Salary]]&lt;=30000,"Low",IF(AND(Employees_Data[[#This Row],[Salary]]&gt;30000,Employees_Data[[#This Row],[Salary]]&lt;=60000),"Medium",IF(AND(Employees_Data[[#This Row],[Salary]]&gt;60000,Employees_Data[[#This Row],[Salary]]&lt;=90000),"High",IF(Employees_Data[[#This Row],[Salary]]&gt;90000,"Executive"))))</f>
        <v>High</v>
      </c>
      <c r="W29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98" s="14" t="str">
        <f>VLOOKUP(Employees_Data[[#This Row],[Department]],Departments!$A$2:$B$7,2,FALSE)</f>
        <v>D03</v>
      </c>
      <c r="Y298" s="14" t="str">
        <f>INDEX(Departments!$B$2:$B$7,MATCH(Employees_Data[[#This Row],[Department]],Departments!$A$2:$A$7,0))</f>
        <v>D03</v>
      </c>
      <c r="Z298" s="14" t="str">
        <f>INDEX(Salary_Bands!$C$2:$C$5,MATCH(Employees_Data[[#This Row],[Salary]],Salary_Bands!$A$2:$A$5,1))</f>
        <v>High</v>
      </c>
    </row>
    <row r="299" spans="1:26" x14ac:dyDescent="0.3">
      <c r="A299" t="s">
        <v>659</v>
      </c>
      <c r="B299" t="s">
        <v>660</v>
      </c>
      <c r="C299" t="s">
        <v>22</v>
      </c>
      <c r="D299" s="12">
        <v>36</v>
      </c>
      <c r="E299" t="s">
        <v>23</v>
      </c>
      <c r="F299" t="s">
        <v>24</v>
      </c>
      <c r="G299" t="s">
        <v>51</v>
      </c>
      <c r="H299">
        <v>13</v>
      </c>
      <c r="I299" s="1">
        <v>44790</v>
      </c>
      <c r="J299" s="10">
        <v>71281</v>
      </c>
      <c r="K299" s="10">
        <v>5047</v>
      </c>
      <c r="L299">
        <v>5</v>
      </c>
      <c r="M299" t="s">
        <v>36</v>
      </c>
      <c r="N299" t="s">
        <v>48</v>
      </c>
      <c r="O299" s="5" t="s">
        <v>29</v>
      </c>
      <c r="P299" t="s">
        <v>28</v>
      </c>
      <c r="Q299">
        <v>9</v>
      </c>
      <c r="R299">
        <v>17</v>
      </c>
      <c r="S299">
        <v>9</v>
      </c>
      <c r="T299" t="s">
        <v>30</v>
      </c>
      <c r="U299" t="str">
        <f>IF(AND(Employees_Data[[#This Row],[Age]]&gt;=20,Employees_Data[[#This Row],[Age]]&lt;=30),"Young",IF(AND(Employees_Data[[#This Row],[Age]]&gt;=31,Employees_Data[[#This Row],[Age]]&lt;=40),"Mid-Age",IF(Employees_Data[[#This Row],[Age]]&gt;=41,"Senior")))</f>
        <v>Mid-Age</v>
      </c>
      <c r="V299" t="str">
        <f>IF(Employees_Data[[#This Row],[Salary]]&lt;=30000,"Low",IF(AND(Employees_Data[[#This Row],[Salary]]&gt;30000,Employees_Data[[#This Row],[Salary]]&lt;=60000),"Medium",IF(AND(Employees_Data[[#This Row],[Salary]]&gt;60000,Employees_Data[[#This Row],[Salary]]&lt;=90000),"High",IF(Employees_Data[[#This Row],[Salary]]&gt;90000,"Executive"))))</f>
        <v>High</v>
      </c>
      <c r="W29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299" s="14" t="str">
        <f>VLOOKUP(Employees_Data[[#This Row],[Department]],Departments!$A$2:$B$7,2,FALSE)</f>
        <v>D06</v>
      </c>
      <c r="Y299" s="14" t="str">
        <f>INDEX(Departments!$B$2:$B$7,MATCH(Employees_Data[[#This Row],[Department]],Departments!$A$2:$A$7,0))</f>
        <v>D06</v>
      </c>
      <c r="Z299" s="14" t="str">
        <f>INDEX(Salary_Bands!$C$2:$C$5,MATCH(Employees_Data[[#This Row],[Salary]],Salary_Bands!$A$2:$A$5,1))</f>
        <v>High</v>
      </c>
    </row>
    <row r="300" spans="1:26" hidden="1" x14ac:dyDescent="0.3">
      <c r="A300" t="s">
        <v>661</v>
      </c>
      <c r="B300" t="s">
        <v>662</v>
      </c>
      <c r="C300" t="s">
        <v>22</v>
      </c>
      <c r="D300" s="12">
        <v>42</v>
      </c>
      <c r="E300" t="s">
        <v>61</v>
      </c>
      <c r="F300" t="s">
        <v>229</v>
      </c>
      <c r="G300" t="s">
        <v>47</v>
      </c>
      <c r="H300">
        <v>19</v>
      </c>
      <c r="I300" s="1">
        <v>43996</v>
      </c>
      <c r="J300" s="10">
        <v>142219</v>
      </c>
      <c r="K300" s="10">
        <v>8542</v>
      </c>
      <c r="L300">
        <v>5</v>
      </c>
      <c r="M300" t="s">
        <v>26</v>
      </c>
      <c r="N300" t="s">
        <v>48</v>
      </c>
      <c r="O300" t="s">
        <v>28</v>
      </c>
      <c r="P300" t="s">
        <v>29</v>
      </c>
      <c r="Q300">
        <v>60</v>
      </c>
      <c r="R300">
        <v>8</v>
      </c>
      <c r="S300">
        <v>5</v>
      </c>
      <c r="T300" t="s">
        <v>30</v>
      </c>
      <c r="U300" t="str">
        <f>IF(AND(Employees_Data[[#This Row],[Age]]&gt;=20,Employees_Data[[#This Row],[Age]]&lt;=30),"Young",IF(AND(Employees_Data[[#This Row],[Age]]&gt;=31,Employees_Data[[#This Row],[Age]]&lt;=40),"Mid-Age",IF(Employees_Data[[#This Row],[Age]]&gt;=41,"Senior")))</f>
        <v>Senior</v>
      </c>
      <c r="V300" t="str">
        <f>IF(Employees_Data[[#This Row],[Salary]]&lt;=30000,"Low",IF(AND(Employees_Data[[#This Row],[Salary]]&gt;30000,Employees_Data[[#This Row],[Salary]]&lt;=60000),"Medium",IF(AND(Employees_Data[[#This Row],[Salary]]&gt;60000,Employees_Data[[#This Row],[Salary]]&lt;=90000),"High",IF(Employees_Data[[#This Row],[Salary]]&gt;90000,"Executive"))))</f>
        <v>Executive</v>
      </c>
      <c r="W30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00" s="14" t="str">
        <f>VLOOKUP(Employees_Data[[#This Row],[Department]],Departments!$A$2:$B$7,2,FALSE)</f>
        <v>D02</v>
      </c>
      <c r="Y300" s="14" t="str">
        <f>INDEX(Departments!$B$2:$B$7,MATCH(Employees_Data[[#This Row],[Department]],Departments!$A$2:$A$7,0))</f>
        <v>D02</v>
      </c>
      <c r="Z300" s="14" t="str">
        <f>INDEX(Salary_Bands!$C$2:$C$5,MATCH(Employees_Data[[#This Row],[Salary]],Salary_Bands!$A$2:$A$5,1))</f>
        <v>Executive</v>
      </c>
    </row>
    <row r="301" spans="1:26" hidden="1" x14ac:dyDescent="0.3">
      <c r="A301" t="s">
        <v>663</v>
      </c>
      <c r="B301" t="s">
        <v>664</v>
      </c>
      <c r="C301" t="s">
        <v>40</v>
      </c>
      <c r="D301" s="12">
        <v>34</v>
      </c>
      <c r="E301" t="s">
        <v>61</v>
      </c>
      <c r="F301" t="s">
        <v>62</v>
      </c>
      <c r="G301" t="s">
        <v>25</v>
      </c>
      <c r="H301">
        <v>12</v>
      </c>
      <c r="I301" s="1">
        <v>44559</v>
      </c>
      <c r="J301" s="10">
        <v>45446</v>
      </c>
      <c r="K301" s="10">
        <v>2217</v>
      </c>
      <c r="L301">
        <v>1</v>
      </c>
      <c r="M301" t="s">
        <v>52</v>
      </c>
      <c r="N301" t="s">
        <v>27</v>
      </c>
      <c r="O301" t="s">
        <v>28</v>
      </c>
      <c r="P301" t="s">
        <v>28</v>
      </c>
      <c r="Q301">
        <v>28</v>
      </c>
      <c r="R301">
        <v>19</v>
      </c>
      <c r="S301">
        <v>2</v>
      </c>
      <c r="T301" t="s">
        <v>30</v>
      </c>
      <c r="U301" t="str">
        <f>IF(AND(Employees_Data[[#This Row],[Age]]&gt;=20,Employees_Data[[#This Row],[Age]]&lt;=30),"Young",IF(AND(Employees_Data[[#This Row],[Age]]&gt;=31,Employees_Data[[#This Row],[Age]]&lt;=40),"Mid-Age",IF(Employees_Data[[#This Row],[Age]]&gt;=41,"Senior")))</f>
        <v>Mid-Age</v>
      </c>
      <c r="V301" t="str">
        <f>IF(Employees_Data[[#This Row],[Salary]]&lt;=30000,"Low",IF(AND(Employees_Data[[#This Row],[Salary]]&gt;30000,Employees_Data[[#This Row],[Salary]]&lt;=60000),"Medium",IF(AND(Employees_Data[[#This Row],[Salary]]&gt;60000,Employees_Data[[#This Row],[Salary]]&lt;=90000),"High",IF(Employees_Data[[#This Row],[Salary]]&gt;90000,"Executive"))))</f>
        <v>Medium</v>
      </c>
      <c r="W30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01" s="14" t="str">
        <f>VLOOKUP(Employees_Data[[#This Row],[Department]],Departments!$A$2:$B$7,2,FALSE)</f>
        <v>D02</v>
      </c>
      <c r="Y301" s="14" t="str">
        <f>INDEX(Departments!$B$2:$B$7,MATCH(Employees_Data[[#This Row],[Department]],Departments!$A$2:$A$7,0))</f>
        <v>D02</v>
      </c>
      <c r="Z301" s="14" t="str">
        <f>INDEX(Salary_Bands!$C$2:$C$5,MATCH(Employees_Data[[#This Row],[Salary]],Salary_Bands!$A$2:$A$5,1))</f>
        <v>Medium</v>
      </c>
    </row>
    <row r="302" spans="1:26" hidden="1" x14ac:dyDescent="0.3">
      <c r="A302" t="s">
        <v>665</v>
      </c>
      <c r="B302" t="s">
        <v>666</v>
      </c>
      <c r="C302" t="s">
        <v>22</v>
      </c>
      <c r="D302" s="12">
        <v>39</v>
      </c>
      <c r="E302" t="s">
        <v>41</v>
      </c>
      <c r="F302" t="s">
        <v>232</v>
      </c>
      <c r="G302" t="s">
        <v>80</v>
      </c>
      <c r="H302">
        <v>15</v>
      </c>
      <c r="I302" s="1">
        <v>43850</v>
      </c>
      <c r="J302" s="10">
        <v>125173</v>
      </c>
      <c r="K302" s="10">
        <v>19227</v>
      </c>
      <c r="L302">
        <v>5</v>
      </c>
      <c r="M302" t="s">
        <v>36</v>
      </c>
      <c r="N302" t="s">
        <v>58</v>
      </c>
      <c r="O302" t="s">
        <v>28</v>
      </c>
      <c r="P302" t="s">
        <v>29</v>
      </c>
      <c r="Q302">
        <v>37</v>
      </c>
      <c r="R302">
        <v>11</v>
      </c>
      <c r="S302">
        <v>5</v>
      </c>
      <c r="T302" t="s">
        <v>30</v>
      </c>
      <c r="U302" t="str">
        <f>IF(AND(Employees_Data[[#This Row],[Age]]&gt;=20,Employees_Data[[#This Row],[Age]]&lt;=30),"Young",IF(AND(Employees_Data[[#This Row],[Age]]&gt;=31,Employees_Data[[#This Row],[Age]]&lt;=40),"Mid-Age",IF(Employees_Data[[#This Row],[Age]]&gt;=41,"Senior")))</f>
        <v>Mid-Age</v>
      </c>
      <c r="V302" t="str">
        <f>IF(Employees_Data[[#This Row],[Salary]]&lt;=30000,"Low",IF(AND(Employees_Data[[#This Row],[Salary]]&gt;30000,Employees_Data[[#This Row],[Salary]]&lt;=60000),"Medium",IF(AND(Employees_Data[[#This Row],[Salary]]&gt;60000,Employees_Data[[#This Row],[Salary]]&lt;=90000),"High",IF(Employees_Data[[#This Row],[Salary]]&gt;90000,"Executive"))))</f>
        <v>Executive</v>
      </c>
      <c r="W30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02" s="14" t="str">
        <f>VLOOKUP(Employees_Data[[#This Row],[Department]],Departments!$A$2:$B$7,2,FALSE)</f>
        <v>D03</v>
      </c>
      <c r="Y302" s="14" t="str">
        <f>INDEX(Departments!$B$2:$B$7,MATCH(Employees_Data[[#This Row],[Department]],Departments!$A$2:$A$7,0))</f>
        <v>D03</v>
      </c>
      <c r="Z302" s="14" t="str">
        <f>INDEX(Salary_Bands!$C$2:$C$5,MATCH(Employees_Data[[#This Row],[Salary]],Salary_Bands!$A$2:$A$5,1))</f>
        <v>Executive</v>
      </c>
    </row>
    <row r="303" spans="1:26" hidden="1" x14ac:dyDescent="0.3">
      <c r="A303" t="s">
        <v>667</v>
      </c>
      <c r="B303" t="s">
        <v>668</v>
      </c>
      <c r="C303" t="s">
        <v>22</v>
      </c>
      <c r="D303" s="12">
        <v>33</v>
      </c>
      <c r="E303" t="s">
        <v>87</v>
      </c>
      <c r="F303" t="s">
        <v>88</v>
      </c>
      <c r="G303" t="s">
        <v>47</v>
      </c>
      <c r="H303">
        <v>9</v>
      </c>
      <c r="I303" s="1">
        <v>43594</v>
      </c>
      <c r="J303" s="10">
        <v>116520</v>
      </c>
      <c r="K303" s="10">
        <v>21038</v>
      </c>
      <c r="L303">
        <v>5</v>
      </c>
      <c r="M303" t="s">
        <v>26</v>
      </c>
      <c r="N303" t="s">
        <v>37</v>
      </c>
      <c r="O303" t="s">
        <v>28</v>
      </c>
      <c r="P303" t="s">
        <v>28</v>
      </c>
      <c r="Q303">
        <v>44</v>
      </c>
      <c r="R303">
        <v>8</v>
      </c>
      <c r="S303">
        <v>8</v>
      </c>
      <c r="T303" t="s">
        <v>43</v>
      </c>
      <c r="U303" t="str">
        <f>IF(AND(Employees_Data[[#This Row],[Age]]&gt;=20,Employees_Data[[#This Row],[Age]]&lt;=30),"Young",IF(AND(Employees_Data[[#This Row],[Age]]&gt;=31,Employees_Data[[#This Row],[Age]]&lt;=40),"Mid-Age",IF(Employees_Data[[#This Row],[Age]]&gt;=41,"Senior")))</f>
        <v>Mid-Age</v>
      </c>
      <c r="V303" t="str">
        <f>IF(Employees_Data[[#This Row],[Salary]]&lt;=30000,"Low",IF(AND(Employees_Data[[#This Row],[Salary]]&gt;30000,Employees_Data[[#This Row],[Salary]]&lt;=60000),"Medium",IF(AND(Employees_Data[[#This Row],[Salary]]&gt;60000,Employees_Data[[#This Row],[Salary]]&lt;=90000),"High",IF(Employees_Data[[#This Row],[Salary]]&gt;90000,"Executive"))))</f>
        <v>Executive</v>
      </c>
      <c r="W30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03" s="14" t="str">
        <f>VLOOKUP(Employees_Data[[#This Row],[Department]],Departments!$A$2:$B$7,2,FALSE)</f>
        <v>D04</v>
      </c>
      <c r="Y303" s="14" t="str">
        <f>INDEX(Departments!$B$2:$B$7,MATCH(Employees_Data[[#This Row],[Department]],Departments!$A$2:$A$7,0))</f>
        <v>D04</v>
      </c>
      <c r="Z303" s="14" t="str">
        <f>INDEX(Salary_Bands!$C$2:$C$5,MATCH(Employees_Data[[#This Row],[Salary]],Salary_Bands!$A$2:$A$5,1))</f>
        <v>Executive</v>
      </c>
    </row>
    <row r="304" spans="1:26" hidden="1" x14ac:dyDescent="0.3">
      <c r="A304" t="s">
        <v>669</v>
      </c>
      <c r="B304" t="s">
        <v>670</v>
      </c>
      <c r="C304" t="s">
        <v>22</v>
      </c>
      <c r="D304" s="12">
        <v>38</v>
      </c>
      <c r="E304" t="s">
        <v>61</v>
      </c>
      <c r="F304" t="s">
        <v>66</v>
      </c>
      <c r="G304" t="s">
        <v>47</v>
      </c>
      <c r="H304">
        <v>16</v>
      </c>
      <c r="I304" s="1">
        <v>44204</v>
      </c>
      <c r="J304" s="10">
        <v>86780</v>
      </c>
      <c r="K304" s="10">
        <v>24960</v>
      </c>
      <c r="L304">
        <v>5</v>
      </c>
      <c r="M304" t="s">
        <v>36</v>
      </c>
      <c r="N304" t="s">
        <v>37</v>
      </c>
      <c r="O304" t="s">
        <v>28</v>
      </c>
      <c r="P304" t="s">
        <v>28</v>
      </c>
      <c r="Q304">
        <v>22</v>
      </c>
      <c r="R304">
        <v>14</v>
      </c>
      <c r="S304">
        <v>6</v>
      </c>
      <c r="T304" t="s">
        <v>30</v>
      </c>
      <c r="U304" t="str">
        <f>IF(AND(Employees_Data[[#This Row],[Age]]&gt;=20,Employees_Data[[#This Row],[Age]]&lt;=30),"Young",IF(AND(Employees_Data[[#This Row],[Age]]&gt;=31,Employees_Data[[#This Row],[Age]]&lt;=40),"Mid-Age",IF(Employees_Data[[#This Row],[Age]]&gt;=41,"Senior")))</f>
        <v>Mid-Age</v>
      </c>
      <c r="V304" t="str">
        <f>IF(Employees_Data[[#This Row],[Salary]]&lt;=30000,"Low",IF(AND(Employees_Data[[#This Row],[Salary]]&gt;30000,Employees_Data[[#This Row],[Salary]]&lt;=60000),"Medium",IF(AND(Employees_Data[[#This Row],[Salary]]&gt;60000,Employees_Data[[#This Row],[Salary]]&lt;=90000),"High",IF(Employees_Data[[#This Row],[Salary]]&gt;90000,"Executive"))))</f>
        <v>High</v>
      </c>
      <c r="W30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04" s="14" t="str">
        <f>VLOOKUP(Employees_Data[[#This Row],[Department]],Departments!$A$2:$B$7,2,FALSE)</f>
        <v>D02</v>
      </c>
      <c r="Y304" s="14" t="str">
        <f>INDEX(Departments!$B$2:$B$7,MATCH(Employees_Data[[#This Row],[Department]],Departments!$A$2:$A$7,0))</f>
        <v>D02</v>
      </c>
      <c r="Z304" s="14" t="str">
        <f>INDEX(Salary_Bands!$C$2:$C$5,MATCH(Employees_Data[[#This Row],[Salary]],Salary_Bands!$A$2:$A$5,1))</f>
        <v>High</v>
      </c>
    </row>
    <row r="305" spans="1:26" hidden="1" x14ac:dyDescent="0.3">
      <c r="A305" t="s">
        <v>671</v>
      </c>
      <c r="B305" t="s">
        <v>672</v>
      </c>
      <c r="C305" t="s">
        <v>40</v>
      </c>
      <c r="D305" s="12">
        <v>30</v>
      </c>
      <c r="E305" t="s">
        <v>61</v>
      </c>
      <c r="F305" t="s">
        <v>66</v>
      </c>
      <c r="G305" t="s">
        <v>35</v>
      </c>
      <c r="H305">
        <v>5</v>
      </c>
      <c r="I305" s="1">
        <v>44037</v>
      </c>
      <c r="J305" s="10">
        <v>131717</v>
      </c>
      <c r="K305" s="10">
        <v>6779</v>
      </c>
      <c r="L305">
        <v>1</v>
      </c>
      <c r="M305" t="s">
        <v>52</v>
      </c>
      <c r="N305" t="s">
        <v>76</v>
      </c>
      <c r="O305" t="s">
        <v>28</v>
      </c>
      <c r="P305" t="s">
        <v>28</v>
      </c>
      <c r="Q305">
        <v>56</v>
      </c>
      <c r="R305">
        <v>0</v>
      </c>
      <c r="S305">
        <v>5</v>
      </c>
      <c r="T305" t="s">
        <v>30</v>
      </c>
      <c r="U305" t="str">
        <f>IF(AND(Employees_Data[[#This Row],[Age]]&gt;=20,Employees_Data[[#This Row],[Age]]&lt;=30),"Young",IF(AND(Employees_Data[[#This Row],[Age]]&gt;=31,Employees_Data[[#This Row],[Age]]&lt;=40),"Mid-Age",IF(Employees_Data[[#This Row],[Age]]&gt;=41,"Senior")))</f>
        <v>Young</v>
      </c>
      <c r="V305" t="str">
        <f>IF(Employees_Data[[#This Row],[Salary]]&lt;=30000,"Low",IF(AND(Employees_Data[[#This Row],[Salary]]&gt;30000,Employees_Data[[#This Row],[Salary]]&lt;=60000),"Medium",IF(AND(Employees_Data[[#This Row],[Salary]]&gt;60000,Employees_Data[[#This Row],[Salary]]&lt;=90000),"High",IF(Employees_Data[[#This Row],[Salary]]&gt;90000,"Executive"))))</f>
        <v>Executive</v>
      </c>
      <c r="W30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305" s="14" t="str">
        <f>VLOOKUP(Employees_Data[[#This Row],[Department]],Departments!$A$2:$B$7,2,FALSE)</f>
        <v>D02</v>
      </c>
      <c r="Y305" s="14" t="str">
        <f>INDEX(Departments!$B$2:$B$7,MATCH(Employees_Data[[#This Row],[Department]],Departments!$A$2:$A$7,0))</f>
        <v>D02</v>
      </c>
      <c r="Z305" s="14" t="str">
        <f>INDEX(Salary_Bands!$C$2:$C$5,MATCH(Employees_Data[[#This Row],[Salary]],Salary_Bands!$A$2:$A$5,1))</f>
        <v>Executive</v>
      </c>
    </row>
    <row r="306" spans="1:26" hidden="1" x14ac:dyDescent="0.3">
      <c r="A306" t="s">
        <v>673</v>
      </c>
      <c r="B306" t="s">
        <v>674</v>
      </c>
      <c r="C306" t="s">
        <v>22</v>
      </c>
      <c r="D306" s="12">
        <v>53</v>
      </c>
      <c r="E306" t="s">
        <v>61</v>
      </c>
      <c r="F306" t="s">
        <v>229</v>
      </c>
      <c r="G306" t="s">
        <v>47</v>
      </c>
      <c r="H306">
        <v>31</v>
      </c>
      <c r="I306" s="1">
        <v>45218</v>
      </c>
      <c r="J306" s="10">
        <v>94990</v>
      </c>
      <c r="K306" s="10">
        <v>5243</v>
      </c>
      <c r="L306">
        <v>3</v>
      </c>
      <c r="M306" t="s">
        <v>52</v>
      </c>
      <c r="N306" t="s">
        <v>76</v>
      </c>
      <c r="O306" t="s">
        <v>28</v>
      </c>
      <c r="P306" t="s">
        <v>29</v>
      </c>
      <c r="Q306">
        <v>18</v>
      </c>
      <c r="R306">
        <v>8</v>
      </c>
      <c r="S306">
        <v>8</v>
      </c>
      <c r="T306" t="s">
        <v>30</v>
      </c>
      <c r="U306" t="str">
        <f>IF(AND(Employees_Data[[#This Row],[Age]]&gt;=20,Employees_Data[[#This Row],[Age]]&lt;=30),"Young",IF(AND(Employees_Data[[#This Row],[Age]]&gt;=31,Employees_Data[[#This Row],[Age]]&lt;=40),"Mid-Age",IF(Employees_Data[[#This Row],[Age]]&gt;=41,"Senior")))</f>
        <v>Senior</v>
      </c>
      <c r="V306" t="str">
        <f>IF(Employees_Data[[#This Row],[Salary]]&lt;=30000,"Low",IF(AND(Employees_Data[[#This Row],[Salary]]&gt;30000,Employees_Data[[#This Row],[Salary]]&lt;=60000),"Medium",IF(AND(Employees_Data[[#This Row],[Salary]]&gt;60000,Employees_Data[[#This Row],[Salary]]&lt;=90000),"High",IF(Employees_Data[[#This Row],[Salary]]&gt;90000,"Executive"))))</f>
        <v>Executive</v>
      </c>
      <c r="W30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06" s="14" t="str">
        <f>VLOOKUP(Employees_Data[[#This Row],[Department]],Departments!$A$2:$B$7,2,FALSE)</f>
        <v>D02</v>
      </c>
      <c r="Y306" s="14" t="str">
        <f>INDEX(Departments!$B$2:$B$7,MATCH(Employees_Data[[#This Row],[Department]],Departments!$A$2:$A$7,0))</f>
        <v>D02</v>
      </c>
      <c r="Z306" s="14" t="str">
        <f>INDEX(Salary_Bands!$C$2:$C$5,MATCH(Employees_Data[[#This Row],[Salary]],Salary_Bands!$A$2:$A$5,1))</f>
        <v>Executive</v>
      </c>
    </row>
    <row r="307" spans="1:26" hidden="1" x14ac:dyDescent="0.3">
      <c r="A307" t="s">
        <v>675</v>
      </c>
      <c r="B307" t="s">
        <v>676</v>
      </c>
      <c r="C307" t="s">
        <v>40</v>
      </c>
      <c r="D307" s="12">
        <v>28</v>
      </c>
      <c r="E307" t="s">
        <v>87</v>
      </c>
      <c r="F307" t="s">
        <v>88</v>
      </c>
      <c r="G307" t="s">
        <v>51</v>
      </c>
      <c r="H307">
        <v>4</v>
      </c>
      <c r="I307" s="1">
        <v>44471</v>
      </c>
      <c r="J307" s="10">
        <v>59048</v>
      </c>
      <c r="K307" s="10">
        <v>2649</v>
      </c>
      <c r="L307">
        <v>3</v>
      </c>
      <c r="M307" t="s">
        <v>36</v>
      </c>
      <c r="N307" t="s">
        <v>27</v>
      </c>
      <c r="O307" t="s">
        <v>28</v>
      </c>
      <c r="P307" t="s">
        <v>28</v>
      </c>
      <c r="Q307">
        <v>60</v>
      </c>
      <c r="R307">
        <v>19</v>
      </c>
      <c r="S307">
        <v>6</v>
      </c>
      <c r="T307" t="s">
        <v>30</v>
      </c>
      <c r="U307" t="str">
        <f>IF(AND(Employees_Data[[#This Row],[Age]]&gt;=20,Employees_Data[[#This Row],[Age]]&lt;=30),"Young",IF(AND(Employees_Data[[#This Row],[Age]]&gt;=31,Employees_Data[[#This Row],[Age]]&lt;=40),"Mid-Age",IF(Employees_Data[[#This Row],[Age]]&gt;=41,"Senior")))</f>
        <v>Young</v>
      </c>
      <c r="V307" t="str">
        <f>IF(Employees_Data[[#This Row],[Salary]]&lt;=30000,"Low",IF(AND(Employees_Data[[#This Row],[Salary]]&gt;30000,Employees_Data[[#This Row],[Salary]]&lt;=60000),"Medium",IF(AND(Employees_Data[[#This Row],[Salary]]&gt;60000,Employees_Data[[#This Row],[Salary]]&lt;=90000),"High",IF(Employees_Data[[#This Row],[Salary]]&gt;90000,"Executive"))))</f>
        <v>Medium</v>
      </c>
      <c r="W30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307" s="14" t="str">
        <f>VLOOKUP(Employees_Data[[#This Row],[Department]],Departments!$A$2:$B$7,2,FALSE)</f>
        <v>D04</v>
      </c>
      <c r="Y307" s="14" t="str">
        <f>INDEX(Departments!$B$2:$B$7,MATCH(Employees_Data[[#This Row],[Department]],Departments!$A$2:$A$7,0))</f>
        <v>D04</v>
      </c>
      <c r="Z307" s="14" t="str">
        <f>INDEX(Salary_Bands!$C$2:$C$5,MATCH(Employees_Data[[#This Row],[Salary]],Salary_Bands!$A$2:$A$5,1))</f>
        <v>Medium</v>
      </c>
    </row>
    <row r="308" spans="1:26" hidden="1" x14ac:dyDescent="0.3">
      <c r="A308" t="s">
        <v>677</v>
      </c>
      <c r="B308" t="s">
        <v>678</v>
      </c>
      <c r="C308" t="s">
        <v>22</v>
      </c>
      <c r="D308" s="12">
        <v>33</v>
      </c>
      <c r="E308" t="s">
        <v>61</v>
      </c>
      <c r="F308" t="s">
        <v>66</v>
      </c>
      <c r="G308" t="s">
        <v>47</v>
      </c>
      <c r="H308">
        <v>10</v>
      </c>
      <c r="I308" s="1">
        <v>44555</v>
      </c>
      <c r="J308" s="10">
        <v>67610</v>
      </c>
      <c r="K308" s="10">
        <v>22108</v>
      </c>
      <c r="L308">
        <v>5</v>
      </c>
      <c r="M308" t="s">
        <v>36</v>
      </c>
      <c r="N308" t="s">
        <v>58</v>
      </c>
      <c r="O308" t="s">
        <v>28</v>
      </c>
      <c r="P308" t="s">
        <v>29</v>
      </c>
      <c r="Q308">
        <v>60</v>
      </c>
      <c r="R308">
        <v>5</v>
      </c>
      <c r="S308">
        <v>8</v>
      </c>
      <c r="T308" t="s">
        <v>30</v>
      </c>
      <c r="U308" t="str">
        <f>IF(AND(Employees_Data[[#This Row],[Age]]&gt;=20,Employees_Data[[#This Row],[Age]]&lt;=30),"Young",IF(AND(Employees_Data[[#This Row],[Age]]&gt;=31,Employees_Data[[#This Row],[Age]]&lt;=40),"Mid-Age",IF(Employees_Data[[#This Row],[Age]]&gt;=41,"Senior")))</f>
        <v>Mid-Age</v>
      </c>
      <c r="V308" t="str">
        <f>IF(Employees_Data[[#This Row],[Salary]]&lt;=30000,"Low",IF(AND(Employees_Data[[#This Row],[Salary]]&gt;30000,Employees_Data[[#This Row],[Salary]]&lt;=60000),"Medium",IF(AND(Employees_Data[[#This Row],[Salary]]&gt;60000,Employees_Data[[#This Row],[Salary]]&lt;=90000),"High",IF(Employees_Data[[#This Row],[Salary]]&gt;90000,"Executive"))))</f>
        <v>High</v>
      </c>
      <c r="W30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08" s="14" t="str">
        <f>VLOOKUP(Employees_Data[[#This Row],[Department]],Departments!$A$2:$B$7,2,FALSE)</f>
        <v>D02</v>
      </c>
      <c r="Y308" s="14" t="str">
        <f>INDEX(Departments!$B$2:$B$7,MATCH(Employees_Data[[#This Row],[Department]],Departments!$A$2:$A$7,0))</f>
        <v>D02</v>
      </c>
      <c r="Z308" s="14" t="str">
        <f>INDEX(Salary_Bands!$C$2:$C$5,MATCH(Employees_Data[[#This Row],[Salary]],Salary_Bands!$A$2:$A$5,1))</f>
        <v>High</v>
      </c>
    </row>
    <row r="309" spans="1:26" hidden="1" x14ac:dyDescent="0.3">
      <c r="A309" t="s">
        <v>679</v>
      </c>
      <c r="B309" t="s">
        <v>680</v>
      </c>
      <c r="C309" t="s">
        <v>40</v>
      </c>
      <c r="D309" s="12">
        <v>48</v>
      </c>
      <c r="E309" t="s">
        <v>23</v>
      </c>
      <c r="F309" t="s">
        <v>100</v>
      </c>
      <c r="G309" t="s">
        <v>51</v>
      </c>
      <c r="H309">
        <v>22</v>
      </c>
      <c r="I309" s="1">
        <v>45442</v>
      </c>
      <c r="J309" s="10">
        <v>78054</v>
      </c>
      <c r="K309" s="10">
        <v>10764</v>
      </c>
      <c r="L309">
        <v>1</v>
      </c>
      <c r="M309" t="s">
        <v>52</v>
      </c>
      <c r="N309" t="s">
        <v>48</v>
      </c>
      <c r="O309" t="s">
        <v>28</v>
      </c>
      <c r="P309" t="s">
        <v>28</v>
      </c>
      <c r="Q309">
        <v>22</v>
      </c>
      <c r="R309">
        <v>14</v>
      </c>
      <c r="S309">
        <v>2</v>
      </c>
      <c r="T309" t="s">
        <v>30</v>
      </c>
      <c r="U309" t="str">
        <f>IF(AND(Employees_Data[[#This Row],[Age]]&gt;=20,Employees_Data[[#This Row],[Age]]&lt;=30),"Young",IF(AND(Employees_Data[[#This Row],[Age]]&gt;=31,Employees_Data[[#This Row],[Age]]&lt;=40),"Mid-Age",IF(Employees_Data[[#This Row],[Age]]&gt;=41,"Senior")))</f>
        <v>Senior</v>
      </c>
      <c r="V309" t="str">
        <f>IF(Employees_Data[[#This Row],[Salary]]&lt;=30000,"Low",IF(AND(Employees_Data[[#This Row],[Salary]]&gt;30000,Employees_Data[[#This Row],[Salary]]&lt;=60000),"Medium",IF(AND(Employees_Data[[#This Row],[Salary]]&gt;60000,Employees_Data[[#This Row],[Salary]]&lt;=90000),"High",IF(Employees_Data[[#This Row],[Salary]]&gt;90000,"Executive"))))</f>
        <v>High</v>
      </c>
      <c r="W30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09" s="14" t="str">
        <f>VLOOKUP(Employees_Data[[#This Row],[Department]],Departments!$A$2:$B$7,2,FALSE)</f>
        <v>D06</v>
      </c>
      <c r="Y309" s="14" t="str">
        <f>INDEX(Departments!$B$2:$B$7,MATCH(Employees_Data[[#This Row],[Department]],Departments!$A$2:$A$7,0))</f>
        <v>D06</v>
      </c>
      <c r="Z309" s="14" t="str">
        <f>INDEX(Salary_Bands!$C$2:$C$5,MATCH(Employees_Data[[#This Row],[Salary]],Salary_Bands!$A$2:$A$5,1))</f>
        <v>High</v>
      </c>
    </row>
    <row r="310" spans="1:26" x14ac:dyDescent="0.3">
      <c r="A310" t="s">
        <v>681</v>
      </c>
      <c r="B310" t="s">
        <v>682</v>
      </c>
      <c r="C310" t="s">
        <v>40</v>
      </c>
      <c r="D310" s="12">
        <v>55</v>
      </c>
      <c r="E310" t="s">
        <v>41</v>
      </c>
      <c r="F310" t="s">
        <v>69</v>
      </c>
      <c r="G310" t="s">
        <v>80</v>
      </c>
      <c r="H310">
        <v>31</v>
      </c>
      <c r="I310" s="1">
        <v>44796</v>
      </c>
      <c r="J310" s="10">
        <v>46930</v>
      </c>
      <c r="K310" s="10">
        <v>8900</v>
      </c>
      <c r="L310">
        <v>2</v>
      </c>
      <c r="M310" t="s">
        <v>26</v>
      </c>
      <c r="N310" t="s">
        <v>58</v>
      </c>
      <c r="O310" s="5" t="s">
        <v>29</v>
      </c>
      <c r="P310" t="s">
        <v>29</v>
      </c>
      <c r="Q310">
        <v>11</v>
      </c>
      <c r="R310">
        <v>2</v>
      </c>
      <c r="S310">
        <v>1</v>
      </c>
      <c r="T310" t="s">
        <v>30</v>
      </c>
      <c r="U310" t="str">
        <f>IF(AND(Employees_Data[[#This Row],[Age]]&gt;=20,Employees_Data[[#This Row],[Age]]&lt;=30),"Young",IF(AND(Employees_Data[[#This Row],[Age]]&gt;=31,Employees_Data[[#This Row],[Age]]&lt;=40),"Mid-Age",IF(Employees_Data[[#This Row],[Age]]&gt;=41,"Senior")))</f>
        <v>Senior</v>
      </c>
      <c r="V310" t="str">
        <f>IF(Employees_Data[[#This Row],[Salary]]&lt;=30000,"Low",IF(AND(Employees_Data[[#This Row],[Salary]]&gt;30000,Employees_Data[[#This Row],[Salary]]&lt;=60000),"Medium",IF(AND(Employees_Data[[#This Row],[Salary]]&gt;60000,Employees_Data[[#This Row],[Salary]]&lt;=90000),"High",IF(Employees_Data[[#This Row],[Salary]]&gt;90000,"Executive"))))</f>
        <v>Medium</v>
      </c>
      <c r="W31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10" s="14" t="str">
        <f>VLOOKUP(Employees_Data[[#This Row],[Department]],Departments!$A$2:$B$7,2,FALSE)</f>
        <v>D03</v>
      </c>
      <c r="Y310" s="14" t="str">
        <f>INDEX(Departments!$B$2:$B$7,MATCH(Employees_Data[[#This Row],[Department]],Departments!$A$2:$A$7,0))</f>
        <v>D03</v>
      </c>
      <c r="Z310" s="14" t="str">
        <f>INDEX(Salary_Bands!$C$2:$C$5,MATCH(Employees_Data[[#This Row],[Salary]],Salary_Bands!$A$2:$A$5,1))</f>
        <v>Medium</v>
      </c>
    </row>
    <row r="311" spans="1:26" hidden="1" x14ac:dyDescent="0.3">
      <c r="A311" t="s">
        <v>683</v>
      </c>
      <c r="B311" t="s">
        <v>684</v>
      </c>
      <c r="C311" t="s">
        <v>40</v>
      </c>
      <c r="D311" s="12">
        <v>25</v>
      </c>
      <c r="E311" t="s">
        <v>87</v>
      </c>
      <c r="F311" t="s">
        <v>88</v>
      </c>
      <c r="G311" t="s">
        <v>51</v>
      </c>
      <c r="H311">
        <v>4</v>
      </c>
      <c r="I311" s="1">
        <v>44727</v>
      </c>
      <c r="J311" s="10">
        <v>93679</v>
      </c>
      <c r="K311" s="10">
        <v>9515</v>
      </c>
      <c r="L311">
        <v>1</v>
      </c>
      <c r="M311" t="s">
        <v>26</v>
      </c>
      <c r="N311" t="s">
        <v>48</v>
      </c>
      <c r="O311" t="s">
        <v>28</v>
      </c>
      <c r="P311" t="s">
        <v>28</v>
      </c>
      <c r="Q311">
        <v>33</v>
      </c>
      <c r="R311">
        <v>20</v>
      </c>
      <c r="S311">
        <v>2</v>
      </c>
      <c r="T311" t="s">
        <v>43</v>
      </c>
      <c r="U311" t="str">
        <f>IF(AND(Employees_Data[[#This Row],[Age]]&gt;=20,Employees_Data[[#This Row],[Age]]&lt;=30),"Young",IF(AND(Employees_Data[[#This Row],[Age]]&gt;=31,Employees_Data[[#This Row],[Age]]&lt;=40),"Mid-Age",IF(Employees_Data[[#This Row],[Age]]&gt;=41,"Senior")))</f>
        <v>Young</v>
      </c>
      <c r="V311" t="str">
        <f>IF(Employees_Data[[#This Row],[Salary]]&lt;=30000,"Low",IF(AND(Employees_Data[[#This Row],[Salary]]&gt;30000,Employees_Data[[#This Row],[Salary]]&lt;=60000),"Medium",IF(AND(Employees_Data[[#This Row],[Salary]]&gt;60000,Employees_Data[[#This Row],[Salary]]&lt;=90000),"High",IF(Employees_Data[[#This Row],[Salary]]&gt;90000,"Executive"))))</f>
        <v>Executive</v>
      </c>
      <c r="W31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311" s="14" t="str">
        <f>VLOOKUP(Employees_Data[[#This Row],[Department]],Departments!$A$2:$B$7,2,FALSE)</f>
        <v>D04</v>
      </c>
      <c r="Y311" s="14" t="str">
        <f>INDEX(Departments!$B$2:$B$7,MATCH(Employees_Data[[#This Row],[Department]],Departments!$A$2:$A$7,0))</f>
        <v>D04</v>
      </c>
      <c r="Z311" s="14" t="str">
        <f>INDEX(Salary_Bands!$C$2:$C$5,MATCH(Employees_Data[[#This Row],[Salary]],Salary_Bands!$A$2:$A$5,1))</f>
        <v>Executive</v>
      </c>
    </row>
    <row r="312" spans="1:26" hidden="1" x14ac:dyDescent="0.3">
      <c r="A312" t="s">
        <v>685</v>
      </c>
      <c r="B312" t="s">
        <v>686</v>
      </c>
      <c r="C312" t="s">
        <v>40</v>
      </c>
      <c r="D312" s="12">
        <v>55</v>
      </c>
      <c r="E312" t="s">
        <v>61</v>
      </c>
      <c r="F312" t="s">
        <v>62</v>
      </c>
      <c r="G312" t="s">
        <v>25</v>
      </c>
      <c r="H312">
        <v>33</v>
      </c>
      <c r="I312" s="1">
        <v>43218</v>
      </c>
      <c r="J312" s="10">
        <v>29607</v>
      </c>
      <c r="K312" s="10">
        <v>16576</v>
      </c>
      <c r="L312">
        <v>3</v>
      </c>
      <c r="M312" t="s">
        <v>26</v>
      </c>
      <c r="N312" t="s">
        <v>48</v>
      </c>
      <c r="O312" t="s">
        <v>28</v>
      </c>
      <c r="P312" t="s">
        <v>29</v>
      </c>
      <c r="Q312">
        <v>42</v>
      </c>
      <c r="R312">
        <v>19</v>
      </c>
      <c r="S312">
        <v>6</v>
      </c>
      <c r="T312" t="s">
        <v>30</v>
      </c>
      <c r="U312" t="str">
        <f>IF(AND(Employees_Data[[#This Row],[Age]]&gt;=20,Employees_Data[[#This Row],[Age]]&lt;=30),"Young",IF(AND(Employees_Data[[#This Row],[Age]]&gt;=31,Employees_Data[[#This Row],[Age]]&lt;=40),"Mid-Age",IF(Employees_Data[[#This Row],[Age]]&gt;=41,"Senior")))</f>
        <v>Senior</v>
      </c>
      <c r="V312" t="str">
        <f>IF(Employees_Data[[#This Row],[Salary]]&lt;=30000,"Low",IF(AND(Employees_Data[[#This Row],[Salary]]&gt;30000,Employees_Data[[#This Row],[Salary]]&lt;=60000),"Medium",IF(AND(Employees_Data[[#This Row],[Salary]]&gt;60000,Employees_Data[[#This Row],[Salary]]&lt;=90000),"High",IF(Employees_Data[[#This Row],[Salary]]&gt;90000,"Executive"))))</f>
        <v>Low</v>
      </c>
      <c r="W31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12" s="14" t="str">
        <f>VLOOKUP(Employees_Data[[#This Row],[Department]],Departments!$A$2:$B$7,2,FALSE)</f>
        <v>D02</v>
      </c>
      <c r="Y312" s="14" t="str">
        <f>INDEX(Departments!$B$2:$B$7,MATCH(Employees_Data[[#This Row],[Department]],Departments!$A$2:$A$7,0))</f>
        <v>D02</v>
      </c>
      <c r="Z312" s="14" t="str">
        <f>INDEX(Salary_Bands!$C$2:$C$5,MATCH(Employees_Data[[#This Row],[Salary]],Salary_Bands!$A$2:$A$5,1))</f>
        <v>Low</v>
      </c>
    </row>
    <row r="313" spans="1:26" hidden="1" x14ac:dyDescent="0.3">
      <c r="A313" t="s">
        <v>687</v>
      </c>
      <c r="B313" t="s">
        <v>688</v>
      </c>
      <c r="C313" t="s">
        <v>40</v>
      </c>
      <c r="D313" s="12">
        <v>49</v>
      </c>
      <c r="E313" t="s">
        <v>87</v>
      </c>
      <c r="F313" t="s">
        <v>88</v>
      </c>
      <c r="G313" t="s">
        <v>51</v>
      </c>
      <c r="H313">
        <v>24</v>
      </c>
      <c r="I313" s="1">
        <v>45287</v>
      </c>
      <c r="J313" s="10">
        <v>65587</v>
      </c>
      <c r="K313" s="10">
        <v>13985</v>
      </c>
      <c r="L313">
        <v>3</v>
      </c>
      <c r="M313" t="s">
        <v>36</v>
      </c>
      <c r="N313" t="s">
        <v>37</v>
      </c>
      <c r="O313" t="s">
        <v>28</v>
      </c>
      <c r="P313" t="s">
        <v>29</v>
      </c>
      <c r="Q313">
        <v>24</v>
      </c>
      <c r="R313">
        <v>0</v>
      </c>
      <c r="S313">
        <v>8</v>
      </c>
      <c r="T313" t="s">
        <v>30</v>
      </c>
      <c r="U313" t="str">
        <f>IF(AND(Employees_Data[[#This Row],[Age]]&gt;=20,Employees_Data[[#This Row],[Age]]&lt;=30),"Young",IF(AND(Employees_Data[[#This Row],[Age]]&gt;=31,Employees_Data[[#This Row],[Age]]&lt;=40),"Mid-Age",IF(Employees_Data[[#This Row],[Age]]&gt;=41,"Senior")))</f>
        <v>Senior</v>
      </c>
      <c r="V313" t="str">
        <f>IF(Employees_Data[[#This Row],[Salary]]&lt;=30000,"Low",IF(AND(Employees_Data[[#This Row],[Salary]]&gt;30000,Employees_Data[[#This Row],[Salary]]&lt;=60000),"Medium",IF(AND(Employees_Data[[#This Row],[Salary]]&gt;60000,Employees_Data[[#This Row],[Salary]]&lt;=90000),"High",IF(Employees_Data[[#This Row],[Salary]]&gt;90000,"Executive"))))</f>
        <v>High</v>
      </c>
      <c r="W31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13" s="14" t="str">
        <f>VLOOKUP(Employees_Data[[#This Row],[Department]],Departments!$A$2:$B$7,2,FALSE)</f>
        <v>D04</v>
      </c>
      <c r="Y313" s="14" t="str">
        <f>INDEX(Departments!$B$2:$B$7,MATCH(Employees_Data[[#This Row],[Department]],Departments!$A$2:$A$7,0))</f>
        <v>D04</v>
      </c>
      <c r="Z313" s="14" t="str">
        <f>INDEX(Salary_Bands!$C$2:$C$5,MATCH(Employees_Data[[#This Row],[Salary]],Salary_Bands!$A$2:$A$5,1))</f>
        <v>High</v>
      </c>
    </row>
    <row r="314" spans="1:26" hidden="1" x14ac:dyDescent="0.3">
      <c r="A314" t="s">
        <v>689</v>
      </c>
      <c r="B314" t="s">
        <v>690</v>
      </c>
      <c r="C314" t="s">
        <v>40</v>
      </c>
      <c r="D314" s="12">
        <v>30</v>
      </c>
      <c r="E314" t="s">
        <v>56</v>
      </c>
      <c r="F314" t="s">
        <v>79</v>
      </c>
      <c r="G314" t="s">
        <v>51</v>
      </c>
      <c r="H314">
        <v>7</v>
      </c>
      <c r="I314" s="1">
        <v>44275</v>
      </c>
      <c r="J314" s="10">
        <v>86498</v>
      </c>
      <c r="K314" s="10">
        <v>2299</v>
      </c>
      <c r="L314">
        <v>5</v>
      </c>
      <c r="M314" t="s">
        <v>36</v>
      </c>
      <c r="N314" t="s">
        <v>63</v>
      </c>
      <c r="O314" t="s">
        <v>28</v>
      </c>
      <c r="P314" t="s">
        <v>28</v>
      </c>
      <c r="Q314">
        <v>43</v>
      </c>
      <c r="R314">
        <v>7</v>
      </c>
      <c r="S314">
        <v>1</v>
      </c>
      <c r="T314" t="s">
        <v>30</v>
      </c>
      <c r="U314" t="str">
        <f>IF(AND(Employees_Data[[#This Row],[Age]]&gt;=20,Employees_Data[[#This Row],[Age]]&lt;=30),"Young",IF(AND(Employees_Data[[#This Row],[Age]]&gt;=31,Employees_Data[[#This Row],[Age]]&lt;=40),"Mid-Age",IF(Employees_Data[[#This Row],[Age]]&gt;=41,"Senior")))</f>
        <v>Young</v>
      </c>
      <c r="V314" t="str">
        <f>IF(Employees_Data[[#This Row],[Salary]]&lt;=30000,"Low",IF(AND(Employees_Data[[#This Row],[Salary]]&gt;30000,Employees_Data[[#This Row],[Salary]]&lt;=60000),"Medium",IF(AND(Employees_Data[[#This Row],[Salary]]&gt;60000,Employees_Data[[#This Row],[Salary]]&lt;=90000),"High",IF(Employees_Data[[#This Row],[Salary]]&gt;90000,"Executive"))))</f>
        <v>High</v>
      </c>
      <c r="W31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14" s="14" t="str">
        <f>VLOOKUP(Employees_Data[[#This Row],[Department]],Departments!$A$2:$B$7,2,FALSE)</f>
        <v>D01</v>
      </c>
      <c r="Y314" s="14" t="str">
        <f>INDEX(Departments!$B$2:$B$7,MATCH(Employees_Data[[#This Row],[Department]],Departments!$A$2:$A$7,0))</f>
        <v>D01</v>
      </c>
      <c r="Z314" s="14" t="str">
        <f>INDEX(Salary_Bands!$C$2:$C$5,MATCH(Employees_Data[[#This Row],[Salary]],Salary_Bands!$A$2:$A$5,1))</f>
        <v>High</v>
      </c>
    </row>
    <row r="315" spans="1:26" hidden="1" x14ac:dyDescent="0.3">
      <c r="A315" t="s">
        <v>691</v>
      </c>
      <c r="B315" t="s">
        <v>692</v>
      </c>
      <c r="C315" t="s">
        <v>40</v>
      </c>
      <c r="D315" s="12">
        <v>45</v>
      </c>
      <c r="E315" t="s">
        <v>56</v>
      </c>
      <c r="F315" t="s">
        <v>79</v>
      </c>
      <c r="G315" t="s">
        <v>47</v>
      </c>
      <c r="H315">
        <v>23</v>
      </c>
      <c r="I315" s="1">
        <v>44787</v>
      </c>
      <c r="J315" s="10">
        <v>140626</v>
      </c>
      <c r="K315" s="10">
        <v>9228</v>
      </c>
      <c r="L315">
        <v>5</v>
      </c>
      <c r="M315" t="s">
        <v>36</v>
      </c>
      <c r="N315" t="s">
        <v>27</v>
      </c>
      <c r="O315" t="s">
        <v>28</v>
      </c>
      <c r="P315" t="s">
        <v>28</v>
      </c>
      <c r="Q315">
        <v>45</v>
      </c>
      <c r="R315">
        <v>7</v>
      </c>
      <c r="S315">
        <v>7</v>
      </c>
      <c r="T315" t="s">
        <v>43</v>
      </c>
      <c r="U315" t="str">
        <f>IF(AND(Employees_Data[[#This Row],[Age]]&gt;=20,Employees_Data[[#This Row],[Age]]&lt;=30),"Young",IF(AND(Employees_Data[[#This Row],[Age]]&gt;=31,Employees_Data[[#This Row],[Age]]&lt;=40),"Mid-Age",IF(Employees_Data[[#This Row],[Age]]&gt;=41,"Senior")))</f>
        <v>Senior</v>
      </c>
      <c r="V315" t="str">
        <f>IF(Employees_Data[[#This Row],[Salary]]&lt;=30000,"Low",IF(AND(Employees_Data[[#This Row],[Salary]]&gt;30000,Employees_Data[[#This Row],[Salary]]&lt;=60000),"Medium",IF(AND(Employees_Data[[#This Row],[Salary]]&gt;60000,Employees_Data[[#This Row],[Salary]]&lt;=90000),"High",IF(Employees_Data[[#This Row],[Salary]]&gt;90000,"Executive"))))</f>
        <v>Executive</v>
      </c>
      <c r="W31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15" s="14" t="str">
        <f>VLOOKUP(Employees_Data[[#This Row],[Department]],Departments!$A$2:$B$7,2,FALSE)</f>
        <v>D01</v>
      </c>
      <c r="Y315" s="14" t="str">
        <f>INDEX(Departments!$B$2:$B$7,MATCH(Employees_Data[[#This Row],[Department]],Departments!$A$2:$A$7,0))</f>
        <v>D01</v>
      </c>
      <c r="Z315" s="14" t="str">
        <f>INDEX(Salary_Bands!$C$2:$C$5,MATCH(Employees_Data[[#This Row],[Salary]],Salary_Bands!$A$2:$A$5,1))</f>
        <v>Executive</v>
      </c>
    </row>
    <row r="316" spans="1:26" hidden="1" x14ac:dyDescent="0.3">
      <c r="A316" t="s">
        <v>693</v>
      </c>
      <c r="B316" t="s">
        <v>694</v>
      </c>
      <c r="C316" t="s">
        <v>22</v>
      </c>
      <c r="D316" s="12">
        <v>39</v>
      </c>
      <c r="E316" t="s">
        <v>33</v>
      </c>
      <c r="F316" t="s">
        <v>34</v>
      </c>
      <c r="G316" t="s">
        <v>51</v>
      </c>
      <c r="H316">
        <v>16</v>
      </c>
      <c r="I316" s="1">
        <v>45279</v>
      </c>
      <c r="J316" s="10">
        <v>131012</v>
      </c>
      <c r="K316" s="10">
        <v>5616</v>
      </c>
      <c r="L316">
        <v>3</v>
      </c>
      <c r="M316" t="s">
        <v>52</v>
      </c>
      <c r="N316" t="s">
        <v>58</v>
      </c>
      <c r="O316" t="s">
        <v>28</v>
      </c>
      <c r="P316" t="s">
        <v>28</v>
      </c>
      <c r="Q316">
        <v>22</v>
      </c>
      <c r="R316">
        <v>19</v>
      </c>
      <c r="S316">
        <v>7</v>
      </c>
      <c r="T316" t="s">
        <v>43</v>
      </c>
      <c r="U316" t="str">
        <f>IF(AND(Employees_Data[[#This Row],[Age]]&gt;=20,Employees_Data[[#This Row],[Age]]&lt;=30),"Young",IF(AND(Employees_Data[[#This Row],[Age]]&gt;=31,Employees_Data[[#This Row],[Age]]&lt;=40),"Mid-Age",IF(Employees_Data[[#This Row],[Age]]&gt;=41,"Senior")))</f>
        <v>Mid-Age</v>
      </c>
      <c r="V316" t="str">
        <f>IF(Employees_Data[[#This Row],[Salary]]&lt;=30000,"Low",IF(AND(Employees_Data[[#This Row],[Salary]]&gt;30000,Employees_Data[[#This Row],[Salary]]&lt;=60000),"Medium",IF(AND(Employees_Data[[#This Row],[Salary]]&gt;60000,Employees_Data[[#This Row],[Salary]]&lt;=90000),"High",IF(Employees_Data[[#This Row],[Salary]]&gt;90000,"Executive"))))</f>
        <v>Executive</v>
      </c>
      <c r="W31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16" s="14" t="str">
        <f>VLOOKUP(Employees_Data[[#This Row],[Department]],Departments!$A$2:$B$7,2,FALSE)</f>
        <v>D05</v>
      </c>
      <c r="Y316" s="14" t="str">
        <f>INDEX(Departments!$B$2:$B$7,MATCH(Employees_Data[[#This Row],[Department]],Departments!$A$2:$A$7,0))</f>
        <v>D05</v>
      </c>
      <c r="Z316" s="14" t="str">
        <f>INDEX(Salary_Bands!$C$2:$C$5,MATCH(Employees_Data[[#This Row],[Salary]],Salary_Bands!$A$2:$A$5,1))</f>
        <v>Executive</v>
      </c>
    </row>
    <row r="317" spans="1:26" hidden="1" x14ac:dyDescent="0.3">
      <c r="A317" t="s">
        <v>695</v>
      </c>
      <c r="B317" t="s">
        <v>696</v>
      </c>
      <c r="C317" t="s">
        <v>40</v>
      </c>
      <c r="D317" s="12">
        <v>42</v>
      </c>
      <c r="E317" t="s">
        <v>87</v>
      </c>
      <c r="F317" t="s">
        <v>91</v>
      </c>
      <c r="G317" t="s">
        <v>35</v>
      </c>
      <c r="H317">
        <v>21</v>
      </c>
      <c r="I317" s="1">
        <v>43724</v>
      </c>
      <c r="J317" s="10">
        <v>31505</v>
      </c>
      <c r="K317" s="10">
        <v>16366</v>
      </c>
      <c r="L317">
        <v>5</v>
      </c>
      <c r="M317" t="s">
        <v>52</v>
      </c>
      <c r="N317" t="s">
        <v>27</v>
      </c>
      <c r="O317" t="s">
        <v>28</v>
      </c>
      <c r="P317" t="s">
        <v>29</v>
      </c>
      <c r="Q317">
        <v>10</v>
      </c>
      <c r="R317">
        <v>4</v>
      </c>
      <c r="S317">
        <v>1</v>
      </c>
      <c r="T317" t="s">
        <v>43</v>
      </c>
      <c r="U317" t="str">
        <f>IF(AND(Employees_Data[[#This Row],[Age]]&gt;=20,Employees_Data[[#This Row],[Age]]&lt;=30),"Young",IF(AND(Employees_Data[[#This Row],[Age]]&gt;=31,Employees_Data[[#This Row],[Age]]&lt;=40),"Mid-Age",IF(Employees_Data[[#This Row],[Age]]&gt;=41,"Senior")))</f>
        <v>Senior</v>
      </c>
      <c r="V317" t="str">
        <f>IF(Employees_Data[[#This Row],[Salary]]&lt;=30000,"Low",IF(AND(Employees_Data[[#This Row],[Salary]]&gt;30000,Employees_Data[[#This Row],[Salary]]&lt;=60000),"Medium",IF(AND(Employees_Data[[#This Row],[Salary]]&gt;60000,Employees_Data[[#This Row],[Salary]]&lt;=90000),"High",IF(Employees_Data[[#This Row],[Salary]]&gt;90000,"Executive"))))</f>
        <v>Medium</v>
      </c>
      <c r="W31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17" s="14" t="str">
        <f>VLOOKUP(Employees_Data[[#This Row],[Department]],Departments!$A$2:$B$7,2,FALSE)</f>
        <v>D04</v>
      </c>
      <c r="Y317" s="14" t="str">
        <f>INDEX(Departments!$B$2:$B$7,MATCH(Employees_Data[[#This Row],[Department]],Departments!$A$2:$A$7,0))</f>
        <v>D04</v>
      </c>
      <c r="Z317" s="14" t="str">
        <f>INDEX(Salary_Bands!$C$2:$C$5,MATCH(Employees_Data[[#This Row],[Salary]],Salary_Bands!$A$2:$A$5,1))</f>
        <v>Medium</v>
      </c>
    </row>
    <row r="318" spans="1:26" hidden="1" x14ac:dyDescent="0.3">
      <c r="A318" t="s">
        <v>697</v>
      </c>
      <c r="B318" t="s">
        <v>698</v>
      </c>
      <c r="C318" t="s">
        <v>40</v>
      </c>
      <c r="D318" s="12">
        <v>35</v>
      </c>
      <c r="E318" t="s">
        <v>56</v>
      </c>
      <c r="F318" t="s">
        <v>125</v>
      </c>
      <c r="G318" t="s">
        <v>80</v>
      </c>
      <c r="H318">
        <v>12</v>
      </c>
      <c r="I318" s="1">
        <v>44822</v>
      </c>
      <c r="J318" s="10">
        <v>65838</v>
      </c>
      <c r="K318" s="10">
        <v>6787</v>
      </c>
      <c r="L318">
        <v>4</v>
      </c>
      <c r="M318" t="s">
        <v>26</v>
      </c>
      <c r="N318" t="s">
        <v>37</v>
      </c>
      <c r="O318" t="s">
        <v>28</v>
      </c>
      <c r="P318" t="s">
        <v>28</v>
      </c>
      <c r="Q318">
        <v>9</v>
      </c>
      <c r="R318">
        <v>17</v>
      </c>
      <c r="S318">
        <v>6</v>
      </c>
      <c r="T318" t="s">
        <v>30</v>
      </c>
      <c r="U318" t="str">
        <f>IF(AND(Employees_Data[[#This Row],[Age]]&gt;=20,Employees_Data[[#This Row],[Age]]&lt;=30),"Young",IF(AND(Employees_Data[[#This Row],[Age]]&gt;=31,Employees_Data[[#This Row],[Age]]&lt;=40),"Mid-Age",IF(Employees_Data[[#This Row],[Age]]&gt;=41,"Senior")))</f>
        <v>Mid-Age</v>
      </c>
      <c r="V318" t="str">
        <f>IF(Employees_Data[[#This Row],[Salary]]&lt;=30000,"Low",IF(AND(Employees_Data[[#This Row],[Salary]]&gt;30000,Employees_Data[[#This Row],[Salary]]&lt;=60000),"Medium",IF(AND(Employees_Data[[#This Row],[Salary]]&gt;60000,Employees_Data[[#This Row],[Salary]]&lt;=90000),"High",IF(Employees_Data[[#This Row],[Salary]]&gt;90000,"Executive"))))</f>
        <v>High</v>
      </c>
      <c r="W31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18" s="14" t="str">
        <f>VLOOKUP(Employees_Data[[#This Row],[Department]],Departments!$A$2:$B$7,2,FALSE)</f>
        <v>D01</v>
      </c>
      <c r="Y318" s="14" t="str">
        <f>INDEX(Departments!$B$2:$B$7,MATCH(Employees_Data[[#This Row],[Department]],Departments!$A$2:$A$7,0))</f>
        <v>D01</v>
      </c>
      <c r="Z318" s="14" t="str">
        <f>INDEX(Salary_Bands!$C$2:$C$5,MATCH(Employees_Data[[#This Row],[Salary]],Salary_Bands!$A$2:$A$5,1))</f>
        <v>High</v>
      </c>
    </row>
    <row r="319" spans="1:26" hidden="1" x14ac:dyDescent="0.3">
      <c r="A319" t="s">
        <v>699</v>
      </c>
      <c r="B319" t="s">
        <v>700</v>
      </c>
      <c r="C319" t="s">
        <v>40</v>
      </c>
      <c r="D319" s="12">
        <v>34</v>
      </c>
      <c r="E319" t="s">
        <v>87</v>
      </c>
      <c r="F319" t="s">
        <v>91</v>
      </c>
      <c r="G319" t="s">
        <v>47</v>
      </c>
      <c r="H319">
        <v>11</v>
      </c>
      <c r="I319" s="1">
        <v>44663</v>
      </c>
      <c r="J319" s="10">
        <v>133560</v>
      </c>
      <c r="K319" s="10">
        <v>10099</v>
      </c>
      <c r="L319">
        <v>1</v>
      </c>
      <c r="M319" t="s">
        <v>52</v>
      </c>
      <c r="N319" t="s">
        <v>27</v>
      </c>
      <c r="O319" t="s">
        <v>28</v>
      </c>
      <c r="P319" t="s">
        <v>29</v>
      </c>
      <c r="Q319">
        <v>34</v>
      </c>
      <c r="R319">
        <v>3</v>
      </c>
      <c r="S319">
        <v>2</v>
      </c>
      <c r="T319" t="s">
        <v>30</v>
      </c>
      <c r="U319" t="str">
        <f>IF(AND(Employees_Data[[#This Row],[Age]]&gt;=20,Employees_Data[[#This Row],[Age]]&lt;=30),"Young",IF(AND(Employees_Data[[#This Row],[Age]]&gt;=31,Employees_Data[[#This Row],[Age]]&lt;=40),"Mid-Age",IF(Employees_Data[[#This Row],[Age]]&gt;=41,"Senior")))</f>
        <v>Mid-Age</v>
      </c>
      <c r="V319" t="str">
        <f>IF(Employees_Data[[#This Row],[Salary]]&lt;=30000,"Low",IF(AND(Employees_Data[[#This Row],[Salary]]&gt;30000,Employees_Data[[#This Row],[Salary]]&lt;=60000),"Medium",IF(AND(Employees_Data[[#This Row],[Salary]]&gt;60000,Employees_Data[[#This Row],[Salary]]&lt;=90000),"High",IF(Employees_Data[[#This Row],[Salary]]&gt;90000,"Executive"))))</f>
        <v>Executive</v>
      </c>
      <c r="W31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19" s="14" t="str">
        <f>VLOOKUP(Employees_Data[[#This Row],[Department]],Departments!$A$2:$B$7,2,FALSE)</f>
        <v>D04</v>
      </c>
      <c r="Y319" s="14" t="str">
        <f>INDEX(Departments!$B$2:$B$7,MATCH(Employees_Data[[#This Row],[Department]],Departments!$A$2:$A$7,0))</f>
        <v>D04</v>
      </c>
      <c r="Z319" s="14" t="str">
        <f>INDEX(Salary_Bands!$C$2:$C$5,MATCH(Employees_Data[[#This Row],[Salary]],Salary_Bands!$A$2:$A$5,1))</f>
        <v>Executive</v>
      </c>
    </row>
    <row r="320" spans="1:26" hidden="1" x14ac:dyDescent="0.3">
      <c r="A320" t="s">
        <v>701</v>
      </c>
      <c r="B320" t="s">
        <v>702</v>
      </c>
      <c r="C320" t="s">
        <v>22</v>
      </c>
      <c r="D320" s="12">
        <v>35</v>
      </c>
      <c r="E320" t="s">
        <v>33</v>
      </c>
      <c r="F320" t="s">
        <v>34</v>
      </c>
      <c r="G320" t="s">
        <v>51</v>
      </c>
      <c r="H320">
        <v>11</v>
      </c>
      <c r="I320" s="1">
        <v>44694</v>
      </c>
      <c r="J320" s="10">
        <v>114318</v>
      </c>
      <c r="K320" s="10">
        <v>17768</v>
      </c>
      <c r="L320">
        <v>3</v>
      </c>
      <c r="M320" t="s">
        <v>52</v>
      </c>
      <c r="N320" t="s">
        <v>37</v>
      </c>
      <c r="O320" t="s">
        <v>28</v>
      </c>
      <c r="P320" t="s">
        <v>29</v>
      </c>
      <c r="Q320">
        <v>28</v>
      </c>
      <c r="R320">
        <v>1</v>
      </c>
      <c r="S320">
        <v>6</v>
      </c>
      <c r="T320" t="s">
        <v>30</v>
      </c>
      <c r="U320" t="str">
        <f>IF(AND(Employees_Data[[#This Row],[Age]]&gt;=20,Employees_Data[[#This Row],[Age]]&lt;=30),"Young",IF(AND(Employees_Data[[#This Row],[Age]]&gt;=31,Employees_Data[[#This Row],[Age]]&lt;=40),"Mid-Age",IF(Employees_Data[[#This Row],[Age]]&gt;=41,"Senior")))</f>
        <v>Mid-Age</v>
      </c>
      <c r="V320" t="str">
        <f>IF(Employees_Data[[#This Row],[Salary]]&lt;=30000,"Low",IF(AND(Employees_Data[[#This Row],[Salary]]&gt;30000,Employees_Data[[#This Row],[Salary]]&lt;=60000),"Medium",IF(AND(Employees_Data[[#This Row],[Salary]]&gt;60000,Employees_Data[[#This Row],[Salary]]&lt;=90000),"High",IF(Employees_Data[[#This Row],[Salary]]&gt;90000,"Executive"))))</f>
        <v>Executive</v>
      </c>
      <c r="W32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20" s="14" t="str">
        <f>VLOOKUP(Employees_Data[[#This Row],[Department]],Departments!$A$2:$B$7,2,FALSE)</f>
        <v>D05</v>
      </c>
      <c r="Y320" s="14" t="str">
        <f>INDEX(Departments!$B$2:$B$7,MATCH(Employees_Data[[#This Row],[Department]],Departments!$A$2:$A$7,0))</f>
        <v>D05</v>
      </c>
      <c r="Z320" s="14" t="str">
        <f>INDEX(Salary_Bands!$C$2:$C$5,MATCH(Employees_Data[[#This Row],[Salary]],Salary_Bands!$A$2:$A$5,1))</f>
        <v>Executive</v>
      </c>
    </row>
    <row r="321" spans="1:26" hidden="1" x14ac:dyDescent="0.3">
      <c r="A321" t="s">
        <v>703</v>
      </c>
      <c r="B321" t="s">
        <v>704</v>
      </c>
      <c r="C321" t="s">
        <v>40</v>
      </c>
      <c r="D321" s="12">
        <v>29</v>
      </c>
      <c r="E321" t="s">
        <v>23</v>
      </c>
      <c r="F321" t="s">
        <v>24</v>
      </c>
      <c r="G321" t="s">
        <v>35</v>
      </c>
      <c r="H321">
        <v>7</v>
      </c>
      <c r="I321" s="1">
        <v>44879</v>
      </c>
      <c r="J321" s="10">
        <v>67534</v>
      </c>
      <c r="K321" s="10">
        <v>2292</v>
      </c>
      <c r="L321">
        <v>1</v>
      </c>
      <c r="M321" t="s">
        <v>26</v>
      </c>
      <c r="N321" t="s">
        <v>53</v>
      </c>
      <c r="O321" t="s">
        <v>28</v>
      </c>
      <c r="P321" t="s">
        <v>28</v>
      </c>
      <c r="Q321">
        <v>49</v>
      </c>
      <c r="R321">
        <v>19</v>
      </c>
      <c r="S321">
        <v>3</v>
      </c>
      <c r="T321" t="s">
        <v>30</v>
      </c>
      <c r="U321" t="str">
        <f>IF(AND(Employees_Data[[#This Row],[Age]]&gt;=20,Employees_Data[[#This Row],[Age]]&lt;=30),"Young",IF(AND(Employees_Data[[#This Row],[Age]]&gt;=31,Employees_Data[[#This Row],[Age]]&lt;=40),"Mid-Age",IF(Employees_Data[[#This Row],[Age]]&gt;=41,"Senior")))</f>
        <v>Young</v>
      </c>
      <c r="V321" t="str">
        <f>IF(Employees_Data[[#This Row],[Salary]]&lt;=30000,"Low",IF(AND(Employees_Data[[#This Row],[Salary]]&gt;30000,Employees_Data[[#This Row],[Salary]]&lt;=60000),"Medium",IF(AND(Employees_Data[[#This Row],[Salary]]&gt;60000,Employees_Data[[#This Row],[Salary]]&lt;=90000),"High",IF(Employees_Data[[#This Row],[Salary]]&gt;90000,"Executive"))))</f>
        <v>High</v>
      </c>
      <c r="W32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21" s="14" t="str">
        <f>VLOOKUP(Employees_Data[[#This Row],[Department]],Departments!$A$2:$B$7,2,FALSE)</f>
        <v>D06</v>
      </c>
      <c r="Y321" s="14" t="str">
        <f>INDEX(Departments!$B$2:$B$7,MATCH(Employees_Data[[#This Row],[Department]],Departments!$A$2:$A$7,0))</f>
        <v>D06</v>
      </c>
      <c r="Z321" s="14" t="str">
        <f>INDEX(Salary_Bands!$C$2:$C$5,MATCH(Employees_Data[[#This Row],[Salary]],Salary_Bands!$A$2:$A$5,1))</f>
        <v>High</v>
      </c>
    </row>
    <row r="322" spans="1:26" hidden="1" x14ac:dyDescent="0.3">
      <c r="A322" t="s">
        <v>705</v>
      </c>
      <c r="B322" t="s">
        <v>706</v>
      </c>
      <c r="C322" t="s">
        <v>22</v>
      </c>
      <c r="D322" s="12">
        <v>27</v>
      </c>
      <c r="E322" t="s">
        <v>61</v>
      </c>
      <c r="F322" t="s">
        <v>229</v>
      </c>
      <c r="G322" t="s">
        <v>80</v>
      </c>
      <c r="H322">
        <v>5</v>
      </c>
      <c r="I322" s="1">
        <v>43746</v>
      </c>
      <c r="J322" s="10">
        <v>90525</v>
      </c>
      <c r="K322" s="10">
        <v>13649</v>
      </c>
      <c r="L322">
        <v>1</v>
      </c>
      <c r="M322" t="s">
        <v>52</v>
      </c>
      <c r="N322" t="s">
        <v>76</v>
      </c>
      <c r="O322" t="s">
        <v>28</v>
      </c>
      <c r="P322" t="s">
        <v>29</v>
      </c>
      <c r="Q322">
        <v>13</v>
      </c>
      <c r="R322">
        <v>15</v>
      </c>
      <c r="S322">
        <v>10</v>
      </c>
      <c r="T322" t="s">
        <v>30</v>
      </c>
      <c r="U322" t="str">
        <f>IF(AND(Employees_Data[[#This Row],[Age]]&gt;=20,Employees_Data[[#This Row],[Age]]&lt;=30),"Young",IF(AND(Employees_Data[[#This Row],[Age]]&gt;=31,Employees_Data[[#This Row],[Age]]&lt;=40),"Mid-Age",IF(Employees_Data[[#This Row],[Age]]&gt;=41,"Senior")))</f>
        <v>Young</v>
      </c>
      <c r="V322" t="str">
        <f>IF(Employees_Data[[#This Row],[Salary]]&lt;=30000,"Low",IF(AND(Employees_Data[[#This Row],[Salary]]&gt;30000,Employees_Data[[#This Row],[Salary]]&lt;=60000),"Medium",IF(AND(Employees_Data[[#This Row],[Salary]]&gt;60000,Employees_Data[[#This Row],[Salary]]&lt;=90000),"High",IF(Employees_Data[[#This Row],[Salary]]&gt;90000,"Executive"))))</f>
        <v>Executive</v>
      </c>
      <c r="W32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322" s="14" t="str">
        <f>VLOOKUP(Employees_Data[[#This Row],[Department]],Departments!$A$2:$B$7,2,FALSE)</f>
        <v>D02</v>
      </c>
      <c r="Y322" s="14" t="str">
        <f>INDEX(Departments!$B$2:$B$7,MATCH(Employees_Data[[#This Row],[Department]],Departments!$A$2:$A$7,0))</f>
        <v>D02</v>
      </c>
      <c r="Z322" s="14" t="str">
        <f>INDEX(Salary_Bands!$C$2:$C$5,MATCH(Employees_Data[[#This Row],[Salary]],Salary_Bands!$A$2:$A$5,1))</f>
        <v>Executive</v>
      </c>
    </row>
    <row r="323" spans="1:26" hidden="1" x14ac:dyDescent="0.3">
      <c r="A323" t="s">
        <v>707</v>
      </c>
      <c r="B323" t="s">
        <v>708</v>
      </c>
      <c r="C323" t="s">
        <v>22</v>
      </c>
      <c r="D323" s="12">
        <v>44</v>
      </c>
      <c r="E323" t="s">
        <v>61</v>
      </c>
      <c r="F323" t="s">
        <v>229</v>
      </c>
      <c r="G323" t="s">
        <v>47</v>
      </c>
      <c r="H323">
        <v>20</v>
      </c>
      <c r="I323" s="1">
        <v>43891</v>
      </c>
      <c r="J323" s="10">
        <v>27798</v>
      </c>
      <c r="K323" s="10">
        <v>16336</v>
      </c>
      <c r="L323">
        <v>4</v>
      </c>
      <c r="M323" t="s">
        <v>52</v>
      </c>
      <c r="N323" t="s">
        <v>37</v>
      </c>
      <c r="O323" t="s">
        <v>28</v>
      </c>
      <c r="P323" t="s">
        <v>28</v>
      </c>
      <c r="Q323">
        <v>17</v>
      </c>
      <c r="R323">
        <v>18</v>
      </c>
      <c r="S323">
        <v>6</v>
      </c>
      <c r="T323" t="s">
        <v>30</v>
      </c>
      <c r="U323" t="str">
        <f>IF(AND(Employees_Data[[#This Row],[Age]]&gt;=20,Employees_Data[[#This Row],[Age]]&lt;=30),"Young",IF(AND(Employees_Data[[#This Row],[Age]]&gt;=31,Employees_Data[[#This Row],[Age]]&lt;=40),"Mid-Age",IF(Employees_Data[[#This Row],[Age]]&gt;=41,"Senior")))</f>
        <v>Senior</v>
      </c>
      <c r="V323" t="str">
        <f>IF(Employees_Data[[#This Row],[Salary]]&lt;=30000,"Low",IF(AND(Employees_Data[[#This Row],[Salary]]&gt;30000,Employees_Data[[#This Row],[Salary]]&lt;=60000),"Medium",IF(AND(Employees_Data[[#This Row],[Salary]]&gt;60000,Employees_Data[[#This Row],[Salary]]&lt;=90000),"High",IF(Employees_Data[[#This Row],[Salary]]&gt;90000,"Executive"))))</f>
        <v>Low</v>
      </c>
      <c r="W32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23" s="14" t="str">
        <f>VLOOKUP(Employees_Data[[#This Row],[Department]],Departments!$A$2:$B$7,2,FALSE)</f>
        <v>D02</v>
      </c>
      <c r="Y323" s="14" t="str">
        <f>INDEX(Departments!$B$2:$B$7,MATCH(Employees_Data[[#This Row],[Department]],Departments!$A$2:$A$7,0))</f>
        <v>D02</v>
      </c>
      <c r="Z323" s="14" t="str">
        <f>INDEX(Salary_Bands!$C$2:$C$5,MATCH(Employees_Data[[#This Row],[Salary]],Salary_Bands!$A$2:$A$5,1))</f>
        <v>Low</v>
      </c>
    </row>
    <row r="324" spans="1:26" hidden="1" x14ac:dyDescent="0.3">
      <c r="A324" t="s">
        <v>709</v>
      </c>
      <c r="B324" t="s">
        <v>710</v>
      </c>
      <c r="C324" t="s">
        <v>40</v>
      </c>
      <c r="D324" s="12">
        <v>44</v>
      </c>
      <c r="E324" t="s">
        <v>61</v>
      </c>
      <c r="F324" t="s">
        <v>66</v>
      </c>
      <c r="G324" t="s">
        <v>51</v>
      </c>
      <c r="H324">
        <v>21</v>
      </c>
      <c r="I324" s="1">
        <v>45019</v>
      </c>
      <c r="J324" s="10">
        <v>61087</v>
      </c>
      <c r="K324" s="10">
        <v>10629</v>
      </c>
      <c r="L324">
        <v>5</v>
      </c>
      <c r="M324" t="s">
        <v>52</v>
      </c>
      <c r="N324" t="s">
        <v>37</v>
      </c>
      <c r="O324" t="s">
        <v>28</v>
      </c>
      <c r="P324" t="s">
        <v>28</v>
      </c>
      <c r="Q324">
        <v>5</v>
      </c>
      <c r="R324">
        <v>20</v>
      </c>
      <c r="S324">
        <v>9</v>
      </c>
      <c r="T324" t="s">
        <v>30</v>
      </c>
      <c r="U324" t="str">
        <f>IF(AND(Employees_Data[[#This Row],[Age]]&gt;=20,Employees_Data[[#This Row],[Age]]&lt;=30),"Young",IF(AND(Employees_Data[[#This Row],[Age]]&gt;=31,Employees_Data[[#This Row],[Age]]&lt;=40),"Mid-Age",IF(Employees_Data[[#This Row],[Age]]&gt;=41,"Senior")))</f>
        <v>Senior</v>
      </c>
      <c r="V324" t="str">
        <f>IF(Employees_Data[[#This Row],[Salary]]&lt;=30000,"Low",IF(AND(Employees_Data[[#This Row],[Salary]]&gt;30000,Employees_Data[[#This Row],[Salary]]&lt;=60000),"Medium",IF(AND(Employees_Data[[#This Row],[Salary]]&gt;60000,Employees_Data[[#This Row],[Salary]]&lt;=90000),"High",IF(Employees_Data[[#This Row],[Salary]]&gt;90000,"Executive"))))</f>
        <v>High</v>
      </c>
      <c r="W32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24" s="14" t="str">
        <f>VLOOKUP(Employees_Data[[#This Row],[Department]],Departments!$A$2:$B$7,2,FALSE)</f>
        <v>D02</v>
      </c>
      <c r="Y324" s="14" t="str">
        <f>INDEX(Departments!$B$2:$B$7,MATCH(Employees_Data[[#This Row],[Department]],Departments!$A$2:$A$7,0))</f>
        <v>D02</v>
      </c>
      <c r="Z324" s="14" t="str">
        <f>INDEX(Salary_Bands!$C$2:$C$5,MATCH(Employees_Data[[#This Row],[Salary]],Salary_Bands!$A$2:$A$5,1))</f>
        <v>High</v>
      </c>
    </row>
    <row r="325" spans="1:26" hidden="1" x14ac:dyDescent="0.3">
      <c r="A325" t="s">
        <v>711</v>
      </c>
      <c r="B325" t="s">
        <v>712</v>
      </c>
      <c r="C325" t="s">
        <v>40</v>
      </c>
      <c r="D325" s="12">
        <v>33</v>
      </c>
      <c r="E325" t="s">
        <v>33</v>
      </c>
      <c r="F325" t="s">
        <v>46</v>
      </c>
      <c r="G325" t="s">
        <v>35</v>
      </c>
      <c r="H325">
        <v>12</v>
      </c>
      <c r="I325" s="1">
        <v>44592</v>
      </c>
      <c r="J325" s="10">
        <v>126714</v>
      </c>
      <c r="K325" s="10">
        <v>19172</v>
      </c>
      <c r="L325">
        <v>5</v>
      </c>
      <c r="M325" t="s">
        <v>52</v>
      </c>
      <c r="N325" t="s">
        <v>58</v>
      </c>
      <c r="O325" t="s">
        <v>28</v>
      </c>
      <c r="P325" t="s">
        <v>29</v>
      </c>
      <c r="Q325">
        <v>44</v>
      </c>
      <c r="R325">
        <v>9</v>
      </c>
      <c r="S325">
        <v>4</v>
      </c>
      <c r="T325" t="s">
        <v>43</v>
      </c>
      <c r="U325" t="str">
        <f>IF(AND(Employees_Data[[#This Row],[Age]]&gt;=20,Employees_Data[[#This Row],[Age]]&lt;=30),"Young",IF(AND(Employees_Data[[#This Row],[Age]]&gt;=31,Employees_Data[[#This Row],[Age]]&lt;=40),"Mid-Age",IF(Employees_Data[[#This Row],[Age]]&gt;=41,"Senior")))</f>
        <v>Mid-Age</v>
      </c>
      <c r="V325" t="str">
        <f>IF(Employees_Data[[#This Row],[Salary]]&lt;=30000,"Low",IF(AND(Employees_Data[[#This Row],[Salary]]&gt;30000,Employees_Data[[#This Row],[Salary]]&lt;=60000),"Medium",IF(AND(Employees_Data[[#This Row],[Salary]]&gt;60000,Employees_Data[[#This Row],[Salary]]&lt;=90000),"High",IF(Employees_Data[[#This Row],[Salary]]&gt;90000,"Executive"))))</f>
        <v>Executive</v>
      </c>
      <c r="W32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25" s="14" t="str">
        <f>VLOOKUP(Employees_Data[[#This Row],[Department]],Departments!$A$2:$B$7,2,FALSE)</f>
        <v>D05</v>
      </c>
      <c r="Y325" s="14" t="str">
        <f>INDEX(Departments!$B$2:$B$7,MATCH(Employees_Data[[#This Row],[Department]],Departments!$A$2:$A$7,0))</f>
        <v>D05</v>
      </c>
      <c r="Z325" s="14" t="str">
        <f>INDEX(Salary_Bands!$C$2:$C$5,MATCH(Employees_Data[[#This Row],[Salary]],Salary_Bands!$A$2:$A$5,1))</f>
        <v>Executive</v>
      </c>
    </row>
    <row r="326" spans="1:26" hidden="1" x14ac:dyDescent="0.3">
      <c r="A326" t="s">
        <v>713</v>
      </c>
      <c r="B326" t="s">
        <v>714</v>
      </c>
      <c r="C326" t="s">
        <v>22</v>
      </c>
      <c r="D326" s="12">
        <v>42</v>
      </c>
      <c r="E326" t="s">
        <v>41</v>
      </c>
      <c r="F326" t="s">
        <v>232</v>
      </c>
      <c r="G326" t="s">
        <v>35</v>
      </c>
      <c r="H326">
        <v>21</v>
      </c>
      <c r="I326" s="1">
        <v>43495</v>
      </c>
      <c r="J326" s="10">
        <v>93576</v>
      </c>
      <c r="K326" s="10">
        <v>5507</v>
      </c>
      <c r="L326">
        <v>1</v>
      </c>
      <c r="M326" t="s">
        <v>36</v>
      </c>
      <c r="N326" t="s">
        <v>76</v>
      </c>
      <c r="O326" t="s">
        <v>28</v>
      </c>
      <c r="P326" t="s">
        <v>29</v>
      </c>
      <c r="Q326">
        <v>7</v>
      </c>
      <c r="R326">
        <v>18</v>
      </c>
      <c r="S326">
        <v>1</v>
      </c>
      <c r="T326" t="s">
        <v>43</v>
      </c>
      <c r="U326" t="str">
        <f>IF(AND(Employees_Data[[#This Row],[Age]]&gt;=20,Employees_Data[[#This Row],[Age]]&lt;=30),"Young",IF(AND(Employees_Data[[#This Row],[Age]]&gt;=31,Employees_Data[[#This Row],[Age]]&lt;=40),"Mid-Age",IF(Employees_Data[[#This Row],[Age]]&gt;=41,"Senior")))</f>
        <v>Senior</v>
      </c>
      <c r="V326" t="str">
        <f>IF(Employees_Data[[#This Row],[Salary]]&lt;=30000,"Low",IF(AND(Employees_Data[[#This Row],[Salary]]&gt;30000,Employees_Data[[#This Row],[Salary]]&lt;=60000),"Medium",IF(AND(Employees_Data[[#This Row],[Salary]]&gt;60000,Employees_Data[[#This Row],[Salary]]&lt;=90000),"High",IF(Employees_Data[[#This Row],[Salary]]&gt;90000,"Executive"))))</f>
        <v>Executive</v>
      </c>
      <c r="W32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26" s="14" t="str">
        <f>VLOOKUP(Employees_Data[[#This Row],[Department]],Departments!$A$2:$B$7,2,FALSE)</f>
        <v>D03</v>
      </c>
      <c r="Y326" s="14" t="str">
        <f>INDEX(Departments!$B$2:$B$7,MATCH(Employees_Data[[#This Row],[Department]],Departments!$A$2:$A$7,0))</f>
        <v>D03</v>
      </c>
      <c r="Z326" s="14" t="str">
        <f>INDEX(Salary_Bands!$C$2:$C$5,MATCH(Employees_Data[[#This Row],[Salary]],Salary_Bands!$A$2:$A$5,1))</f>
        <v>Executive</v>
      </c>
    </row>
    <row r="327" spans="1:26" hidden="1" x14ac:dyDescent="0.3">
      <c r="A327" t="s">
        <v>715</v>
      </c>
      <c r="B327" t="s">
        <v>716</v>
      </c>
      <c r="C327" t="s">
        <v>22</v>
      </c>
      <c r="D327" s="12">
        <v>53</v>
      </c>
      <c r="E327" t="s">
        <v>23</v>
      </c>
      <c r="F327" t="s">
        <v>100</v>
      </c>
      <c r="G327" t="s">
        <v>35</v>
      </c>
      <c r="H327">
        <v>28</v>
      </c>
      <c r="I327" s="1">
        <v>45518</v>
      </c>
      <c r="J327" s="10">
        <v>58546</v>
      </c>
      <c r="K327" s="10">
        <v>23487</v>
      </c>
      <c r="L327">
        <v>1</v>
      </c>
      <c r="M327" t="s">
        <v>36</v>
      </c>
      <c r="N327" t="s">
        <v>63</v>
      </c>
      <c r="O327" t="s">
        <v>28</v>
      </c>
      <c r="P327" t="s">
        <v>29</v>
      </c>
      <c r="Q327">
        <v>34</v>
      </c>
      <c r="R327">
        <v>20</v>
      </c>
      <c r="S327">
        <v>6</v>
      </c>
      <c r="T327" t="s">
        <v>30</v>
      </c>
      <c r="U327" t="str">
        <f>IF(AND(Employees_Data[[#This Row],[Age]]&gt;=20,Employees_Data[[#This Row],[Age]]&lt;=30),"Young",IF(AND(Employees_Data[[#This Row],[Age]]&gt;=31,Employees_Data[[#This Row],[Age]]&lt;=40),"Mid-Age",IF(Employees_Data[[#This Row],[Age]]&gt;=41,"Senior")))</f>
        <v>Senior</v>
      </c>
      <c r="V327" t="str">
        <f>IF(Employees_Data[[#This Row],[Salary]]&lt;=30000,"Low",IF(AND(Employees_Data[[#This Row],[Salary]]&gt;30000,Employees_Data[[#This Row],[Salary]]&lt;=60000),"Medium",IF(AND(Employees_Data[[#This Row],[Salary]]&gt;60000,Employees_Data[[#This Row],[Salary]]&lt;=90000),"High",IF(Employees_Data[[#This Row],[Salary]]&gt;90000,"Executive"))))</f>
        <v>Medium</v>
      </c>
      <c r="W32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27" s="14" t="str">
        <f>VLOOKUP(Employees_Data[[#This Row],[Department]],Departments!$A$2:$B$7,2,FALSE)</f>
        <v>D06</v>
      </c>
      <c r="Y327" s="14" t="str">
        <f>INDEX(Departments!$B$2:$B$7,MATCH(Employees_Data[[#This Row],[Department]],Departments!$A$2:$A$7,0))</f>
        <v>D06</v>
      </c>
      <c r="Z327" s="14" t="str">
        <f>INDEX(Salary_Bands!$C$2:$C$5,MATCH(Employees_Data[[#This Row],[Salary]],Salary_Bands!$A$2:$A$5,1))</f>
        <v>Medium</v>
      </c>
    </row>
    <row r="328" spans="1:26" hidden="1" x14ac:dyDescent="0.3">
      <c r="A328" t="s">
        <v>717</v>
      </c>
      <c r="B328" t="s">
        <v>718</v>
      </c>
      <c r="C328" t="s">
        <v>40</v>
      </c>
      <c r="D328" s="12">
        <v>48</v>
      </c>
      <c r="E328" t="s">
        <v>56</v>
      </c>
      <c r="F328" t="s">
        <v>125</v>
      </c>
      <c r="G328" t="s">
        <v>80</v>
      </c>
      <c r="H328">
        <v>25</v>
      </c>
      <c r="I328" s="1">
        <v>43339</v>
      </c>
      <c r="J328" s="10">
        <v>132956</v>
      </c>
      <c r="K328" s="10">
        <v>9074</v>
      </c>
      <c r="L328">
        <v>5</v>
      </c>
      <c r="M328" t="s">
        <v>52</v>
      </c>
      <c r="N328" t="s">
        <v>27</v>
      </c>
      <c r="O328" t="s">
        <v>28</v>
      </c>
      <c r="P328" t="s">
        <v>29</v>
      </c>
      <c r="Q328">
        <v>51</v>
      </c>
      <c r="R328">
        <v>7</v>
      </c>
      <c r="S328">
        <v>5</v>
      </c>
      <c r="T328" t="s">
        <v>30</v>
      </c>
      <c r="U328" t="str">
        <f>IF(AND(Employees_Data[[#This Row],[Age]]&gt;=20,Employees_Data[[#This Row],[Age]]&lt;=30),"Young",IF(AND(Employees_Data[[#This Row],[Age]]&gt;=31,Employees_Data[[#This Row],[Age]]&lt;=40),"Mid-Age",IF(Employees_Data[[#This Row],[Age]]&gt;=41,"Senior")))</f>
        <v>Senior</v>
      </c>
      <c r="V328" t="str">
        <f>IF(Employees_Data[[#This Row],[Salary]]&lt;=30000,"Low",IF(AND(Employees_Data[[#This Row],[Salary]]&gt;30000,Employees_Data[[#This Row],[Salary]]&lt;=60000),"Medium",IF(AND(Employees_Data[[#This Row],[Salary]]&gt;60000,Employees_Data[[#This Row],[Salary]]&lt;=90000),"High",IF(Employees_Data[[#This Row],[Salary]]&gt;90000,"Executive"))))</f>
        <v>Executive</v>
      </c>
      <c r="W32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28" s="14" t="str">
        <f>VLOOKUP(Employees_Data[[#This Row],[Department]],Departments!$A$2:$B$7,2,FALSE)</f>
        <v>D01</v>
      </c>
      <c r="Y328" s="14" t="str">
        <f>INDEX(Departments!$B$2:$B$7,MATCH(Employees_Data[[#This Row],[Department]],Departments!$A$2:$A$7,0))</f>
        <v>D01</v>
      </c>
      <c r="Z328" s="14" t="str">
        <f>INDEX(Salary_Bands!$C$2:$C$5,MATCH(Employees_Data[[#This Row],[Salary]],Salary_Bands!$A$2:$A$5,1))</f>
        <v>Executive</v>
      </c>
    </row>
    <row r="329" spans="1:26" hidden="1" x14ac:dyDescent="0.3">
      <c r="A329" t="s">
        <v>719</v>
      </c>
      <c r="B329" t="s">
        <v>720</v>
      </c>
      <c r="C329" t="s">
        <v>40</v>
      </c>
      <c r="D329" s="12">
        <v>34</v>
      </c>
      <c r="E329" t="s">
        <v>33</v>
      </c>
      <c r="F329" t="s">
        <v>46</v>
      </c>
      <c r="G329" t="s">
        <v>80</v>
      </c>
      <c r="H329">
        <v>12</v>
      </c>
      <c r="I329" s="1">
        <v>45256</v>
      </c>
      <c r="J329" s="10">
        <v>111098</v>
      </c>
      <c r="K329" s="10">
        <v>22926</v>
      </c>
      <c r="L329">
        <v>2</v>
      </c>
      <c r="M329" t="s">
        <v>52</v>
      </c>
      <c r="N329" t="s">
        <v>37</v>
      </c>
      <c r="O329" t="s">
        <v>28</v>
      </c>
      <c r="P329" t="s">
        <v>28</v>
      </c>
      <c r="Q329">
        <v>49</v>
      </c>
      <c r="R329">
        <v>13</v>
      </c>
      <c r="S329">
        <v>10</v>
      </c>
      <c r="T329" t="s">
        <v>43</v>
      </c>
      <c r="U329" t="str">
        <f>IF(AND(Employees_Data[[#This Row],[Age]]&gt;=20,Employees_Data[[#This Row],[Age]]&lt;=30),"Young",IF(AND(Employees_Data[[#This Row],[Age]]&gt;=31,Employees_Data[[#This Row],[Age]]&lt;=40),"Mid-Age",IF(Employees_Data[[#This Row],[Age]]&gt;=41,"Senior")))</f>
        <v>Mid-Age</v>
      </c>
      <c r="V329" t="str">
        <f>IF(Employees_Data[[#This Row],[Salary]]&lt;=30000,"Low",IF(AND(Employees_Data[[#This Row],[Salary]]&gt;30000,Employees_Data[[#This Row],[Salary]]&lt;=60000),"Medium",IF(AND(Employees_Data[[#This Row],[Salary]]&gt;60000,Employees_Data[[#This Row],[Salary]]&lt;=90000),"High",IF(Employees_Data[[#This Row],[Salary]]&gt;90000,"Executive"))))</f>
        <v>Executive</v>
      </c>
      <c r="W32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29" s="14" t="str">
        <f>VLOOKUP(Employees_Data[[#This Row],[Department]],Departments!$A$2:$B$7,2,FALSE)</f>
        <v>D05</v>
      </c>
      <c r="Y329" s="14" t="str">
        <f>INDEX(Departments!$B$2:$B$7,MATCH(Employees_Data[[#This Row],[Department]],Departments!$A$2:$A$7,0))</f>
        <v>D05</v>
      </c>
      <c r="Z329" s="14" t="str">
        <f>INDEX(Salary_Bands!$C$2:$C$5,MATCH(Employees_Data[[#This Row],[Salary]],Salary_Bands!$A$2:$A$5,1))</f>
        <v>Executive</v>
      </c>
    </row>
    <row r="330" spans="1:26" hidden="1" x14ac:dyDescent="0.3">
      <c r="A330" t="s">
        <v>721</v>
      </c>
      <c r="B330" t="s">
        <v>722</v>
      </c>
      <c r="C330" t="s">
        <v>40</v>
      </c>
      <c r="D330" s="12">
        <v>33</v>
      </c>
      <c r="E330" t="s">
        <v>56</v>
      </c>
      <c r="F330" t="s">
        <v>57</v>
      </c>
      <c r="G330" t="s">
        <v>51</v>
      </c>
      <c r="H330">
        <v>8</v>
      </c>
      <c r="I330" s="1">
        <v>44745</v>
      </c>
      <c r="J330" s="10">
        <v>91151</v>
      </c>
      <c r="K330" s="10">
        <v>20025</v>
      </c>
      <c r="L330">
        <v>3</v>
      </c>
      <c r="M330" t="s">
        <v>36</v>
      </c>
      <c r="N330" t="s">
        <v>63</v>
      </c>
      <c r="O330" t="s">
        <v>28</v>
      </c>
      <c r="P330" t="s">
        <v>28</v>
      </c>
      <c r="Q330">
        <v>31</v>
      </c>
      <c r="R330">
        <v>20</v>
      </c>
      <c r="S330">
        <v>3</v>
      </c>
      <c r="T330" t="s">
        <v>30</v>
      </c>
      <c r="U330" t="str">
        <f>IF(AND(Employees_Data[[#This Row],[Age]]&gt;=20,Employees_Data[[#This Row],[Age]]&lt;=30),"Young",IF(AND(Employees_Data[[#This Row],[Age]]&gt;=31,Employees_Data[[#This Row],[Age]]&lt;=40),"Mid-Age",IF(Employees_Data[[#This Row],[Age]]&gt;=41,"Senior")))</f>
        <v>Mid-Age</v>
      </c>
      <c r="V330" t="str">
        <f>IF(Employees_Data[[#This Row],[Salary]]&lt;=30000,"Low",IF(AND(Employees_Data[[#This Row],[Salary]]&gt;30000,Employees_Data[[#This Row],[Salary]]&lt;=60000),"Medium",IF(AND(Employees_Data[[#This Row],[Salary]]&gt;60000,Employees_Data[[#This Row],[Salary]]&lt;=90000),"High",IF(Employees_Data[[#This Row],[Salary]]&gt;90000,"Executive"))))</f>
        <v>Executive</v>
      </c>
      <c r="W33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30" s="14" t="str">
        <f>VLOOKUP(Employees_Data[[#This Row],[Department]],Departments!$A$2:$B$7,2,FALSE)</f>
        <v>D01</v>
      </c>
      <c r="Y330" s="14" t="str">
        <f>INDEX(Departments!$B$2:$B$7,MATCH(Employees_Data[[#This Row],[Department]],Departments!$A$2:$A$7,0))</f>
        <v>D01</v>
      </c>
      <c r="Z330" s="14" t="str">
        <f>INDEX(Salary_Bands!$C$2:$C$5,MATCH(Employees_Data[[#This Row],[Salary]],Salary_Bands!$A$2:$A$5,1))</f>
        <v>Executive</v>
      </c>
    </row>
    <row r="331" spans="1:26" hidden="1" x14ac:dyDescent="0.3">
      <c r="A331" t="s">
        <v>723</v>
      </c>
      <c r="B331" t="s">
        <v>724</v>
      </c>
      <c r="C331" t="s">
        <v>40</v>
      </c>
      <c r="D331" s="12">
        <v>42</v>
      </c>
      <c r="E331" t="s">
        <v>87</v>
      </c>
      <c r="F331" t="s">
        <v>88</v>
      </c>
      <c r="G331" t="s">
        <v>51</v>
      </c>
      <c r="H331">
        <v>17</v>
      </c>
      <c r="I331" s="1">
        <v>44086</v>
      </c>
      <c r="J331" s="10">
        <v>98812</v>
      </c>
      <c r="K331" s="10">
        <v>16824</v>
      </c>
      <c r="L331">
        <v>5</v>
      </c>
      <c r="M331" t="s">
        <v>36</v>
      </c>
      <c r="N331" t="s">
        <v>58</v>
      </c>
      <c r="O331" t="s">
        <v>28</v>
      </c>
      <c r="P331" t="s">
        <v>29</v>
      </c>
      <c r="Q331">
        <v>51</v>
      </c>
      <c r="R331">
        <v>1</v>
      </c>
      <c r="S331">
        <v>4</v>
      </c>
      <c r="T331" t="s">
        <v>30</v>
      </c>
      <c r="U331" t="str">
        <f>IF(AND(Employees_Data[[#This Row],[Age]]&gt;=20,Employees_Data[[#This Row],[Age]]&lt;=30),"Young",IF(AND(Employees_Data[[#This Row],[Age]]&gt;=31,Employees_Data[[#This Row],[Age]]&lt;=40),"Mid-Age",IF(Employees_Data[[#This Row],[Age]]&gt;=41,"Senior")))</f>
        <v>Senior</v>
      </c>
      <c r="V331" t="str">
        <f>IF(Employees_Data[[#This Row],[Salary]]&lt;=30000,"Low",IF(AND(Employees_Data[[#This Row],[Salary]]&gt;30000,Employees_Data[[#This Row],[Salary]]&lt;=60000),"Medium",IF(AND(Employees_Data[[#This Row],[Salary]]&gt;60000,Employees_Data[[#This Row],[Salary]]&lt;=90000),"High",IF(Employees_Data[[#This Row],[Salary]]&gt;90000,"Executive"))))</f>
        <v>Executive</v>
      </c>
      <c r="W33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31" s="14" t="str">
        <f>VLOOKUP(Employees_Data[[#This Row],[Department]],Departments!$A$2:$B$7,2,FALSE)</f>
        <v>D04</v>
      </c>
      <c r="Y331" s="14" t="str">
        <f>INDEX(Departments!$B$2:$B$7,MATCH(Employees_Data[[#This Row],[Department]],Departments!$A$2:$A$7,0))</f>
        <v>D04</v>
      </c>
      <c r="Z331" s="14" t="str">
        <f>INDEX(Salary_Bands!$C$2:$C$5,MATCH(Employees_Data[[#This Row],[Salary]],Salary_Bands!$A$2:$A$5,1))</f>
        <v>Executive</v>
      </c>
    </row>
    <row r="332" spans="1:26" hidden="1" x14ac:dyDescent="0.3">
      <c r="A332" t="s">
        <v>725</v>
      </c>
      <c r="B332" t="s">
        <v>726</v>
      </c>
      <c r="C332" t="s">
        <v>40</v>
      </c>
      <c r="D332" s="12">
        <v>23</v>
      </c>
      <c r="E332" t="s">
        <v>41</v>
      </c>
      <c r="F332" t="s">
        <v>69</v>
      </c>
      <c r="G332" t="s">
        <v>80</v>
      </c>
      <c r="H332">
        <v>0</v>
      </c>
      <c r="I332" s="1">
        <v>43654</v>
      </c>
      <c r="J332" s="10">
        <v>141696</v>
      </c>
      <c r="K332" s="10">
        <v>24600</v>
      </c>
      <c r="L332">
        <v>3</v>
      </c>
      <c r="M332" t="s">
        <v>36</v>
      </c>
      <c r="N332" t="s">
        <v>53</v>
      </c>
      <c r="O332" t="s">
        <v>28</v>
      </c>
      <c r="P332" t="s">
        <v>29</v>
      </c>
      <c r="Q332">
        <v>11</v>
      </c>
      <c r="R332">
        <v>1</v>
      </c>
      <c r="S332">
        <v>1</v>
      </c>
      <c r="T332" t="s">
        <v>30</v>
      </c>
      <c r="U332" t="str">
        <f>IF(AND(Employees_Data[[#This Row],[Age]]&gt;=20,Employees_Data[[#This Row],[Age]]&lt;=30),"Young",IF(AND(Employees_Data[[#This Row],[Age]]&gt;=31,Employees_Data[[#This Row],[Age]]&lt;=40),"Mid-Age",IF(Employees_Data[[#This Row],[Age]]&gt;=41,"Senior")))</f>
        <v>Young</v>
      </c>
      <c r="V332" t="str">
        <f>IF(Employees_Data[[#This Row],[Salary]]&lt;=30000,"Low",IF(AND(Employees_Data[[#This Row],[Salary]]&gt;30000,Employees_Data[[#This Row],[Salary]]&lt;=60000),"Medium",IF(AND(Employees_Data[[#This Row],[Salary]]&gt;60000,Employees_Data[[#This Row],[Salary]]&lt;=90000),"High",IF(Employees_Data[[#This Row],[Salary]]&gt;90000,"Executive"))))</f>
        <v>Executive</v>
      </c>
      <c r="W33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32" s="14" t="str">
        <f>VLOOKUP(Employees_Data[[#This Row],[Department]],Departments!$A$2:$B$7,2,FALSE)</f>
        <v>D03</v>
      </c>
      <c r="Y332" s="14" t="str">
        <f>INDEX(Departments!$B$2:$B$7,MATCH(Employees_Data[[#This Row],[Department]],Departments!$A$2:$A$7,0))</f>
        <v>D03</v>
      </c>
      <c r="Z332" s="14" t="str">
        <f>INDEX(Salary_Bands!$C$2:$C$5,MATCH(Employees_Data[[#This Row],[Salary]],Salary_Bands!$A$2:$A$5,1))</f>
        <v>Executive</v>
      </c>
    </row>
    <row r="333" spans="1:26" hidden="1" x14ac:dyDescent="0.3">
      <c r="A333" t="s">
        <v>727</v>
      </c>
      <c r="B333" t="s">
        <v>728</v>
      </c>
      <c r="C333" t="s">
        <v>22</v>
      </c>
      <c r="D333" s="12">
        <v>31</v>
      </c>
      <c r="E333" t="s">
        <v>87</v>
      </c>
      <c r="F333" t="s">
        <v>220</v>
      </c>
      <c r="G333" t="s">
        <v>25</v>
      </c>
      <c r="H333">
        <v>9</v>
      </c>
      <c r="I333" s="1">
        <v>44186</v>
      </c>
      <c r="J333" s="10">
        <v>73114</v>
      </c>
      <c r="K333" s="10">
        <v>15100</v>
      </c>
      <c r="L333">
        <v>5</v>
      </c>
      <c r="M333" t="s">
        <v>52</v>
      </c>
      <c r="N333" t="s">
        <v>76</v>
      </c>
      <c r="O333" t="s">
        <v>28</v>
      </c>
      <c r="P333" t="s">
        <v>29</v>
      </c>
      <c r="Q333">
        <v>51</v>
      </c>
      <c r="R333">
        <v>10</v>
      </c>
      <c r="S333">
        <v>4</v>
      </c>
      <c r="T333" t="s">
        <v>30</v>
      </c>
      <c r="U333" t="str">
        <f>IF(AND(Employees_Data[[#This Row],[Age]]&gt;=20,Employees_Data[[#This Row],[Age]]&lt;=30),"Young",IF(AND(Employees_Data[[#This Row],[Age]]&gt;=31,Employees_Data[[#This Row],[Age]]&lt;=40),"Mid-Age",IF(Employees_Data[[#This Row],[Age]]&gt;=41,"Senior")))</f>
        <v>Mid-Age</v>
      </c>
      <c r="V333" t="str">
        <f>IF(Employees_Data[[#This Row],[Salary]]&lt;=30000,"Low",IF(AND(Employees_Data[[#This Row],[Salary]]&gt;30000,Employees_Data[[#This Row],[Salary]]&lt;=60000),"Medium",IF(AND(Employees_Data[[#This Row],[Salary]]&gt;60000,Employees_Data[[#This Row],[Salary]]&lt;=90000),"High",IF(Employees_Data[[#This Row],[Salary]]&gt;90000,"Executive"))))</f>
        <v>High</v>
      </c>
      <c r="W33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33" s="14" t="str">
        <f>VLOOKUP(Employees_Data[[#This Row],[Department]],Departments!$A$2:$B$7,2,FALSE)</f>
        <v>D04</v>
      </c>
      <c r="Y333" s="14" t="str">
        <f>INDEX(Departments!$B$2:$B$7,MATCH(Employees_Data[[#This Row],[Department]],Departments!$A$2:$A$7,0))</f>
        <v>D04</v>
      </c>
      <c r="Z333" s="14" t="str">
        <f>INDEX(Salary_Bands!$C$2:$C$5,MATCH(Employees_Data[[#This Row],[Salary]],Salary_Bands!$A$2:$A$5,1))</f>
        <v>High</v>
      </c>
    </row>
    <row r="334" spans="1:26" hidden="1" x14ac:dyDescent="0.3">
      <c r="A334" t="s">
        <v>729</v>
      </c>
      <c r="B334" t="s">
        <v>730</v>
      </c>
      <c r="C334" t="s">
        <v>40</v>
      </c>
      <c r="D334" s="12">
        <v>53</v>
      </c>
      <c r="E334" t="s">
        <v>87</v>
      </c>
      <c r="F334" t="s">
        <v>91</v>
      </c>
      <c r="G334" t="s">
        <v>80</v>
      </c>
      <c r="H334">
        <v>27</v>
      </c>
      <c r="I334" s="1">
        <v>45461</v>
      </c>
      <c r="J334" s="10">
        <v>132415</v>
      </c>
      <c r="K334" s="10">
        <v>3832</v>
      </c>
      <c r="L334">
        <v>1</v>
      </c>
      <c r="M334" t="s">
        <v>36</v>
      </c>
      <c r="N334" t="s">
        <v>37</v>
      </c>
      <c r="O334" t="s">
        <v>28</v>
      </c>
      <c r="P334" t="s">
        <v>28</v>
      </c>
      <c r="Q334">
        <v>31</v>
      </c>
      <c r="R334">
        <v>3</v>
      </c>
      <c r="S334">
        <v>10</v>
      </c>
      <c r="T334" t="s">
        <v>43</v>
      </c>
      <c r="U334" t="str">
        <f>IF(AND(Employees_Data[[#This Row],[Age]]&gt;=20,Employees_Data[[#This Row],[Age]]&lt;=30),"Young",IF(AND(Employees_Data[[#This Row],[Age]]&gt;=31,Employees_Data[[#This Row],[Age]]&lt;=40),"Mid-Age",IF(Employees_Data[[#This Row],[Age]]&gt;=41,"Senior")))</f>
        <v>Senior</v>
      </c>
      <c r="V334" t="str">
        <f>IF(Employees_Data[[#This Row],[Salary]]&lt;=30000,"Low",IF(AND(Employees_Data[[#This Row],[Salary]]&gt;30000,Employees_Data[[#This Row],[Salary]]&lt;=60000),"Medium",IF(AND(Employees_Data[[#This Row],[Salary]]&gt;60000,Employees_Data[[#This Row],[Salary]]&lt;=90000),"High",IF(Employees_Data[[#This Row],[Salary]]&gt;90000,"Executive"))))</f>
        <v>Executive</v>
      </c>
      <c r="W33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34" s="14" t="str">
        <f>VLOOKUP(Employees_Data[[#This Row],[Department]],Departments!$A$2:$B$7,2,FALSE)</f>
        <v>D04</v>
      </c>
      <c r="Y334" s="14" t="str">
        <f>INDEX(Departments!$B$2:$B$7,MATCH(Employees_Data[[#This Row],[Department]],Departments!$A$2:$A$7,0))</f>
        <v>D04</v>
      </c>
      <c r="Z334" s="14" t="str">
        <f>INDEX(Salary_Bands!$C$2:$C$5,MATCH(Employees_Data[[#This Row],[Salary]],Salary_Bands!$A$2:$A$5,1))</f>
        <v>Executive</v>
      </c>
    </row>
    <row r="335" spans="1:26" x14ac:dyDescent="0.3">
      <c r="A335" t="s">
        <v>731</v>
      </c>
      <c r="B335" t="s">
        <v>732</v>
      </c>
      <c r="C335" t="s">
        <v>22</v>
      </c>
      <c r="D335" s="12">
        <v>22</v>
      </c>
      <c r="E335" t="s">
        <v>61</v>
      </c>
      <c r="F335" t="s">
        <v>66</v>
      </c>
      <c r="G335" t="s">
        <v>51</v>
      </c>
      <c r="H335">
        <v>0</v>
      </c>
      <c r="I335" s="1">
        <v>44667</v>
      </c>
      <c r="J335" s="10">
        <v>32094</v>
      </c>
      <c r="K335" s="10">
        <v>18462</v>
      </c>
      <c r="L335">
        <v>3</v>
      </c>
      <c r="M335" t="s">
        <v>52</v>
      </c>
      <c r="N335" t="s">
        <v>76</v>
      </c>
      <c r="O335" s="5" t="s">
        <v>29</v>
      </c>
      <c r="P335" t="s">
        <v>29</v>
      </c>
      <c r="Q335">
        <v>8</v>
      </c>
      <c r="R335">
        <v>12</v>
      </c>
      <c r="S335">
        <v>9</v>
      </c>
      <c r="T335" t="s">
        <v>30</v>
      </c>
      <c r="U335" t="str">
        <f>IF(AND(Employees_Data[[#This Row],[Age]]&gt;=20,Employees_Data[[#This Row],[Age]]&lt;=30),"Young",IF(AND(Employees_Data[[#This Row],[Age]]&gt;=31,Employees_Data[[#This Row],[Age]]&lt;=40),"Mid-Age",IF(Employees_Data[[#This Row],[Age]]&gt;=41,"Senior")))</f>
        <v>Young</v>
      </c>
      <c r="V335" t="str">
        <f>IF(Employees_Data[[#This Row],[Salary]]&lt;=30000,"Low",IF(AND(Employees_Data[[#This Row],[Salary]]&gt;30000,Employees_Data[[#This Row],[Salary]]&lt;=60000),"Medium",IF(AND(Employees_Data[[#This Row],[Salary]]&gt;60000,Employees_Data[[#This Row],[Salary]]&lt;=90000),"High",IF(Employees_Data[[#This Row],[Salary]]&gt;90000,"Executive"))))</f>
        <v>Medium</v>
      </c>
      <c r="W33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35" s="14" t="str">
        <f>VLOOKUP(Employees_Data[[#This Row],[Department]],Departments!$A$2:$B$7,2,FALSE)</f>
        <v>D02</v>
      </c>
      <c r="Y335" s="14" t="str">
        <f>INDEX(Departments!$B$2:$B$7,MATCH(Employees_Data[[#This Row],[Department]],Departments!$A$2:$A$7,0))</f>
        <v>D02</v>
      </c>
      <c r="Z335" s="14" t="str">
        <f>INDEX(Salary_Bands!$C$2:$C$5,MATCH(Employees_Data[[#This Row],[Salary]],Salary_Bands!$A$2:$A$5,1))</f>
        <v>Medium</v>
      </c>
    </row>
    <row r="336" spans="1:26" x14ac:dyDescent="0.3">
      <c r="A336" t="s">
        <v>733</v>
      </c>
      <c r="B336" t="s">
        <v>734</v>
      </c>
      <c r="C336" t="s">
        <v>40</v>
      </c>
      <c r="D336" s="12">
        <v>54</v>
      </c>
      <c r="E336" t="s">
        <v>87</v>
      </c>
      <c r="F336" t="s">
        <v>88</v>
      </c>
      <c r="G336" t="s">
        <v>25</v>
      </c>
      <c r="H336">
        <v>33</v>
      </c>
      <c r="I336" s="1">
        <v>44010</v>
      </c>
      <c r="J336" s="10">
        <v>81614</v>
      </c>
      <c r="K336" s="10">
        <v>3615</v>
      </c>
      <c r="L336">
        <v>3</v>
      </c>
      <c r="M336" t="s">
        <v>52</v>
      </c>
      <c r="N336" t="s">
        <v>58</v>
      </c>
      <c r="O336" s="5" t="s">
        <v>29</v>
      </c>
      <c r="P336" t="s">
        <v>28</v>
      </c>
      <c r="Q336">
        <v>10</v>
      </c>
      <c r="R336">
        <v>12</v>
      </c>
      <c r="S336">
        <v>7</v>
      </c>
      <c r="T336" t="s">
        <v>30</v>
      </c>
      <c r="U336" t="str">
        <f>IF(AND(Employees_Data[[#This Row],[Age]]&gt;=20,Employees_Data[[#This Row],[Age]]&lt;=30),"Young",IF(AND(Employees_Data[[#This Row],[Age]]&gt;=31,Employees_Data[[#This Row],[Age]]&lt;=40),"Mid-Age",IF(Employees_Data[[#This Row],[Age]]&gt;=41,"Senior")))</f>
        <v>Senior</v>
      </c>
      <c r="V336" t="str">
        <f>IF(Employees_Data[[#This Row],[Salary]]&lt;=30000,"Low",IF(AND(Employees_Data[[#This Row],[Salary]]&gt;30000,Employees_Data[[#This Row],[Salary]]&lt;=60000),"Medium",IF(AND(Employees_Data[[#This Row],[Salary]]&gt;60000,Employees_Data[[#This Row],[Salary]]&lt;=90000),"High",IF(Employees_Data[[#This Row],[Salary]]&gt;90000,"Executive"))))</f>
        <v>High</v>
      </c>
      <c r="W33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36" s="14" t="str">
        <f>VLOOKUP(Employees_Data[[#This Row],[Department]],Departments!$A$2:$B$7,2,FALSE)</f>
        <v>D04</v>
      </c>
      <c r="Y336" s="14" t="str">
        <f>INDEX(Departments!$B$2:$B$7,MATCH(Employees_Data[[#This Row],[Department]],Departments!$A$2:$A$7,0))</f>
        <v>D04</v>
      </c>
      <c r="Z336" s="14" t="str">
        <f>INDEX(Salary_Bands!$C$2:$C$5,MATCH(Employees_Data[[#This Row],[Salary]],Salary_Bands!$A$2:$A$5,1))</f>
        <v>High</v>
      </c>
    </row>
    <row r="337" spans="1:26" hidden="1" x14ac:dyDescent="0.3">
      <c r="A337" t="s">
        <v>735</v>
      </c>
      <c r="B337" t="s">
        <v>736</v>
      </c>
      <c r="C337" t="s">
        <v>22</v>
      </c>
      <c r="D337" s="12">
        <v>30</v>
      </c>
      <c r="E337" t="s">
        <v>33</v>
      </c>
      <c r="F337" t="s">
        <v>46</v>
      </c>
      <c r="G337" t="s">
        <v>35</v>
      </c>
      <c r="H337">
        <v>8</v>
      </c>
      <c r="I337" s="1">
        <v>45070</v>
      </c>
      <c r="J337" s="10">
        <v>98308</v>
      </c>
      <c r="K337" s="10">
        <v>4347</v>
      </c>
      <c r="L337">
        <v>2</v>
      </c>
      <c r="M337" t="s">
        <v>36</v>
      </c>
      <c r="N337" t="s">
        <v>63</v>
      </c>
      <c r="O337" t="s">
        <v>28</v>
      </c>
      <c r="P337" t="s">
        <v>28</v>
      </c>
      <c r="Q337">
        <v>25</v>
      </c>
      <c r="R337">
        <v>18</v>
      </c>
      <c r="S337">
        <v>8</v>
      </c>
      <c r="T337" t="s">
        <v>30</v>
      </c>
      <c r="U337" t="str">
        <f>IF(AND(Employees_Data[[#This Row],[Age]]&gt;=20,Employees_Data[[#This Row],[Age]]&lt;=30),"Young",IF(AND(Employees_Data[[#This Row],[Age]]&gt;=31,Employees_Data[[#This Row],[Age]]&lt;=40),"Mid-Age",IF(Employees_Data[[#This Row],[Age]]&gt;=41,"Senior")))</f>
        <v>Young</v>
      </c>
      <c r="V337" t="str">
        <f>IF(Employees_Data[[#This Row],[Salary]]&lt;=30000,"Low",IF(AND(Employees_Data[[#This Row],[Salary]]&gt;30000,Employees_Data[[#This Row],[Salary]]&lt;=60000),"Medium",IF(AND(Employees_Data[[#This Row],[Salary]]&gt;60000,Employees_Data[[#This Row],[Salary]]&lt;=90000),"High",IF(Employees_Data[[#This Row],[Salary]]&gt;90000,"Executive"))))</f>
        <v>Executive</v>
      </c>
      <c r="W33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37" s="14" t="str">
        <f>VLOOKUP(Employees_Data[[#This Row],[Department]],Departments!$A$2:$B$7,2,FALSE)</f>
        <v>D05</v>
      </c>
      <c r="Y337" s="14" t="str">
        <f>INDEX(Departments!$B$2:$B$7,MATCH(Employees_Data[[#This Row],[Department]],Departments!$A$2:$A$7,0))</f>
        <v>D05</v>
      </c>
      <c r="Z337" s="14" t="str">
        <f>INDEX(Salary_Bands!$C$2:$C$5,MATCH(Employees_Data[[#This Row],[Salary]],Salary_Bands!$A$2:$A$5,1))</f>
        <v>Executive</v>
      </c>
    </row>
    <row r="338" spans="1:26" hidden="1" x14ac:dyDescent="0.3">
      <c r="A338" t="s">
        <v>737</v>
      </c>
      <c r="B338" t="s">
        <v>738</v>
      </c>
      <c r="C338" t="s">
        <v>40</v>
      </c>
      <c r="D338" s="12">
        <v>48</v>
      </c>
      <c r="E338" t="s">
        <v>56</v>
      </c>
      <c r="F338" t="s">
        <v>57</v>
      </c>
      <c r="G338" t="s">
        <v>35</v>
      </c>
      <c r="H338">
        <v>24</v>
      </c>
      <c r="I338" s="1">
        <v>44597</v>
      </c>
      <c r="J338" s="10">
        <v>70653</v>
      </c>
      <c r="K338" s="10">
        <v>13459</v>
      </c>
      <c r="L338">
        <v>2</v>
      </c>
      <c r="M338" t="s">
        <v>52</v>
      </c>
      <c r="N338" t="s">
        <v>63</v>
      </c>
      <c r="O338" t="s">
        <v>28</v>
      </c>
      <c r="P338" t="s">
        <v>28</v>
      </c>
      <c r="Q338">
        <v>44</v>
      </c>
      <c r="R338">
        <v>4</v>
      </c>
      <c r="S338">
        <v>6</v>
      </c>
      <c r="T338" t="s">
        <v>30</v>
      </c>
      <c r="U338" t="str">
        <f>IF(AND(Employees_Data[[#This Row],[Age]]&gt;=20,Employees_Data[[#This Row],[Age]]&lt;=30),"Young",IF(AND(Employees_Data[[#This Row],[Age]]&gt;=31,Employees_Data[[#This Row],[Age]]&lt;=40),"Mid-Age",IF(Employees_Data[[#This Row],[Age]]&gt;=41,"Senior")))</f>
        <v>Senior</v>
      </c>
      <c r="V338" t="str">
        <f>IF(Employees_Data[[#This Row],[Salary]]&lt;=30000,"Low",IF(AND(Employees_Data[[#This Row],[Salary]]&gt;30000,Employees_Data[[#This Row],[Salary]]&lt;=60000),"Medium",IF(AND(Employees_Data[[#This Row],[Salary]]&gt;60000,Employees_Data[[#This Row],[Salary]]&lt;=90000),"High",IF(Employees_Data[[#This Row],[Salary]]&gt;90000,"Executive"))))</f>
        <v>High</v>
      </c>
      <c r="W33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38" s="14" t="str">
        <f>VLOOKUP(Employees_Data[[#This Row],[Department]],Departments!$A$2:$B$7,2,FALSE)</f>
        <v>D01</v>
      </c>
      <c r="Y338" s="14" t="str">
        <f>INDEX(Departments!$B$2:$B$7,MATCH(Employees_Data[[#This Row],[Department]],Departments!$A$2:$A$7,0))</f>
        <v>D01</v>
      </c>
      <c r="Z338" s="14" t="str">
        <f>INDEX(Salary_Bands!$C$2:$C$5,MATCH(Employees_Data[[#This Row],[Salary]],Salary_Bands!$A$2:$A$5,1))</f>
        <v>High</v>
      </c>
    </row>
    <row r="339" spans="1:26" hidden="1" x14ac:dyDescent="0.3">
      <c r="A339" t="s">
        <v>739</v>
      </c>
      <c r="B339" t="s">
        <v>740</v>
      </c>
      <c r="C339" t="s">
        <v>22</v>
      </c>
      <c r="D339" s="12">
        <v>36</v>
      </c>
      <c r="E339" t="s">
        <v>87</v>
      </c>
      <c r="F339" t="s">
        <v>91</v>
      </c>
      <c r="G339" t="s">
        <v>51</v>
      </c>
      <c r="H339">
        <v>14</v>
      </c>
      <c r="I339" s="1">
        <v>44632</v>
      </c>
      <c r="J339" s="10">
        <v>45446</v>
      </c>
      <c r="K339" s="10">
        <v>2450</v>
      </c>
      <c r="L339">
        <v>1</v>
      </c>
      <c r="M339" t="s">
        <v>36</v>
      </c>
      <c r="N339" t="s">
        <v>48</v>
      </c>
      <c r="O339" t="s">
        <v>28</v>
      </c>
      <c r="P339" t="s">
        <v>29</v>
      </c>
      <c r="Q339">
        <v>24</v>
      </c>
      <c r="R339">
        <v>14</v>
      </c>
      <c r="S339">
        <v>2</v>
      </c>
      <c r="T339" t="s">
        <v>30</v>
      </c>
      <c r="U339" t="str">
        <f>IF(AND(Employees_Data[[#This Row],[Age]]&gt;=20,Employees_Data[[#This Row],[Age]]&lt;=30),"Young",IF(AND(Employees_Data[[#This Row],[Age]]&gt;=31,Employees_Data[[#This Row],[Age]]&lt;=40),"Mid-Age",IF(Employees_Data[[#This Row],[Age]]&gt;=41,"Senior")))</f>
        <v>Mid-Age</v>
      </c>
      <c r="V339" t="str">
        <f>IF(Employees_Data[[#This Row],[Salary]]&lt;=30000,"Low",IF(AND(Employees_Data[[#This Row],[Salary]]&gt;30000,Employees_Data[[#This Row],[Salary]]&lt;=60000),"Medium",IF(AND(Employees_Data[[#This Row],[Salary]]&gt;60000,Employees_Data[[#This Row],[Salary]]&lt;=90000),"High",IF(Employees_Data[[#This Row],[Salary]]&gt;90000,"Executive"))))</f>
        <v>Medium</v>
      </c>
      <c r="W33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39" s="14" t="str">
        <f>VLOOKUP(Employees_Data[[#This Row],[Department]],Departments!$A$2:$B$7,2,FALSE)</f>
        <v>D04</v>
      </c>
      <c r="Y339" s="14" t="str">
        <f>INDEX(Departments!$B$2:$B$7,MATCH(Employees_Data[[#This Row],[Department]],Departments!$A$2:$A$7,0))</f>
        <v>D04</v>
      </c>
      <c r="Z339" s="14" t="str">
        <f>INDEX(Salary_Bands!$C$2:$C$5,MATCH(Employees_Data[[#This Row],[Salary]],Salary_Bands!$A$2:$A$5,1))</f>
        <v>Medium</v>
      </c>
    </row>
    <row r="340" spans="1:26" hidden="1" x14ac:dyDescent="0.3">
      <c r="A340" t="s">
        <v>741</v>
      </c>
      <c r="B340" t="s">
        <v>742</v>
      </c>
      <c r="C340" t="s">
        <v>40</v>
      </c>
      <c r="D340" s="12">
        <v>43</v>
      </c>
      <c r="E340" t="s">
        <v>87</v>
      </c>
      <c r="F340" t="s">
        <v>91</v>
      </c>
      <c r="G340" t="s">
        <v>25</v>
      </c>
      <c r="H340">
        <v>21</v>
      </c>
      <c r="I340" s="1">
        <v>45304</v>
      </c>
      <c r="J340" s="10">
        <v>52770</v>
      </c>
      <c r="K340" s="10">
        <v>6631</v>
      </c>
      <c r="L340">
        <v>2</v>
      </c>
      <c r="M340" t="s">
        <v>52</v>
      </c>
      <c r="N340" t="s">
        <v>48</v>
      </c>
      <c r="O340" t="s">
        <v>28</v>
      </c>
      <c r="P340" t="s">
        <v>29</v>
      </c>
      <c r="Q340">
        <v>29</v>
      </c>
      <c r="R340">
        <v>18</v>
      </c>
      <c r="S340">
        <v>9</v>
      </c>
      <c r="T340" t="s">
        <v>30</v>
      </c>
      <c r="U340" t="str">
        <f>IF(AND(Employees_Data[[#This Row],[Age]]&gt;=20,Employees_Data[[#This Row],[Age]]&lt;=30),"Young",IF(AND(Employees_Data[[#This Row],[Age]]&gt;=31,Employees_Data[[#This Row],[Age]]&lt;=40),"Mid-Age",IF(Employees_Data[[#This Row],[Age]]&gt;=41,"Senior")))</f>
        <v>Senior</v>
      </c>
      <c r="V340" t="str">
        <f>IF(Employees_Data[[#This Row],[Salary]]&lt;=30000,"Low",IF(AND(Employees_Data[[#This Row],[Salary]]&gt;30000,Employees_Data[[#This Row],[Salary]]&lt;=60000),"Medium",IF(AND(Employees_Data[[#This Row],[Salary]]&gt;60000,Employees_Data[[#This Row],[Salary]]&lt;=90000),"High",IF(Employees_Data[[#This Row],[Salary]]&gt;90000,"Executive"))))</f>
        <v>Medium</v>
      </c>
      <c r="W34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40" s="14" t="str">
        <f>VLOOKUP(Employees_Data[[#This Row],[Department]],Departments!$A$2:$B$7,2,FALSE)</f>
        <v>D04</v>
      </c>
      <c r="Y340" s="14" t="str">
        <f>INDEX(Departments!$B$2:$B$7,MATCH(Employees_Data[[#This Row],[Department]],Departments!$A$2:$A$7,0))</f>
        <v>D04</v>
      </c>
      <c r="Z340" s="14" t="str">
        <f>INDEX(Salary_Bands!$C$2:$C$5,MATCH(Employees_Data[[#This Row],[Salary]],Salary_Bands!$A$2:$A$5,1))</f>
        <v>Medium</v>
      </c>
    </row>
    <row r="341" spans="1:26" hidden="1" x14ac:dyDescent="0.3">
      <c r="A341" t="s">
        <v>743</v>
      </c>
      <c r="B341" t="s">
        <v>744</v>
      </c>
      <c r="C341" t="s">
        <v>22</v>
      </c>
      <c r="D341" s="12">
        <v>24</v>
      </c>
      <c r="E341" t="s">
        <v>23</v>
      </c>
      <c r="F341" t="s">
        <v>109</v>
      </c>
      <c r="G341" t="s">
        <v>47</v>
      </c>
      <c r="H341">
        <v>1</v>
      </c>
      <c r="I341" s="1">
        <v>43798</v>
      </c>
      <c r="J341" s="10">
        <v>32878</v>
      </c>
      <c r="K341" s="10">
        <v>23455</v>
      </c>
      <c r="L341">
        <v>3</v>
      </c>
      <c r="M341" t="s">
        <v>26</v>
      </c>
      <c r="N341" t="s">
        <v>27</v>
      </c>
      <c r="O341" t="s">
        <v>28</v>
      </c>
      <c r="P341" t="s">
        <v>28</v>
      </c>
      <c r="Q341">
        <v>47</v>
      </c>
      <c r="R341">
        <v>8</v>
      </c>
      <c r="S341">
        <v>4</v>
      </c>
      <c r="T341" t="s">
        <v>30</v>
      </c>
      <c r="U341" t="str">
        <f>IF(AND(Employees_Data[[#This Row],[Age]]&gt;=20,Employees_Data[[#This Row],[Age]]&lt;=30),"Young",IF(AND(Employees_Data[[#This Row],[Age]]&gt;=31,Employees_Data[[#This Row],[Age]]&lt;=40),"Mid-Age",IF(Employees_Data[[#This Row],[Age]]&gt;=41,"Senior")))</f>
        <v>Young</v>
      </c>
      <c r="V341" t="str">
        <f>IF(Employees_Data[[#This Row],[Salary]]&lt;=30000,"Low",IF(AND(Employees_Data[[#This Row],[Salary]]&gt;30000,Employees_Data[[#This Row],[Salary]]&lt;=60000),"Medium",IF(AND(Employees_Data[[#This Row],[Salary]]&gt;60000,Employees_Data[[#This Row],[Salary]]&lt;=90000),"High",IF(Employees_Data[[#This Row],[Salary]]&gt;90000,"Executive"))))</f>
        <v>Medium</v>
      </c>
      <c r="W34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41" s="14" t="str">
        <f>VLOOKUP(Employees_Data[[#This Row],[Department]],Departments!$A$2:$B$7,2,FALSE)</f>
        <v>D06</v>
      </c>
      <c r="Y341" s="14" t="str">
        <f>INDEX(Departments!$B$2:$B$7,MATCH(Employees_Data[[#This Row],[Department]],Departments!$A$2:$A$7,0))</f>
        <v>D06</v>
      </c>
      <c r="Z341" s="14" t="str">
        <f>INDEX(Salary_Bands!$C$2:$C$5,MATCH(Employees_Data[[#This Row],[Salary]],Salary_Bands!$A$2:$A$5,1))</f>
        <v>Medium</v>
      </c>
    </row>
    <row r="342" spans="1:26" hidden="1" x14ac:dyDescent="0.3">
      <c r="A342" t="s">
        <v>745</v>
      </c>
      <c r="B342" t="s">
        <v>746</v>
      </c>
      <c r="C342" t="s">
        <v>22</v>
      </c>
      <c r="D342" s="12">
        <v>45</v>
      </c>
      <c r="E342" t="s">
        <v>23</v>
      </c>
      <c r="F342" t="s">
        <v>109</v>
      </c>
      <c r="G342" t="s">
        <v>51</v>
      </c>
      <c r="H342">
        <v>24</v>
      </c>
      <c r="I342" s="1">
        <v>43179</v>
      </c>
      <c r="J342" s="10">
        <v>63337</v>
      </c>
      <c r="K342" s="10">
        <v>17881</v>
      </c>
      <c r="L342">
        <v>4</v>
      </c>
      <c r="M342" t="s">
        <v>52</v>
      </c>
      <c r="N342" t="s">
        <v>53</v>
      </c>
      <c r="O342" t="s">
        <v>28</v>
      </c>
      <c r="P342" t="s">
        <v>29</v>
      </c>
      <c r="Q342">
        <v>16</v>
      </c>
      <c r="R342">
        <v>6</v>
      </c>
      <c r="S342">
        <v>4</v>
      </c>
      <c r="T342" t="s">
        <v>30</v>
      </c>
      <c r="U342" t="str">
        <f>IF(AND(Employees_Data[[#This Row],[Age]]&gt;=20,Employees_Data[[#This Row],[Age]]&lt;=30),"Young",IF(AND(Employees_Data[[#This Row],[Age]]&gt;=31,Employees_Data[[#This Row],[Age]]&lt;=40),"Mid-Age",IF(Employees_Data[[#This Row],[Age]]&gt;=41,"Senior")))</f>
        <v>Senior</v>
      </c>
      <c r="V342" t="str">
        <f>IF(Employees_Data[[#This Row],[Salary]]&lt;=30000,"Low",IF(AND(Employees_Data[[#This Row],[Salary]]&gt;30000,Employees_Data[[#This Row],[Salary]]&lt;=60000),"Medium",IF(AND(Employees_Data[[#This Row],[Salary]]&gt;60000,Employees_Data[[#This Row],[Salary]]&lt;=90000),"High",IF(Employees_Data[[#This Row],[Salary]]&gt;90000,"Executive"))))</f>
        <v>High</v>
      </c>
      <c r="W34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42" s="14" t="str">
        <f>VLOOKUP(Employees_Data[[#This Row],[Department]],Departments!$A$2:$B$7,2,FALSE)</f>
        <v>D06</v>
      </c>
      <c r="Y342" s="14" t="str">
        <f>INDEX(Departments!$B$2:$B$7,MATCH(Employees_Data[[#This Row],[Department]],Departments!$A$2:$A$7,0))</f>
        <v>D06</v>
      </c>
      <c r="Z342" s="14" t="str">
        <f>INDEX(Salary_Bands!$C$2:$C$5,MATCH(Employees_Data[[#This Row],[Salary]],Salary_Bands!$A$2:$A$5,1))</f>
        <v>High</v>
      </c>
    </row>
    <row r="343" spans="1:26" hidden="1" x14ac:dyDescent="0.3">
      <c r="A343" t="s">
        <v>747</v>
      </c>
      <c r="B343" t="s">
        <v>748</v>
      </c>
      <c r="C343" t="s">
        <v>22</v>
      </c>
      <c r="D343" s="12">
        <v>23</v>
      </c>
      <c r="E343" t="s">
        <v>33</v>
      </c>
      <c r="F343" t="s">
        <v>46</v>
      </c>
      <c r="G343" t="s">
        <v>80</v>
      </c>
      <c r="H343">
        <v>2</v>
      </c>
      <c r="I343" s="1">
        <v>44114</v>
      </c>
      <c r="J343" s="10">
        <v>145883</v>
      </c>
      <c r="K343" s="10">
        <v>13363</v>
      </c>
      <c r="L343">
        <v>5</v>
      </c>
      <c r="M343" t="s">
        <v>52</v>
      </c>
      <c r="N343" t="s">
        <v>37</v>
      </c>
      <c r="O343" t="s">
        <v>28</v>
      </c>
      <c r="P343" t="s">
        <v>28</v>
      </c>
      <c r="Q343">
        <v>45</v>
      </c>
      <c r="R343">
        <v>9</v>
      </c>
      <c r="S343">
        <v>5</v>
      </c>
      <c r="T343" t="s">
        <v>30</v>
      </c>
      <c r="U343" t="str">
        <f>IF(AND(Employees_Data[[#This Row],[Age]]&gt;=20,Employees_Data[[#This Row],[Age]]&lt;=30),"Young",IF(AND(Employees_Data[[#This Row],[Age]]&gt;=31,Employees_Data[[#This Row],[Age]]&lt;=40),"Mid-Age",IF(Employees_Data[[#This Row],[Age]]&gt;=41,"Senior")))</f>
        <v>Young</v>
      </c>
      <c r="V343" t="str">
        <f>IF(Employees_Data[[#This Row],[Salary]]&lt;=30000,"Low",IF(AND(Employees_Data[[#This Row],[Salary]]&gt;30000,Employees_Data[[#This Row],[Salary]]&lt;=60000),"Medium",IF(AND(Employees_Data[[#This Row],[Salary]]&gt;60000,Employees_Data[[#This Row],[Salary]]&lt;=90000),"High",IF(Employees_Data[[#This Row],[Salary]]&gt;90000,"Executive"))))</f>
        <v>Executive</v>
      </c>
      <c r="W34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43" s="14" t="str">
        <f>VLOOKUP(Employees_Data[[#This Row],[Department]],Departments!$A$2:$B$7,2,FALSE)</f>
        <v>D05</v>
      </c>
      <c r="Y343" s="14" t="str">
        <f>INDEX(Departments!$B$2:$B$7,MATCH(Employees_Data[[#This Row],[Department]],Departments!$A$2:$A$7,0))</f>
        <v>D05</v>
      </c>
      <c r="Z343" s="14" t="str">
        <f>INDEX(Salary_Bands!$C$2:$C$5,MATCH(Employees_Data[[#This Row],[Salary]],Salary_Bands!$A$2:$A$5,1))</f>
        <v>Executive</v>
      </c>
    </row>
    <row r="344" spans="1:26" hidden="1" x14ac:dyDescent="0.3">
      <c r="A344" t="s">
        <v>749</v>
      </c>
      <c r="B344" t="s">
        <v>750</v>
      </c>
      <c r="C344" t="s">
        <v>22</v>
      </c>
      <c r="D344" s="12">
        <v>39</v>
      </c>
      <c r="E344" t="s">
        <v>61</v>
      </c>
      <c r="F344" t="s">
        <v>66</v>
      </c>
      <c r="G344" t="s">
        <v>35</v>
      </c>
      <c r="H344">
        <v>18</v>
      </c>
      <c r="I344" s="1">
        <v>44156</v>
      </c>
      <c r="J344" s="10">
        <v>140169</v>
      </c>
      <c r="K344" s="10">
        <v>13199</v>
      </c>
      <c r="L344">
        <v>4</v>
      </c>
      <c r="M344" t="s">
        <v>36</v>
      </c>
      <c r="N344" t="s">
        <v>48</v>
      </c>
      <c r="O344" t="s">
        <v>28</v>
      </c>
      <c r="P344" t="s">
        <v>29</v>
      </c>
      <c r="Q344">
        <v>10</v>
      </c>
      <c r="R344">
        <v>12</v>
      </c>
      <c r="S344">
        <v>1</v>
      </c>
      <c r="T344" t="s">
        <v>30</v>
      </c>
      <c r="U344" t="str">
        <f>IF(AND(Employees_Data[[#This Row],[Age]]&gt;=20,Employees_Data[[#This Row],[Age]]&lt;=30),"Young",IF(AND(Employees_Data[[#This Row],[Age]]&gt;=31,Employees_Data[[#This Row],[Age]]&lt;=40),"Mid-Age",IF(Employees_Data[[#This Row],[Age]]&gt;=41,"Senior")))</f>
        <v>Mid-Age</v>
      </c>
      <c r="V344" t="str">
        <f>IF(Employees_Data[[#This Row],[Salary]]&lt;=30000,"Low",IF(AND(Employees_Data[[#This Row],[Salary]]&gt;30000,Employees_Data[[#This Row],[Salary]]&lt;=60000),"Medium",IF(AND(Employees_Data[[#This Row],[Salary]]&gt;60000,Employees_Data[[#This Row],[Salary]]&lt;=90000),"High",IF(Employees_Data[[#This Row],[Salary]]&gt;90000,"Executive"))))</f>
        <v>Executive</v>
      </c>
      <c r="W34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44" s="14" t="str">
        <f>VLOOKUP(Employees_Data[[#This Row],[Department]],Departments!$A$2:$B$7,2,FALSE)</f>
        <v>D02</v>
      </c>
      <c r="Y344" s="14" t="str">
        <f>INDEX(Departments!$B$2:$B$7,MATCH(Employees_Data[[#This Row],[Department]],Departments!$A$2:$A$7,0))</f>
        <v>D02</v>
      </c>
      <c r="Z344" s="14" t="str">
        <f>INDEX(Salary_Bands!$C$2:$C$5,MATCH(Employees_Data[[#This Row],[Salary]],Salary_Bands!$A$2:$A$5,1))</f>
        <v>Executive</v>
      </c>
    </row>
    <row r="345" spans="1:26" hidden="1" x14ac:dyDescent="0.3">
      <c r="A345" t="s">
        <v>751</v>
      </c>
      <c r="B345" t="s">
        <v>752</v>
      </c>
      <c r="C345" t="s">
        <v>40</v>
      </c>
      <c r="D345" s="12">
        <v>36</v>
      </c>
      <c r="E345" t="s">
        <v>33</v>
      </c>
      <c r="F345" t="s">
        <v>34</v>
      </c>
      <c r="G345" t="s">
        <v>47</v>
      </c>
      <c r="H345">
        <v>12</v>
      </c>
      <c r="I345" s="1">
        <v>44085</v>
      </c>
      <c r="J345" s="10">
        <v>100090</v>
      </c>
      <c r="K345" s="10">
        <v>19767</v>
      </c>
      <c r="L345">
        <v>2</v>
      </c>
      <c r="M345" t="s">
        <v>26</v>
      </c>
      <c r="N345" t="s">
        <v>76</v>
      </c>
      <c r="O345" t="s">
        <v>28</v>
      </c>
      <c r="P345" t="s">
        <v>29</v>
      </c>
      <c r="Q345">
        <v>42</v>
      </c>
      <c r="R345">
        <v>17</v>
      </c>
      <c r="S345">
        <v>7</v>
      </c>
      <c r="T345" t="s">
        <v>30</v>
      </c>
      <c r="U345" t="str">
        <f>IF(AND(Employees_Data[[#This Row],[Age]]&gt;=20,Employees_Data[[#This Row],[Age]]&lt;=30),"Young",IF(AND(Employees_Data[[#This Row],[Age]]&gt;=31,Employees_Data[[#This Row],[Age]]&lt;=40),"Mid-Age",IF(Employees_Data[[#This Row],[Age]]&gt;=41,"Senior")))</f>
        <v>Mid-Age</v>
      </c>
      <c r="V345" t="str">
        <f>IF(Employees_Data[[#This Row],[Salary]]&lt;=30000,"Low",IF(AND(Employees_Data[[#This Row],[Salary]]&gt;30000,Employees_Data[[#This Row],[Salary]]&lt;=60000),"Medium",IF(AND(Employees_Data[[#This Row],[Salary]]&gt;60000,Employees_Data[[#This Row],[Salary]]&lt;=90000),"High",IF(Employees_Data[[#This Row],[Salary]]&gt;90000,"Executive"))))</f>
        <v>Executive</v>
      </c>
      <c r="W34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45" s="14" t="str">
        <f>VLOOKUP(Employees_Data[[#This Row],[Department]],Departments!$A$2:$B$7,2,FALSE)</f>
        <v>D05</v>
      </c>
      <c r="Y345" s="14" t="str">
        <f>INDEX(Departments!$B$2:$B$7,MATCH(Employees_Data[[#This Row],[Department]],Departments!$A$2:$A$7,0))</f>
        <v>D05</v>
      </c>
      <c r="Z345" s="14" t="str">
        <f>INDEX(Salary_Bands!$C$2:$C$5,MATCH(Employees_Data[[#This Row],[Salary]],Salary_Bands!$A$2:$A$5,1))</f>
        <v>Executive</v>
      </c>
    </row>
    <row r="346" spans="1:26" hidden="1" x14ac:dyDescent="0.3">
      <c r="A346" t="s">
        <v>753</v>
      </c>
      <c r="B346" t="s">
        <v>754</v>
      </c>
      <c r="C346" t="s">
        <v>22</v>
      </c>
      <c r="D346" s="12">
        <v>30</v>
      </c>
      <c r="E346" t="s">
        <v>23</v>
      </c>
      <c r="F346" t="s">
        <v>24</v>
      </c>
      <c r="G346" t="s">
        <v>25</v>
      </c>
      <c r="H346">
        <v>7</v>
      </c>
      <c r="I346" s="1">
        <v>45246</v>
      </c>
      <c r="J346" s="10">
        <v>144218</v>
      </c>
      <c r="K346" s="10">
        <v>7178</v>
      </c>
      <c r="L346">
        <v>2</v>
      </c>
      <c r="M346" t="s">
        <v>36</v>
      </c>
      <c r="N346" t="s">
        <v>27</v>
      </c>
      <c r="O346" t="s">
        <v>28</v>
      </c>
      <c r="P346" t="s">
        <v>29</v>
      </c>
      <c r="Q346">
        <v>16</v>
      </c>
      <c r="R346">
        <v>10</v>
      </c>
      <c r="S346">
        <v>7</v>
      </c>
      <c r="T346" t="s">
        <v>30</v>
      </c>
      <c r="U346" t="str">
        <f>IF(AND(Employees_Data[[#This Row],[Age]]&gt;=20,Employees_Data[[#This Row],[Age]]&lt;=30),"Young",IF(AND(Employees_Data[[#This Row],[Age]]&gt;=31,Employees_Data[[#This Row],[Age]]&lt;=40),"Mid-Age",IF(Employees_Data[[#This Row],[Age]]&gt;=41,"Senior")))</f>
        <v>Young</v>
      </c>
      <c r="V346" t="str">
        <f>IF(Employees_Data[[#This Row],[Salary]]&lt;=30000,"Low",IF(AND(Employees_Data[[#This Row],[Salary]]&gt;30000,Employees_Data[[#This Row],[Salary]]&lt;=60000),"Medium",IF(AND(Employees_Data[[#This Row],[Salary]]&gt;60000,Employees_Data[[#This Row],[Salary]]&lt;=90000),"High",IF(Employees_Data[[#This Row],[Salary]]&gt;90000,"Executive"))))</f>
        <v>Executive</v>
      </c>
      <c r="W34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46" s="14" t="str">
        <f>VLOOKUP(Employees_Data[[#This Row],[Department]],Departments!$A$2:$B$7,2,FALSE)</f>
        <v>D06</v>
      </c>
      <c r="Y346" s="14" t="str">
        <f>INDEX(Departments!$B$2:$B$7,MATCH(Employees_Data[[#This Row],[Department]],Departments!$A$2:$A$7,0))</f>
        <v>D06</v>
      </c>
      <c r="Z346" s="14" t="str">
        <f>INDEX(Salary_Bands!$C$2:$C$5,MATCH(Employees_Data[[#This Row],[Salary]],Salary_Bands!$A$2:$A$5,1))</f>
        <v>Executive</v>
      </c>
    </row>
    <row r="347" spans="1:26" hidden="1" x14ac:dyDescent="0.3">
      <c r="A347" t="s">
        <v>755</v>
      </c>
      <c r="B347" t="s">
        <v>756</v>
      </c>
      <c r="C347" t="s">
        <v>40</v>
      </c>
      <c r="D347" s="12">
        <v>23</v>
      </c>
      <c r="E347" t="s">
        <v>61</v>
      </c>
      <c r="F347" t="s">
        <v>66</v>
      </c>
      <c r="G347" t="s">
        <v>35</v>
      </c>
      <c r="H347">
        <v>0</v>
      </c>
      <c r="I347" s="1">
        <v>44796</v>
      </c>
      <c r="J347" s="10">
        <v>78903</v>
      </c>
      <c r="K347" s="10">
        <v>8158</v>
      </c>
      <c r="L347">
        <v>3</v>
      </c>
      <c r="M347" t="s">
        <v>26</v>
      </c>
      <c r="N347" t="s">
        <v>76</v>
      </c>
      <c r="O347" t="s">
        <v>28</v>
      </c>
      <c r="P347" t="s">
        <v>29</v>
      </c>
      <c r="Q347">
        <v>6</v>
      </c>
      <c r="R347">
        <v>19</v>
      </c>
      <c r="S347">
        <v>8</v>
      </c>
      <c r="T347" t="s">
        <v>30</v>
      </c>
      <c r="U347" t="str">
        <f>IF(AND(Employees_Data[[#This Row],[Age]]&gt;=20,Employees_Data[[#This Row],[Age]]&lt;=30),"Young",IF(AND(Employees_Data[[#This Row],[Age]]&gt;=31,Employees_Data[[#This Row],[Age]]&lt;=40),"Mid-Age",IF(Employees_Data[[#This Row],[Age]]&gt;=41,"Senior")))</f>
        <v>Young</v>
      </c>
      <c r="V347" t="str">
        <f>IF(Employees_Data[[#This Row],[Salary]]&lt;=30000,"Low",IF(AND(Employees_Data[[#This Row],[Salary]]&gt;30000,Employees_Data[[#This Row],[Salary]]&lt;=60000),"Medium",IF(AND(Employees_Data[[#This Row],[Salary]]&gt;60000,Employees_Data[[#This Row],[Salary]]&lt;=90000),"High",IF(Employees_Data[[#This Row],[Salary]]&gt;90000,"Executive"))))</f>
        <v>High</v>
      </c>
      <c r="W34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47" s="14" t="str">
        <f>VLOOKUP(Employees_Data[[#This Row],[Department]],Departments!$A$2:$B$7,2,FALSE)</f>
        <v>D02</v>
      </c>
      <c r="Y347" s="14" t="str">
        <f>INDEX(Departments!$B$2:$B$7,MATCH(Employees_Data[[#This Row],[Department]],Departments!$A$2:$A$7,0))</f>
        <v>D02</v>
      </c>
      <c r="Z347" s="14" t="str">
        <f>INDEX(Salary_Bands!$C$2:$C$5,MATCH(Employees_Data[[#This Row],[Salary]],Salary_Bands!$A$2:$A$5,1))</f>
        <v>High</v>
      </c>
    </row>
    <row r="348" spans="1:26" x14ac:dyDescent="0.3">
      <c r="A348" t="s">
        <v>757</v>
      </c>
      <c r="B348" t="s">
        <v>758</v>
      </c>
      <c r="C348" t="s">
        <v>22</v>
      </c>
      <c r="D348" s="12">
        <v>36</v>
      </c>
      <c r="E348" t="s">
        <v>33</v>
      </c>
      <c r="F348" t="s">
        <v>46</v>
      </c>
      <c r="G348" t="s">
        <v>25</v>
      </c>
      <c r="H348">
        <v>11</v>
      </c>
      <c r="I348" s="1">
        <v>44052</v>
      </c>
      <c r="J348" s="10">
        <v>55266</v>
      </c>
      <c r="K348" s="10">
        <v>21815</v>
      </c>
      <c r="L348">
        <v>1</v>
      </c>
      <c r="M348" t="s">
        <v>36</v>
      </c>
      <c r="N348" t="s">
        <v>48</v>
      </c>
      <c r="O348" s="5" t="s">
        <v>29</v>
      </c>
      <c r="P348" t="s">
        <v>28</v>
      </c>
      <c r="Q348">
        <v>16</v>
      </c>
      <c r="R348">
        <v>12</v>
      </c>
      <c r="S348">
        <v>6</v>
      </c>
      <c r="T348" t="s">
        <v>30</v>
      </c>
      <c r="U348" t="str">
        <f>IF(AND(Employees_Data[[#This Row],[Age]]&gt;=20,Employees_Data[[#This Row],[Age]]&lt;=30),"Young",IF(AND(Employees_Data[[#This Row],[Age]]&gt;=31,Employees_Data[[#This Row],[Age]]&lt;=40),"Mid-Age",IF(Employees_Data[[#This Row],[Age]]&gt;=41,"Senior")))</f>
        <v>Mid-Age</v>
      </c>
      <c r="V348" t="str">
        <f>IF(Employees_Data[[#This Row],[Salary]]&lt;=30000,"Low",IF(AND(Employees_Data[[#This Row],[Salary]]&gt;30000,Employees_Data[[#This Row],[Salary]]&lt;=60000),"Medium",IF(AND(Employees_Data[[#This Row],[Salary]]&gt;60000,Employees_Data[[#This Row],[Salary]]&lt;=90000),"High",IF(Employees_Data[[#This Row],[Salary]]&gt;90000,"Executive"))))</f>
        <v>Medium</v>
      </c>
      <c r="W34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48" s="14" t="str">
        <f>VLOOKUP(Employees_Data[[#This Row],[Department]],Departments!$A$2:$B$7,2,FALSE)</f>
        <v>D05</v>
      </c>
      <c r="Y348" s="14" t="str">
        <f>INDEX(Departments!$B$2:$B$7,MATCH(Employees_Data[[#This Row],[Department]],Departments!$A$2:$A$7,0))</f>
        <v>D05</v>
      </c>
      <c r="Z348" s="14" t="str">
        <f>INDEX(Salary_Bands!$C$2:$C$5,MATCH(Employees_Data[[#This Row],[Salary]],Salary_Bands!$A$2:$A$5,1))</f>
        <v>Medium</v>
      </c>
    </row>
    <row r="349" spans="1:26" hidden="1" x14ac:dyDescent="0.3">
      <c r="A349" t="s">
        <v>759</v>
      </c>
      <c r="B349" t="s">
        <v>760</v>
      </c>
      <c r="C349" t="s">
        <v>40</v>
      </c>
      <c r="D349" s="12">
        <v>30</v>
      </c>
      <c r="E349" t="s">
        <v>87</v>
      </c>
      <c r="F349" t="s">
        <v>220</v>
      </c>
      <c r="G349" t="s">
        <v>47</v>
      </c>
      <c r="H349">
        <v>8</v>
      </c>
      <c r="I349" s="1">
        <v>43892</v>
      </c>
      <c r="J349" s="10">
        <v>54658</v>
      </c>
      <c r="K349" s="10">
        <v>9292</v>
      </c>
      <c r="L349">
        <v>1</v>
      </c>
      <c r="M349" t="s">
        <v>52</v>
      </c>
      <c r="N349" t="s">
        <v>48</v>
      </c>
      <c r="O349" t="s">
        <v>28</v>
      </c>
      <c r="P349" t="s">
        <v>29</v>
      </c>
      <c r="Q349">
        <v>53</v>
      </c>
      <c r="R349">
        <v>6</v>
      </c>
      <c r="S349">
        <v>7</v>
      </c>
      <c r="T349" t="s">
        <v>43</v>
      </c>
      <c r="U349" t="str">
        <f>IF(AND(Employees_Data[[#This Row],[Age]]&gt;=20,Employees_Data[[#This Row],[Age]]&lt;=30),"Young",IF(AND(Employees_Data[[#This Row],[Age]]&gt;=31,Employees_Data[[#This Row],[Age]]&lt;=40),"Mid-Age",IF(Employees_Data[[#This Row],[Age]]&gt;=41,"Senior")))</f>
        <v>Young</v>
      </c>
      <c r="V349" t="str">
        <f>IF(Employees_Data[[#This Row],[Salary]]&lt;=30000,"Low",IF(AND(Employees_Data[[#This Row],[Salary]]&gt;30000,Employees_Data[[#This Row],[Salary]]&lt;=60000),"Medium",IF(AND(Employees_Data[[#This Row],[Salary]]&gt;60000,Employees_Data[[#This Row],[Salary]]&lt;=90000),"High",IF(Employees_Data[[#This Row],[Salary]]&gt;90000,"Executive"))))</f>
        <v>Medium</v>
      </c>
      <c r="W34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49" s="14" t="str">
        <f>VLOOKUP(Employees_Data[[#This Row],[Department]],Departments!$A$2:$B$7,2,FALSE)</f>
        <v>D04</v>
      </c>
      <c r="Y349" s="14" t="str">
        <f>INDEX(Departments!$B$2:$B$7,MATCH(Employees_Data[[#This Row],[Department]],Departments!$A$2:$A$7,0))</f>
        <v>D04</v>
      </c>
      <c r="Z349" s="14" t="str">
        <f>INDEX(Salary_Bands!$C$2:$C$5,MATCH(Employees_Data[[#This Row],[Salary]],Salary_Bands!$A$2:$A$5,1))</f>
        <v>Medium</v>
      </c>
    </row>
    <row r="350" spans="1:26" hidden="1" x14ac:dyDescent="0.3">
      <c r="A350" t="s">
        <v>761</v>
      </c>
      <c r="B350" t="s">
        <v>762</v>
      </c>
      <c r="C350" t="s">
        <v>22</v>
      </c>
      <c r="D350" s="12">
        <v>50</v>
      </c>
      <c r="E350" t="s">
        <v>56</v>
      </c>
      <c r="F350" t="s">
        <v>57</v>
      </c>
      <c r="G350" t="s">
        <v>25</v>
      </c>
      <c r="H350">
        <v>25</v>
      </c>
      <c r="I350" s="1">
        <v>45107</v>
      </c>
      <c r="J350" s="10">
        <v>115159</v>
      </c>
      <c r="K350" s="10">
        <v>14464</v>
      </c>
      <c r="L350">
        <v>3</v>
      </c>
      <c r="M350" t="s">
        <v>52</v>
      </c>
      <c r="N350" t="s">
        <v>37</v>
      </c>
      <c r="O350" t="s">
        <v>28</v>
      </c>
      <c r="P350" t="s">
        <v>28</v>
      </c>
      <c r="Q350">
        <v>44</v>
      </c>
      <c r="R350">
        <v>18</v>
      </c>
      <c r="S350">
        <v>8</v>
      </c>
      <c r="T350" t="s">
        <v>30</v>
      </c>
      <c r="U350" t="str">
        <f>IF(AND(Employees_Data[[#This Row],[Age]]&gt;=20,Employees_Data[[#This Row],[Age]]&lt;=30),"Young",IF(AND(Employees_Data[[#This Row],[Age]]&gt;=31,Employees_Data[[#This Row],[Age]]&lt;=40),"Mid-Age",IF(Employees_Data[[#This Row],[Age]]&gt;=41,"Senior")))</f>
        <v>Senior</v>
      </c>
      <c r="V350" t="str">
        <f>IF(Employees_Data[[#This Row],[Salary]]&lt;=30000,"Low",IF(AND(Employees_Data[[#This Row],[Salary]]&gt;30000,Employees_Data[[#This Row],[Salary]]&lt;=60000),"Medium",IF(AND(Employees_Data[[#This Row],[Salary]]&gt;60000,Employees_Data[[#This Row],[Salary]]&lt;=90000),"High",IF(Employees_Data[[#This Row],[Salary]]&gt;90000,"Executive"))))</f>
        <v>Executive</v>
      </c>
      <c r="W35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50" s="14" t="str">
        <f>VLOOKUP(Employees_Data[[#This Row],[Department]],Departments!$A$2:$B$7,2,FALSE)</f>
        <v>D01</v>
      </c>
      <c r="Y350" s="14" t="str">
        <f>INDEX(Departments!$B$2:$B$7,MATCH(Employees_Data[[#This Row],[Department]],Departments!$A$2:$A$7,0))</f>
        <v>D01</v>
      </c>
      <c r="Z350" s="14" t="str">
        <f>INDEX(Salary_Bands!$C$2:$C$5,MATCH(Employees_Data[[#This Row],[Salary]],Salary_Bands!$A$2:$A$5,1))</f>
        <v>Executive</v>
      </c>
    </row>
    <row r="351" spans="1:26" hidden="1" x14ac:dyDescent="0.3">
      <c r="A351" t="s">
        <v>763</v>
      </c>
      <c r="B351" t="s">
        <v>764</v>
      </c>
      <c r="C351" t="s">
        <v>22</v>
      </c>
      <c r="D351" s="12">
        <v>55</v>
      </c>
      <c r="E351" t="s">
        <v>33</v>
      </c>
      <c r="F351" t="s">
        <v>34</v>
      </c>
      <c r="G351" t="s">
        <v>25</v>
      </c>
      <c r="H351">
        <v>29</v>
      </c>
      <c r="I351" s="1">
        <v>43258</v>
      </c>
      <c r="J351" s="10">
        <v>93242</v>
      </c>
      <c r="K351" s="10">
        <v>19624</v>
      </c>
      <c r="L351">
        <v>1</v>
      </c>
      <c r="M351" t="s">
        <v>36</v>
      </c>
      <c r="N351" t="s">
        <v>48</v>
      </c>
      <c r="O351" t="s">
        <v>28</v>
      </c>
      <c r="P351" t="s">
        <v>29</v>
      </c>
      <c r="Q351">
        <v>40</v>
      </c>
      <c r="R351">
        <v>12</v>
      </c>
      <c r="S351">
        <v>8</v>
      </c>
      <c r="T351" t="s">
        <v>30</v>
      </c>
      <c r="U351" t="str">
        <f>IF(AND(Employees_Data[[#This Row],[Age]]&gt;=20,Employees_Data[[#This Row],[Age]]&lt;=30),"Young",IF(AND(Employees_Data[[#This Row],[Age]]&gt;=31,Employees_Data[[#This Row],[Age]]&lt;=40),"Mid-Age",IF(Employees_Data[[#This Row],[Age]]&gt;=41,"Senior")))</f>
        <v>Senior</v>
      </c>
      <c r="V351" t="str">
        <f>IF(Employees_Data[[#This Row],[Salary]]&lt;=30000,"Low",IF(AND(Employees_Data[[#This Row],[Salary]]&gt;30000,Employees_Data[[#This Row],[Salary]]&lt;=60000),"Medium",IF(AND(Employees_Data[[#This Row],[Salary]]&gt;60000,Employees_Data[[#This Row],[Salary]]&lt;=90000),"High",IF(Employees_Data[[#This Row],[Salary]]&gt;90000,"Executive"))))</f>
        <v>Executive</v>
      </c>
      <c r="W35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51" s="14" t="str">
        <f>VLOOKUP(Employees_Data[[#This Row],[Department]],Departments!$A$2:$B$7,2,FALSE)</f>
        <v>D05</v>
      </c>
      <c r="Y351" s="14" t="str">
        <f>INDEX(Departments!$B$2:$B$7,MATCH(Employees_Data[[#This Row],[Department]],Departments!$A$2:$A$7,0))</f>
        <v>D05</v>
      </c>
      <c r="Z351" s="14" t="str">
        <f>INDEX(Salary_Bands!$C$2:$C$5,MATCH(Employees_Data[[#This Row],[Salary]],Salary_Bands!$A$2:$A$5,1))</f>
        <v>Executive</v>
      </c>
    </row>
    <row r="352" spans="1:26" hidden="1" x14ac:dyDescent="0.3">
      <c r="A352" t="s">
        <v>765</v>
      </c>
      <c r="B352" t="s">
        <v>766</v>
      </c>
      <c r="C352" t="s">
        <v>22</v>
      </c>
      <c r="D352" s="12">
        <v>25</v>
      </c>
      <c r="E352" t="s">
        <v>33</v>
      </c>
      <c r="F352" t="s">
        <v>34</v>
      </c>
      <c r="G352" t="s">
        <v>47</v>
      </c>
      <c r="H352">
        <v>3</v>
      </c>
      <c r="I352" s="1">
        <v>44293</v>
      </c>
      <c r="J352" s="10">
        <v>82613</v>
      </c>
      <c r="K352" s="10">
        <v>11647</v>
      </c>
      <c r="L352">
        <v>4</v>
      </c>
      <c r="M352" t="s">
        <v>52</v>
      </c>
      <c r="N352" t="s">
        <v>27</v>
      </c>
      <c r="O352" t="s">
        <v>28</v>
      </c>
      <c r="P352" t="s">
        <v>29</v>
      </c>
      <c r="Q352">
        <v>34</v>
      </c>
      <c r="R352">
        <v>20</v>
      </c>
      <c r="S352">
        <v>5</v>
      </c>
      <c r="T352" t="s">
        <v>30</v>
      </c>
      <c r="U352" t="str">
        <f>IF(AND(Employees_Data[[#This Row],[Age]]&gt;=20,Employees_Data[[#This Row],[Age]]&lt;=30),"Young",IF(AND(Employees_Data[[#This Row],[Age]]&gt;=31,Employees_Data[[#This Row],[Age]]&lt;=40),"Mid-Age",IF(Employees_Data[[#This Row],[Age]]&gt;=41,"Senior")))</f>
        <v>Young</v>
      </c>
      <c r="V352" t="str">
        <f>IF(Employees_Data[[#This Row],[Salary]]&lt;=30000,"Low",IF(AND(Employees_Data[[#This Row],[Salary]]&gt;30000,Employees_Data[[#This Row],[Salary]]&lt;=60000),"Medium",IF(AND(Employees_Data[[#This Row],[Salary]]&gt;60000,Employees_Data[[#This Row],[Salary]]&lt;=90000),"High",IF(Employees_Data[[#This Row],[Salary]]&gt;90000,"Executive"))))</f>
        <v>High</v>
      </c>
      <c r="W35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352" s="14" t="str">
        <f>VLOOKUP(Employees_Data[[#This Row],[Department]],Departments!$A$2:$B$7,2,FALSE)</f>
        <v>D05</v>
      </c>
      <c r="Y352" s="14" t="str">
        <f>INDEX(Departments!$B$2:$B$7,MATCH(Employees_Data[[#This Row],[Department]],Departments!$A$2:$A$7,0))</f>
        <v>D05</v>
      </c>
      <c r="Z352" s="14" t="str">
        <f>INDEX(Salary_Bands!$C$2:$C$5,MATCH(Employees_Data[[#This Row],[Salary]],Salary_Bands!$A$2:$A$5,1))</f>
        <v>High</v>
      </c>
    </row>
    <row r="353" spans="1:26" x14ac:dyDescent="0.3">
      <c r="A353" t="s">
        <v>767</v>
      </c>
      <c r="B353" t="s">
        <v>768</v>
      </c>
      <c r="C353" t="s">
        <v>40</v>
      </c>
      <c r="D353" s="12">
        <v>54</v>
      </c>
      <c r="E353" t="s">
        <v>87</v>
      </c>
      <c r="F353" t="s">
        <v>91</v>
      </c>
      <c r="G353" t="s">
        <v>80</v>
      </c>
      <c r="H353">
        <v>33</v>
      </c>
      <c r="I353" s="1">
        <v>43837</v>
      </c>
      <c r="J353" s="10">
        <v>127069</v>
      </c>
      <c r="K353" s="10">
        <v>7861</v>
      </c>
      <c r="L353">
        <v>5</v>
      </c>
      <c r="M353" t="s">
        <v>36</v>
      </c>
      <c r="N353" t="s">
        <v>53</v>
      </c>
      <c r="O353" s="5" t="s">
        <v>29</v>
      </c>
      <c r="P353" t="s">
        <v>29</v>
      </c>
      <c r="Q353">
        <v>34</v>
      </c>
      <c r="R353">
        <v>2</v>
      </c>
      <c r="S353">
        <v>9</v>
      </c>
      <c r="T353" t="s">
        <v>30</v>
      </c>
      <c r="U353" t="str">
        <f>IF(AND(Employees_Data[[#This Row],[Age]]&gt;=20,Employees_Data[[#This Row],[Age]]&lt;=30),"Young",IF(AND(Employees_Data[[#This Row],[Age]]&gt;=31,Employees_Data[[#This Row],[Age]]&lt;=40),"Mid-Age",IF(Employees_Data[[#This Row],[Age]]&gt;=41,"Senior")))</f>
        <v>Senior</v>
      </c>
      <c r="V353" t="str">
        <f>IF(Employees_Data[[#This Row],[Salary]]&lt;=30000,"Low",IF(AND(Employees_Data[[#This Row],[Salary]]&gt;30000,Employees_Data[[#This Row],[Salary]]&lt;=60000),"Medium",IF(AND(Employees_Data[[#This Row],[Salary]]&gt;60000,Employees_Data[[#This Row],[Salary]]&lt;=90000),"High",IF(Employees_Data[[#This Row],[Salary]]&gt;90000,"Executive"))))</f>
        <v>Executive</v>
      </c>
      <c r="W35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53" s="14" t="str">
        <f>VLOOKUP(Employees_Data[[#This Row],[Department]],Departments!$A$2:$B$7,2,FALSE)</f>
        <v>D04</v>
      </c>
      <c r="Y353" s="14" t="str">
        <f>INDEX(Departments!$B$2:$B$7,MATCH(Employees_Data[[#This Row],[Department]],Departments!$A$2:$A$7,0))</f>
        <v>D04</v>
      </c>
      <c r="Z353" s="14" t="str">
        <f>INDEX(Salary_Bands!$C$2:$C$5,MATCH(Employees_Data[[#This Row],[Salary]],Salary_Bands!$A$2:$A$5,1))</f>
        <v>Executive</v>
      </c>
    </row>
    <row r="354" spans="1:26" hidden="1" x14ac:dyDescent="0.3">
      <c r="A354" t="s">
        <v>769</v>
      </c>
      <c r="B354" t="s">
        <v>770</v>
      </c>
      <c r="C354" t="s">
        <v>40</v>
      </c>
      <c r="D354" s="12">
        <v>32</v>
      </c>
      <c r="E354" t="s">
        <v>41</v>
      </c>
      <c r="F354" t="s">
        <v>232</v>
      </c>
      <c r="G354" t="s">
        <v>25</v>
      </c>
      <c r="H354">
        <v>6</v>
      </c>
      <c r="I354" s="1">
        <v>43607</v>
      </c>
      <c r="J354" s="10">
        <v>36952</v>
      </c>
      <c r="K354" s="10">
        <v>22056</v>
      </c>
      <c r="L354">
        <v>1</v>
      </c>
      <c r="M354" t="s">
        <v>26</v>
      </c>
      <c r="N354" t="s">
        <v>58</v>
      </c>
      <c r="O354" t="s">
        <v>28</v>
      </c>
      <c r="P354" t="s">
        <v>28</v>
      </c>
      <c r="Q354">
        <v>7</v>
      </c>
      <c r="R354">
        <v>5</v>
      </c>
      <c r="S354">
        <v>8</v>
      </c>
      <c r="T354" t="s">
        <v>43</v>
      </c>
      <c r="U354" t="str">
        <f>IF(AND(Employees_Data[[#This Row],[Age]]&gt;=20,Employees_Data[[#This Row],[Age]]&lt;=30),"Young",IF(AND(Employees_Data[[#This Row],[Age]]&gt;=31,Employees_Data[[#This Row],[Age]]&lt;=40),"Mid-Age",IF(Employees_Data[[#This Row],[Age]]&gt;=41,"Senior")))</f>
        <v>Mid-Age</v>
      </c>
      <c r="V354" t="str">
        <f>IF(Employees_Data[[#This Row],[Salary]]&lt;=30000,"Low",IF(AND(Employees_Data[[#This Row],[Salary]]&gt;30000,Employees_Data[[#This Row],[Salary]]&lt;=60000),"Medium",IF(AND(Employees_Data[[#This Row],[Salary]]&gt;60000,Employees_Data[[#This Row],[Salary]]&lt;=90000),"High",IF(Employees_Data[[#This Row],[Salary]]&gt;90000,"Executive"))))</f>
        <v>Medium</v>
      </c>
      <c r="W35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54" s="14" t="str">
        <f>VLOOKUP(Employees_Data[[#This Row],[Department]],Departments!$A$2:$B$7,2,FALSE)</f>
        <v>D03</v>
      </c>
      <c r="Y354" s="14" t="str">
        <f>INDEX(Departments!$B$2:$B$7,MATCH(Employees_Data[[#This Row],[Department]],Departments!$A$2:$A$7,0))</f>
        <v>D03</v>
      </c>
      <c r="Z354" s="14" t="str">
        <f>INDEX(Salary_Bands!$C$2:$C$5,MATCH(Employees_Data[[#This Row],[Salary]],Salary_Bands!$A$2:$A$5,1))</f>
        <v>Medium</v>
      </c>
    </row>
    <row r="355" spans="1:26" hidden="1" x14ac:dyDescent="0.3">
      <c r="A355" t="s">
        <v>771</v>
      </c>
      <c r="B355" t="s">
        <v>772</v>
      </c>
      <c r="C355" t="s">
        <v>40</v>
      </c>
      <c r="D355" s="12">
        <v>31</v>
      </c>
      <c r="E355" t="s">
        <v>41</v>
      </c>
      <c r="F355" t="s">
        <v>69</v>
      </c>
      <c r="G355" t="s">
        <v>51</v>
      </c>
      <c r="H355">
        <v>9</v>
      </c>
      <c r="I355" s="1">
        <v>43693</v>
      </c>
      <c r="J355" s="10">
        <v>48444</v>
      </c>
      <c r="K355" s="10">
        <v>22527</v>
      </c>
      <c r="L355">
        <v>1</v>
      </c>
      <c r="M355" t="s">
        <v>26</v>
      </c>
      <c r="N355" t="s">
        <v>27</v>
      </c>
      <c r="O355" t="s">
        <v>28</v>
      </c>
      <c r="P355" t="s">
        <v>29</v>
      </c>
      <c r="Q355">
        <v>17</v>
      </c>
      <c r="R355">
        <v>0</v>
      </c>
      <c r="S355">
        <v>7</v>
      </c>
      <c r="T355" t="s">
        <v>30</v>
      </c>
      <c r="U355" t="str">
        <f>IF(AND(Employees_Data[[#This Row],[Age]]&gt;=20,Employees_Data[[#This Row],[Age]]&lt;=30),"Young",IF(AND(Employees_Data[[#This Row],[Age]]&gt;=31,Employees_Data[[#This Row],[Age]]&lt;=40),"Mid-Age",IF(Employees_Data[[#This Row],[Age]]&gt;=41,"Senior")))</f>
        <v>Mid-Age</v>
      </c>
      <c r="V355" t="str">
        <f>IF(Employees_Data[[#This Row],[Salary]]&lt;=30000,"Low",IF(AND(Employees_Data[[#This Row],[Salary]]&gt;30000,Employees_Data[[#This Row],[Salary]]&lt;=60000),"Medium",IF(AND(Employees_Data[[#This Row],[Salary]]&gt;60000,Employees_Data[[#This Row],[Salary]]&lt;=90000),"High",IF(Employees_Data[[#This Row],[Salary]]&gt;90000,"Executive"))))</f>
        <v>Medium</v>
      </c>
      <c r="W35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55" s="14" t="str">
        <f>VLOOKUP(Employees_Data[[#This Row],[Department]],Departments!$A$2:$B$7,2,FALSE)</f>
        <v>D03</v>
      </c>
      <c r="Y355" s="14" t="str">
        <f>INDEX(Departments!$B$2:$B$7,MATCH(Employees_Data[[#This Row],[Department]],Departments!$A$2:$A$7,0))</f>
        <v>D03</v>
      </c>
      <c r="Z355" s="14" t="str">
        <f>INDEX(Salary_Bands!$C$2:$C$5,MATCH(Employees_Data[[#This Row],[Salary]],Salary_Bands!$A$2:$A$5,1))</f>
        <v>Medium</v>
      </c>
    </row>
    <row r="356" spans="1:26" hidden="1" x14ac:dyDescent="0.3">
      <c r="A356" t="s">
        <v>773</v>
      </c>
      <c r="B356" t="s">
        <v>774</v>
      </c>
      <c r="C356" t="s">
        <v>40</v>
      </c>
      <c r="D356" s="12">
        <v>22</v>
      </c>
      <c r="E356" t="s">
        <v>33</v>
      </c>
      <c r="F356" t="s">
        <v>46</v>
      </c>
      <c r="G356" t="s">
        <v>35</v>
      </c>
      <c r="H356">
        <v>0</v>
      </c>
      <c r="I356" s="1">
        <v>45139</v>
      </c>
      <c r="J356" s="10">
        <v>137120</v>
      </c>
      <c r="K356" s="10">
        <v>9106</v>
      </c>
      <c r="L356">
        <v>4</v>
      </c>
      <c r="M356" t="s">
        <v>52</v>
      </c>
      <c r="N356" t="s">
        <v>48</v>
      </c>
      <c r="O356" t="s">
        <v>28</v>
      </c>
      <c r="P356" t="s">
        <v>28</v>
      </c>
      <c r="Q356">
        <v>34</v>
      </c>
      <c r="R356">
        <v>13</v>
      </c>
      <c r="S356">
        <v>9</v>
      </c>
      <c r="T356" t="s">
        <v>30</v>
      </c>
      <c r="U356" t="str">
        <f>IF(AND(Employees_Data[[#This Row],[Age]]&gt;=20,Employees_Data[[#This Row],[Age]]&lt;=30),"Young",IF(AND(Employees_Data[[#This Row],[Age]]&gt;=31,Employees_Data[[#This Row],[Age]]&lt;=40),"Mid-Age",IF(Employees_Data[[#This Row],[Age]]&gt;=41,"Senior")))</f>
        <v>Young</v>
      </c>
      <c r="V356" t="str">
        <f>IF(Employees_Data[[#This Row],[Salary]]&lt;=30000,"Low",IF(AND(Employees_Data[[#This Row],[Salary]]&gt;30000,Employees_Data[[#This Row],[Salary]]&lt;=60000),"Medium",IF(AND(Employees_Data[[#This Row],[Salary]]&gt;60000,Employees_Data[[#This Row],[Salary]]&lt;=90000),"High",IF(Employees_Data[[#This Row],[Salary]]&gt;90000,"Executive"))))</f>
        <v>Executive</v>
      </c>
      <c r="W35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56" s="14" t="str">
        <f>VLOOKUP(Employees_Data[[#This Row],[Department]],Departments!$A$2:$B$7,2,FALSE)</f>
        <v>D05</v>
      </c>
      <c r="Y356" s="14" t="str">
        <f>INDEX(Departments!$B$2:$B$7,MATCH(Employees_Data[[#This Row],[Department]],Departments!$A$2:$A$7,0))</f>
        <v>D05</v>
      </c>
      <c r="Z356" s="14" t="str">
        <f>INDEX(Salary_Bands!$C$2:$C$5,MATCH(Employees_Data[[#This Row],[Salary]],Salary_Bands!$A$2:$A$5,1))</f>
        <v>Executive</v>
      </c>
    </row>
    <row r="357" spans="1:26" hidden="1" x14ac:dyDescent="0.3">
      <c r="A357" t="s">
        <v>775</v>
      </c>
      <c r="B357" t="s">
        <v>776</v>
      </c>
      <c r="C357" t="s">
        <v>22</v>
      </c>
      <c r="D357" s="12">
        <v>22</v>
      </c>
      <c r="E357" t="s">
        <v>87</v>
      </c>
      <c r="F357" t="s">
        <v>91</v>
      </c>
      <c r="G357" t="s">
        <v>35</v>
      </c>
      <c r="H357">
        <v>0</v>
      </c>
      <c r="I357" s="1">
        <v>45342</v>
      </c>
      <c r="J357" s="10">
        <v>61452</v>
      </c>
      <c r="K357" s="10">
        <v>3804</v>
      </c>
      <c r="L357">
        <v>5</v>
      </c>
      <c r="M357" t="s">
        <v>52</v>
      </c>
      <c r="N357" t="s">
        <v>37</v>
      </c>
      <c r="O357" t="s">
        <v>28</v>
      </c>
      <c r="P357" t="s">
        <v>29</v>
      </c>
      <c r="Q357">
        <v>14</v>
      </c>
      <c r="R357">
        <v>1</v>
      </c>
      <c r="S357">
        <v>9</v>
      </c>
      <c r="T357" t="s">
        <v>30</v>
      </c>
      <c r="U357" t="str">
        <f>IF(AND(Employees_Data[[#This Row],[Age]]&gt;=20,Employees_Data[[#This Row],[Age]]&lt;=30),"Young",IF(AND(Employees_Data[[#This Row],[Age]]&gt;=31,Employees_Data[[#This Row],[Age]]&lt;=40),"Mid-Age",IF(Employees_Data[[#This Row],[Age]]&gt;=41,"Senior")))</f>
        <v>Young</v>
      </c>
      <c r="V357" t="str">
        <f>IF(Employees_Data[[#This Row],[Salary]]&lt;=30000,"Low",IF(AND(Employees_Data[[#This Row],[Salary]]&gt;30000,Employees_Data[[#This Row],[Salary]]&lt;=60000),"Medium",IF(AND(Employees_Data[[#This Row],[Salary]]&gt;60000,Employees_Data[[#This Row],[Salary]]&lt;=90000),"High",IF(Employees_Data[[#This Row],[Salary]]&gt;90000,"Executive"))))</f>
        <v>High</v>
      </c>
      <c r="W35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57" s="14" t="str">
        <f>VLOOKUP(Employees_Data[[#This Row],[Department]],Departments!$A$2:$B$7,2,FALSE)</f>
        <v>D04</v>
      </c>
      <c r="Y357" s="14" t="str">
        <f>INDEX(Departments!$B$2:$B$7,MATCH(Employees_Data[[#This Row],[Department]],Departments!$A$2:$A$7,0))</f>
        <v>D04</v>
      </c>
      <c r="Z357" s="14" t="str">
        <f>INDEX(Salary_Bands!$C$2:$C$5,MATCH(Employees_Data[[#This Row],[Salary]],Salary_Bands!$A$2:$A$5,1))</f>
        <v>High</v>
      </c>
    </row>
    <row r="358" spans="1:26" hidden="1" x14ac:dyDescent="0.3">
      <c r="A358" t="s">
        <v>777</v>
      </c>
      <c r="B358" t="s">
        <v>778</v>
      </c>
      <c r="C358" t="s">
        <v>40</v>
      </c>
      <c r="D358" s="12">
        <v>41</v>
      </c>
      <c r="E358" t="s">
        <v>23</v>
      </c>
      <c r="F358" t="s">
        <v>109</v>
      </c>
      <c r="G358" t="s">
        <v>25</v>
      </c>
      <c r="H358">
        <v>18</v>
      </c>
      <c r="I358" s="1">
        <v>43460</v>
      </c>
      <c r="J358" s="10">
        <v>31426</v>
      </c>
      <c r="K358" s="10">
        <v>23657</v>
      </c>
      <c r="L358">
        <v>1</v>
      </c>
      <c r="M358" t="s">
        <v>52</v>
      </c>
      <c r="N358" t="s">
        <v>48</v>
      </c>
      <c r="O358" t="s">
        <v>28</v>
      </c>
      <c r="P358" t="s">
        <v>29</v>
      </c>
      <c r="Q358">
        <v>34</v>
      </c>
      <c r="R358">
        <v>18</v>
      </c>
      <c r="S358">
        <v>7</v>
      </c>
      <c r="T358" t="s">
        <v>43</v>
      </c>
      <c r="U358" t="str">
        <f>IF(AND(Employees_Data[[#This Row],[Age]]&gt;=20,Employees_Data[[#This Row],[Age]]&lt;=30),"Young",IF(AND(Employees_Data[[#This Row],[Age]]&gt;=31,Employees_Data[[#This Row],[Age]]&lt;=40),"Mid-Age",IF(Employees_Data[[#This Row],[Age]]&gt;=41,"Senior")))</f>
        <v>Senior</v>
      </c>
      <c r="V358" t="str">
        <f>IF(Employees_Data[[#This Row],[Salary]]&lt;=30000,"Low",IF(AND(Employees_Data[[#This Row],[Salary]]&gt;30000,Employees_Data[[#This Row],[Salary]]&lt;=60000),"Medium",IF(AND(Employees_Data[[#This Row],[Salary]]&gt;60000,Employees_Data[[#This Row],[Salary]]&lt;=90000),"High",IF(Employees_Data[[#This Row],[Salary]]&gt;90000,"Executive"))))</f>
        <v>Medium</v>
      </c>
      <c r="W35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58" s="14" t="str">
        <f>VLOOKUP(Employees_Data[[#This Row],[Department]],Departments!$A$2:$B$7,2,FALSE)</f>
        <v>D06</v>
      </c>
      <c r="Y358" s="14" t="str">
        <f>INDEX(Departments!$B$2:$B$7,MATCH(Employees_Data[[#This Row],[Department]],Departments!$A$2:$A$7,0))</f>
        <v>D06</v>
      </c>
      <c r="Z358" s="14" t="str">
        <f>INDEX(Salary_Bands!$C$2:$C$5,MATCH(Employees_Data[[#This Row],[Salary]],Salary_Bands!$A$2:$A$5,1))</f>
        <v>Medium</v>
      </c>
    </row>
    <row r="359" spans="1:26" hidden="1" x14ac:dyDescent="0.3">
      <c r="A359" t="s">
        <v>779</v>
      </c>
      <c r="B359" t="s">
        <v>780</v>
      </c>
      <c r="C359" t="s">
        <v>22</v>
      </c>
      <c r="D359" s="12">
        <v>27</v>
      </c>
      <c r="E359" t="s">
        <v>41</v>
      </c>
      <c r="F359" t="s">
        <v>42</v>
      </c>
      <c r="G359" t="s">
        <v>51</v>
      </c>
      <c r="H359">
        <v>4</v>
      </c>
      <c r="I359" s="1">
        <v>44423</v>
      </c>
      <c r="J359" s="10">
        <v>73309</v>
      </c>
      <c r="K359" s="10">
        <v>17427</v>
      </c>
      <c r="L359">
        <v>4</v>
      </c>
      <c r="M359" t="s">
        <v>26</v>
      </c>
      <c r="N359" t="s">
        <v>27</v>
      </c>
      <c r="O359" t="s">
        <v>28</v>
      </c>
      <c r="P359" t="s">
        <v>28</v>
      </c>
      <c r="Q359">
        <v>26</v>
      </c>
      <c r="R359">
        <v>16</v>
      </c>
      <c r="S359">
        <v>2</v>
      </c>
      <c r="T359" t="s">
        <v>30</v>
      </c>
      <c r="U359" t="str">
        <f>IF(AND(Employees_Data[[#This Row],[Age]]&gt;=20,Employees_Data[[#This Row],[Age]]&lt;=30),"Young",IF(AND(Employees_Data[[#This Row],[Age]]&gt;=31,Employees_Data[[#This Row],[Age]]&lt;=40),"Mid-Age",IF(Employees_Data[[#This Row],[Age]]&gt;=41,"Senior")))</f>
        <v>Young</v>
      </c>
      <c r="V359" t="str">
        <f>IF(Employees_Data[[#This Row],[Salary]]&lt;=30000,"Low",IF(AND(Employees_Data[[#This Row],[Salary]]&gt;30000,Employees_Data[[#This Row],[Salary]]&lt;=60000),"Medium",IF(AND(Employees_Data[[#This Row],[Salary]]&gt;60000,Employees_Data[[#This Row],[Salary]]&lt;=90000),"High",IF(Employees_Data[[#This Row],[Salary]]&gt;90000,"Executive"))))</f>
        <v>High</v>
      </c>
      <c r="W35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359" s="14" t="str">
        <f>VLOOKUP(Employees_Data[[#This Row],[Department]],Departments!$A$2:$B$7,2,FALSE)</f>
        <v>D03</v>
      </c>
      <c r="Y359" s="14" t="str">
        <f>INDEX(Departments!$B$2:$B$7,MATCH(Employees_Data[[#This Row],[Department]],Departments!$A$2:$A$7,0))</f>
        <v>D03</v>
      </c>
      <c r="Z359" s="14" t="str">
        <f>INDEX(Salary_Bands!$C$2:$C$5,MATCH(Employees_Data[[#This Row],[Salary]],Salary_Bands!$A$2:$A$5,1))</f>
        <v>High</v>
      </c>
    </row>
    <row r="360" spans="1:26" hidden="1" x14ac:dyDescent="0.3">
      <c r="A360" t="s">
        <v>781</v>
      </c>
      <c r="B360" t="s">
        <v>782</v>
      </c>
      <c r="C360" t="s">
        <v>22</v>
      </c>
      <c r="D360" s="12">
        <v>35</v>
      </c>
      <c r="E360" t="s">
        <v>87</v>
      </c>
      <c r="F360" t="s">
        <v>88</v>
      </c>
      <c r="G360" t="s">
        <v>47</v>
      </c>
      <c r="H360">
        <v>9</v>
      </c>
      <c r="I360" s="1">
        <v>43957</v>
      </c>
      <c r="J360" s="10">
        <v>105223</v>
      </c>
      <c r="K360" s="10">
        <v>24565</v>
      </c>
      <c r="L360">
        <v>1</v>
      </c>
      <c r="M360" t="s">
        <v>52</v>
      </c>
      <c r="N360" t="s">
        <v>63</v>
      </c>
      <c r="O360" t="s">
        <v>28</v>
      </c>
      <c r="P360" t="s">
        <v>28</v>
      </c>
      <c r="Q360">
        <v>32</v>
      </c>
      <c r="R360">
        <v>19</v>
      </c>
      <c r="S360">
        <v>2</v>
      </c>
      <c r="T360" t="s">
        <v>30</v>
      </c>
      <c r="U360" t="str">
        <f>IF(AND(Employees_Data[[#This Row],[Age]]&gt;=20,Employees_Data[[#This Row],[Age]]&lt;=30),"Young",IF(AND(Employees_Data[[#This Row],[Age]]&gt;=31,Employees_Data[[#This Row],[Age]]&lt;=40),"Mid-Age",IF(Employees_Data[[#This Row],[Age]]&gt;=41,"Senior")))</f>
        <v>Mid-Age</v>
      </c>
      <c r="V360" t="str">
        <f>IF(Employees_Data[[#This Row],[Salary]]&lt;=30000,"Low",IF(AND(Employees_Data[[#This Row],[Salary]]&gt;30000,Employees_Data[[#This Row],[Salary]]&lt;=60000),"Medium",IF(AND(Employees_Data[[#This Row],[Salary]]&gt;60000,Employees_Data[[#This Row],[Salary]]&lt;=90000),"High",IF(Employees_Data[[#This Row],[Salary]]&gt;90000,"Executive"))))</f>
        <v>Executive</v>
      </c>
      <c r="W36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60" s="14" t="str">
        <f>VLOOKUP(Employees_Data[[#This Row],[Department]],Departments!$A$2:$B$7,2,FALSE)</f>
        <v>D04</v>
      </c>
      <c r="Y360" s="14" t="str">
        <f>INDEX(Departments!$B$2:$B$7,MATCH(Employees_Data[[#This Row],[Department]],Departments!$A$2:$A$7,0))</f>
        <v>D04</v>
      </c>
      <c r="Z360" s="14" t="str">
        <f>INDEX(Salary_Bands!$C$2:$C$5,MATCH(Employees_Data[[#This Row],[Salary]],Salary_Bands!$A$2:$A$5,1))</f>
        <v>Executive</v>
      </c>
    </row>
    <row r="361" spans="1:26" hidden="1" x14ac:dyDescent="0.3">
      <c r="A361" t="s">
        <v>783</v>
      </c>
      <c r="B361" t="s">
        <v>784</v>
      </c>
      <c r="C361" t="s">
        <v>40</v>
      </c>
      <c r="D361" s="12">
        <v>55</v>
      </c>
      <c r="E361" t="s">
        <v>41</v>
      </c>
      <c r="F361" t="s">
        <v>232</v>
      </c>
      <c r="G361" t="s">
        <v>47</v>
      </c>
      <c r="H361">
        <v>30</v>
      </c>
      <c r="I361" s="1">
        <v>44550</v>
      </c>
      <c r="J361" s="10">
        <v>146517</v>
      </c>
      <c r="K361" s="10">
        <v>7895</v>
      </c>
      <c r="L361">
        <v>2</v>
      </c>
      <c r="M361" t="s">
        <v>52</v>
      </c>
      <c r="N361" t="s">
        <v>76</v>
      </c>
      <c r="O361" t="s">
        <v>28</v>
      </c>
      <c r="P361" t="s">
        <v>28</v>
      </c>
      <c r="Q361">
        <v>17</v>
      </c>
      <c r="R361">
        <v>0</v>
      </c>
      <c r="S361">
        <v>10</v>
      </c>
      <c r="T361" t="s">
        <v>30</v>
      </c>
      <c r="U361" t="str">
        <f>IF(AND(Employees_Data[[#This Row],[Age]]&gt;=20,Employees_Data[[#This Row],[Age]]&lt;=30),"Young",IF(AND(Employees_Data[[#This Row],[Age]]&gt;=31,Employees_Data[[#This Row],[Age]]&lt;=40),"Mid-Age",IF(Employees_Data[[#This Row],[Age]]&gt;=41,"Senior")))</f>
        <v>Senior</v>
      </c>
      <c r="V361" t="str">
        <f>IF(Employees_Data[[#This Row],[Salary]]&lt;=30000,"Low",IF(AND(Employees_Data[[#This Row],[Salary]]&gt;30000,Employees_Data[[#This Row],[Salary]]&lt;=60000),"Medium",IF(AND(Employees_Data[[#This Row],[Salary]]&gt;60000,Employees_Data[[#This Row],[Salary]]&lt;=90000),"High",IF(Employees_Data[[#This Row],[Salary]]&gt;90000,"Executive"))))</f>
        <v>Executive</v>
      </c>
      <c r="W36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61" s="14" t="str">
        <f>VLOOKUP(Employees_Data[[#This Row],[Department]],Departments!$A$2:$B$7,2,FALSE)</f>
        <v>D03</v>
      </c>
      <c r="Y361" s="14" t="str">
        <f>INDEX(Departments!$B$2:$B$7,MATCH(Employees_Data[[#This Row],[Department]],Departments!$A$2:$A$7,0))</f>
        <v>D03</v>
      </c>
      <c r="Z361" s="14" t="str">
        <f>INDEX(Salary_Bands!$C$2:$C$5,MATCH(Employees_Data[[#This Row],[Salary]],Salary_Bands!$A$2:$A$5,1))</f>
        <v>Executive</v>
      </c>
    </row>
    <row r="362" spans="1:26" hidden="1" x14ac:dyDescent="0.3">
      <c r="A362" t="s">
        <v>785</v>
      </c>
      <c r="B362" t="s">
        <v>786</v>
      </c>
      <c r="C362" t="s">
        <v>40</v>
      </c>
      <c r="D362" s="12">
        <v>51</v>
      </c>
      <c r="E362" t="s">
        <v>56</v>
      </c>
      <c r="F362" t="s">
        <v>57</v>
      </c>
      <c r="G362" t="s">
        <v>51</v>
      </c>
      <c r="H362">
        <v>25</v>
      </c>
      <c r="I362" s="1">
        <v>43584</v>
      </c>
      <c r="J362" s="10">
        <v>121661</v>
      </c>
      <c r="K362" s="10">
        <v>20363</v>
      </c>
      <c r="L362">
        <v>2</v>
      </c>
      <c r="M362" t="s">
        <v>52</v>
      </c>
      <c r="N362" t="s">
        <v>76</v>
      </c>
      <c r="O362" t="s">
        <v>28</v>
      </c>
      <c r="P362" t="s">
        <v>29</v>
      </c>
      <c r="Q362">
        <v>45</v>
      </c>
      <c r="R362">
        <v>6</v>
      </c>
      <c r="S362">
        <v>10</v>
      </c>
      <c r="T362" t="s">
        <v>30</v>
      </c>
      <c r="U362" t="str">
        <f>IF(AND(Employees_Data[[#This Row],[Age]]&gt;=20,Employees_Data[[#This Row],[Age]]&lt;=30),"Young",IF(AND(Employees_Data[[#This Row],[Age]]&gt;=31,Employees_Data[[#This Row],[Age]]&lt;=40),"Mid-Age",IF(Employees_Data[[#This Row],[Age]]&gt;=41,"Senior")))</f>
        <v>Senior</v>
      </c>
      <c r="V362" t="str">
        <f>IF(Employees_Data[[#This Row],[Salary]]&lt;=30000,"Low",IF(AND(Employees_Data[[#This Row],[Salary]]&gt;30000,Employees_Data[[#This Row],[Salary]]&lt;=60000),"Medium",IF(AND(Employees_Data[[#This Row],[Salary]]&gt;60000,Employees_Data[[#This Row],[Salary]]&lt;=90000),"High",IF(Employees_Data[[#This Row],[Salary]]&gt;90000,"Executive"))))</f>
        <v>Executive</v>
      </c>
      <c r="W36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62" s="14" t="str">
        <f>VLOOKUP(Employees_Data[[#This Row],[Department]],Departments!$A$2:$B$7,2,FALSE)</f>
        <v>D01</v>
      </c>
      <c r="Y362" s="14" t="str">
        <f>INDEX(Departments!$B$2:$B$7,MATCH(Employees_Data[[#This Row],[Department]],Departments!$A$2:$A$7,0))</f>
        <v>D01</v>
      </c>
      <c r="Z362" s="14" t="str">
        <f>INDEX(Salary_Bands!$C$2:$C$5,MATCH(Employees_Data[[#This Row],[Salary]],Salary_Bands!$A$2:$A$5,1))</f>
        <v>Executive</v>
      </c>
    </row>
    <row r="363" spans="1:26" hidden="1" x14ac:dyDescent="0.3">
      <c r="A363" t="s">
        <v>787</v>
      </c>
      <c r="B363" t="s">
        <v>788</v>
      </c>
      <c r="C363" t="s">
        <v>40</v>
      </c>
      <c r="D363" s="12">
        <v>38</v>
      </c>
      <c r="E363" t="s">
        <v>23</v>
      </c>
      <c r="F363" t="s">
        <v>100</v>
      </c>
      <c r="G363" t="s">
        <v>51</v>
      </c>
      <c r="H363">
        <v>17</v>
      </c>
      <c r="I363" s="1">
        <v>44361</v>
      </c>
      <c r="J363" s="10">
        <v>64358</v>
      </c>
      <c r="K363" s="10">
        <v>14977</v>
      </c>
      <c r="L363">
        <v>5</v>
      </c>
      <c r="M363" t="s">
        <v>52</v>
      </c>
      <c r="N363" t="s">
        <v>53</v>
      </c>
      <c r="O363" t="s">
        <v>28</v>
      </c>
      <c r="P363" t="s">
        <v>29</v>
      </c>
      <c r="Q363">
        <v>58</v>
      </c>
      <c r="R363">
        <v>5</v>
      </c>
      <c r="S363">
        <v>9</v>
      </c>
      <c r="T363" t="s">
        <v>43</v>
      </c>
      <c r="U363" t="str">
        <f>IF(AND(Employees_Data[[#This Row],[Age]]&gt;=20,Employees_Data[[#This Row],[Age]]&lt;=30),"Young",IF(AND(Employees_Data[[#This Row],[Age]]&gt;=31,Employees_Data[[#This Row],[Age]]&lt;=40),"Mid-Age",IF(Employees_Data[[#This Row],[Age]]&gt;=41,"Senior")))</f>
        <v>Mid-Age</v>
      </c>
      <c r="V363" t="str">
        <f>IF(Employees_Data[[#This Row],[Salary]]&lt;=30000,"Low",IF(AND(Employees_Data[[#This Row],[Salary]]&gt;30000,Employees_Data[[#This Row],[Salary]]&lt;=60000),"Medium",IF(AND(Employees_Data[[#This Row],[Salary]]&gt;60000,Employees_Data[[#This Row],[Salary]]&lt;=90000),"High",IF(Employees_Data[[#This Row],[Salary]]&gt;90000,"Executive"))))</f>
        <v>High</v>
      </c>
      <c r="W36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63" s="14" t="str">
        <f>VLOOKUP(Employees_Data[[#This Row],[Department]],Departments!$A$2:$B$7,2,FALSE)</f>
        <v>D06</v>
      </c>
      <c r="Y363" s="14" t="str">
        <f>INDEX(Departments!$B$2:$B$7,MATCH(Employees_Data[[#This Row],[Department]],Departments!$A$2:$A$7,0))</f>
        <v>D06</v>
      </c>
      <c r="Z363" s="14" t="str">
        <f>INDEX(Salary_Bands!$C$2:$C$5,MATCH(Employees_Data[[#This Row],[Salary]],Salary_Bands!$A$2:$A$5,1))</f>
        <v>High</v>
      </c>
    </row>
    <row r="364" spans="1:26" hidden="1" x14ac:dyDescent="0.3">
      <c r="A364" t="s">
        <v>789</v>
      </c>
      <c r="B364" t="s">
        <v>790</v>
      </c>
      <c r="C364" t="s">
        <v>40</v>
      </c>
      <c r="D364" s="12">
        <v>43</v>
      </c>
      <c r="E364" t="s">
        <v>61</v>
      </c>
      <c r="F364" t="s">
        <v>229</v>
      </c>
      <c r="G364" t="s">
        <v>25</v>
      </c>
      <c r="H364">
        <v>17</v>
      </c>
      <c r="I364" s="1">
        <v>45063</v>
      </c>
      <c r="J364" s="10">
        <v>145083</v>
      </c>
      <c r="K364" s="10">
        <v>12980</v>
      </c>
      <c r="L364">
        <v>4</v>
      </c>
      <c r="M364" t="s">
        <v>36</v>
      </c>
      <c r="N364" t="s">
        <v>63</v>
      </c>
      <c r="O364" t="s">
        <v>28</v>
      </c>
      <c r="P364" t="s">
        <v>28</v>
      </c>
      <c r="Q364">
        <v>52</v>
      </c>
      <c r="R364">
        <v>1</v>
      </c>
      <c r="S364">
        <v>1</v>
      </c>
      <c r="T364" t="s">
        <v>30</v>
      </c>
      <c r="U364" t="str">
        <f>IF(AND(Employees_Data[[#This Row],[Age]]&gt;=20,Employees_Data[[#This Row],[Age]]&lt;=30),"Young",IF(AND(Employees_Data[[#This Row],[Age]]&gt;=31,Employees_Data[[#This Row],[Age]]&lt;=40),"Mid-Age",IF(Employees_Data[[#This Row],[Age]]&gt;=41,"Senior")))</f>
        <v>Senior</v>
      </c>
      <c r="V364" t="str">
        <f>IF(Employees_Data[[#This Row],[Salary]]&lt;=30000,"Low",IF(AND(Employees_Data[[#This Row],[Salary]]&gt;30000,Employees_Data[[#This Row],[Salary]]&lt;=60000),"Medium",IF(AND(Employees_Data[[#This Row],[Salary]]&gt;60000,Employees_Data[[#This Row],[Salary]]&lt;=90000),"High",IF(Employees_Data[[#This Row],[Salary]]&gt;90000,"Executive"))))</f>
        <v>Executive</v>
      </c>
      <c r="W36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64" s="14" t="str">
        <f>VLOOKUP(Employees_Data[[#This Row],[Department]],Departments!$A$2:$B$7,2,FALSE)</f>
        <v>D02</v>
      </c>
      <c r="Y364" s="14" t="str">
        <f>INDEX(Departments!$B$2:$B$7,MATCH(Employees_Data[[#This Row],[Department]],Departments!$A$2:$A$7,0))</f>
        <v>D02</v>
      </c>
      <c r="Z364" s="14" t="str">
        <f>INDEX(Salary_Bands!$C$2:$C$5,MATCH(Employees_Data[[#This Row],[Salary]],Salary_Bands!$A$2:$A$5,1))</f>
        <v>Executive</v>
      </c>
    </row>
    <row r="365" spans="1:26" hidden="1" x14ac:dyDescent="0.3">
      <c r="A365" t="s">
        <v>791</v>
      </c>
      <c r="B365" t="s">
        <v>792</v>
      </c>
      <c r="C365" t="s">
        <v>40</v>
      </c>
      <c r="D365" s="12">
        <v>42</v>
      </c>
      <c r="E365" t="s">
        <v>33</v>
      </c>
      <c r="F365" t="s">
        <v>46</v>
      </c>
      <c r="G365" t="s">
        <v>80</v>
      </c>
      <c r="H365">
        <v>17</v>
      </c>
      <c r="I365" s="1">
        <v>45295</v>
      </c>
      <c r="J365" s="10">
        <v>27453</v>
      </c>
      <c r="K365" s="10">
        <v>6892</v>
      </c>
      <c r="L365">
        <v>2</v>
      </c>
      <c r="M365" t="s">
        <v>36</v>
      </c>
      <c r="N365" t="s">
        <v>63</v>
      </c>
      <c r="O365" t="s">
        <v>28</v>
      </c>
      <c r="P365" t="s">
        <v>29</v>
      </c>
      <c r="Q365">
        <v>26</v>
      </c>
      <c r="R365">
        <v>12</v>
      </c>
      <c r="S365">
        <v>10</v>
      </c>
      <c r="T365" t="s">
        <v>30</v>
      </c>
      <c r="U365" t="str">
        <f>IF(AND(Employees_Data[[#This Row],[Age]]&gt;=20,Employees_Data[[#This Row],[Age]]&lt;=30),"Young",IF(AND(Employees_Data[[#This Row],[Age]]&gt;=31,Employees_Data[[#This Row],[Age]]&lt;=40),"Mid-Age",IF(Employees_Data[[#This Row],[Age]]&gt;=41,"Senior")))</f>
        <v>Senior</v>
      </c>
      <c r="V365" t="str">
        <f>IF(Employees_Data[[#This Row],[Salary]]&lt;=30000,"Low",IF(AND(Employees_Data[[#This Row],[Salary]]&gt;30000,Employees_Data[[#This Row],[Salary]]&lt;=60000),"Medium",IF(AND(Employees_Data[[#This Row],[Salary]]&gt;60000,Employees_Data[[#This Row],[Salary]]&lt;=90000),"High",IF(Employees_Data[[#This Row],[Salary]]&gt;90000,"Executive"))))</f>
        <v>Low</v>
      </c>
      <c r="W36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65" s="14" t="str">
        <f>VLOOKUP(Employees_Data[[#This Row],[Department]],Departments!$A$2:$B$7,2,FALSE)</f>
        <v>D05</v>
      </c>
      <c r="Y365" s="14" t="str">
        <f>INDEX(Departments!$B$2:$B$7,MATCH(Employees_Data[[#This Row],[Department]],Departments!$A$2:$A$7,0))</f>
        <v>D05</v>
      </c>
      <c r="Z365" s="14" t="str">
        <f>INDEX(Salary_Bands!$C$2:$C$5,MATCH(Employees_Data[[#This Row],[Salary]],Salary_Bands!$A$2:$A$5,1))</f>
        <v>Low</v>
      </c>
    </row>
    <row r="366" spans="1:26" x14ac:dyDescent="0.3">
      <c r="A366" t="s">
        <v>793</v>
      </c>
      <c r="B366" t="s">
        <v>794</v>
      </c>
      <c r="C366" t="s">
        <v>40</v>
      </c>
      <c r="D366" s="12">
        <v>32</v>
      </c>
      <c r="E366" t="s">
        <v>23</v>
      </c>
      <c r="F366" t="s">
        <v>109</v>
      </c>
      <c r="G366" t="s">
        <v>51</v>
      </c>
      <c r="H366">
        <v>7</v>
      </c>
      <c r="I366" s="1">
        <v>45581</v>
      </c>
      <c r="J366" s="10">
        <v>76061</v>
      </c>
      <c r="K366" s="10">
        <v>3036</v>
      </c>
      <c r="L366">
        <v>2</v>
      </c>
      <c r="M366" t="s">
        <v>36</v>
      </c>
      <c r="N366" t="s">
        <v>58</v>
      </c>
      <c r="O366" s="5" t="s">
        <v>29</v>
      </c>
      <c r="P366" t="s">
        <v>29</v>
      </c>
      <c r="Q366">
        <v>36</v>
      </c>
      <c r="R366">
        <v>7</v>
      </c>
      <c r="S366">
        <v>10</v>
      </c>
      <c r="T366" t="s">
        <v>30</v>
      </c>
      <c r="U366" t="str">
        <f>IF(AND(Employees_Data[[#This Row],[Age]]&gt;=20,Employees_Data[[#This Row],[Age]]&lt;=30),"Young",IF(AND(Employees_Data[[#This Row],[Age]]&gt;=31,Employees_Data[[#This Row],[Age]]&lt;=40),"Mid-Age",IF(Employees_Data[[#This Row],[Age]]&gt;=41,"Senior")))</f>
        <v>Mid-Age</v>
      </c>
      <c r="V366" t="str">
        <f>IF(Employees_Data[[#This Row],[Salary]]&lt;=30000,"Low",IF(AND(Employees_Data[[#This Row],[Salary]]&gt;30000,Employees_Data[[#This Row],[Salary]]&lt;=60000),"Medium",IF(AND(Employees_Data[[#This Row],[Salary]]&gt;60000,Employees_Data[[#This Row],[Salary]]&lt;=90000),"High",IF(Employees_Data[[#This Row],[Salary]]&gt;90000,"Executive"))))</f>
        <v>High</v>
      </c>
      <c r="W36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66" s="14" t="str">
        <f>VLOOKUP(Employees_Data[[#This Row],[Department]],Departments!$A$2:$B$7,2,FALSE)</f>
        <v>D06</v>
      </c>
      <c r="Y366" s="14" t="str">
        <f>INDEX(Departments!$B$2:$B$7,MATCH(Employees_Data[[#This Row],[Department]],Departments!$A$2:$A$7,0))</f>
        <v>D06</v>
      </c>
      <c r="Z366" s="14" t="str">
        <f>INDEX(Salary_Bands!$C$2:$C$5,MATCH(Employees_Data[[#This Row],[Salary]],Salary_Bands!$A$2:$A$5,1))</f>
        <v>High</v>
      </c>
    </row>
    <row r="367" spans="1:26" hidden="1" x14ac:dyDescent="0.3">
      <c r="A367" t="s">
        <v>795</v>
      </c>
      <c r="B367" t="s">
        <v>796</v>
      </c>
      <c r="C367" t="s">
        <v>22</v>
      </c>
      <c r="D367" s="12">
        <v>41</v>
      </c>
      <c r="E367" t="s">
        <v>41</v>
      </c>
      <c r="F367" t="s">
        <v>232</v>
      </c>
      <c r="G367" t="s">
        <v>80</v>
      </c>
      <c r="H367">
        <v>19</v>
      </c>
      <c r="I367" s="1">
        <v>45251</v>
      </c>
      <c r="J367" s="10">
        <v>64625</v>
      </c>
      <c r="K367" s="10">
        <v>16541</v>
      </c>
      <c r="L367">
        <v>2</v>
      </c>
      <c r="M367" t="s">
        <v>52</v>
      </c>
      <c r="N367" t="s">
        <v>27</v>
      </c>
      <c r="O367" t="s">
        <v>28</v>
      </c>
      <c r="P367" t="s">
        <v>28</v>
      </c>
      <c r="Q367">
        <v>37</v>
      </c>
      <c r="R367">
        <v>4</v>
      </c>
      <c r="S367">
        <v>2</v>
      </c>
      <c r="T367" t="s">
        <v>43</v>
      </c>
      <c r="U367" t="str">
        <f>IF(AND(Employees_Data[[#This Row],[Age]]&gt;=20,Employees_Data[[#This Row],[Age]]&lt;=30),"Young",IF(AND(Employees_Data[[#This Row],[Age]]&gt;=31,Employees_Data[[#This Row],[Age]]&lt;=40),"Mid-Age",IF(Employees_Data[[#This Row],[Age]]&gt;=41,"Senior")))</f>
        <v>Senior</v>
      </c>
      <c r="V367" t="str">
        <f>IF(Employees_Data[[#This Row],[Salary]]&lt;=30000,"Low",IF(AND(Employees_Data[[#This Row],[Salary]]&gt;30000,Employees_Data[[#This Row],[Salary]]&lt;=60000),"Medium",IF(AND(Employees_Data[[#This Row],[Salary]]&gt;60000,Employees_Data[[#This Row],[Salary]]&lt;=90000),"High",IF(Employees_Data[[#This Row],[Salary]]&gt;90000,"Executive"))))</f>
        <v>High</v>
      </c>
      <c r="W36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67" s="14" t="str">
        <f>VLOOKUP(Employees_Data[[#This Row],[Department]],Departments!$A$2:$B$7,2,FALSE)</f>
        <v>D03</v>
      </c>
      <c r="Y367" s="14" t="str">
        <f>INDEX(Departments!$B$2:$B$7,MATCH(Employees_Data[[#This Row],[Department]],Departments!$A$2:$A$7,0))</f>
        <v>D03</v>
      </c>
      <c r="Z367" s="14" t="str">
        <f>INDEX(Salary_Bands!$C$2:$C$5,MATCH(Employees_Data[[#This Row],[Salary]],Salary_Bands!$A$2:$A$5,1))</f>
        <v>High</v>
      </c>
    </row>
    <row r="368" spans="1:26" hidden="1" x14ac:dyDescent="0.3">
      <c r="A368" t="s">
        <v>797</v>
      </c>
      <c r="B368" t="s">
        <v>798</v>
      </c>
      <c r="C368" t="s">
        <v>22</v>
      </c>
      <c r="D368" s="12">
        <v>52</v>
      </c>
      <c r="E368" t="s">
        <v>61</v>
      </c>
      <c r="F368" t="s">
        <v>229</v>
      </c>
      <c r="G368" t="s">
        <v>35</v>
      </c>
      <c r="H368">
        <v>26</v>
      </c>
      <c r="I368" s="1">
        <v>45245</v>
      </c>
      <c r="J368" s="10">
        <v>65679</v>
      </c>
      <c r="K368" s="10">
        <v>3197</v>
      </c>
      <c r="L368">
        <v>3</v>
      </c>
      <c r="M368" t="s">
        <v>36</v>
      </c>
      <c r="N368" t="s">
        <v>58</v>
      </c>
      <c r="O368" t="s">
        <v>28</v>
      </c>
      <c r="P368" t="s">
        <v>29</v>
      </c>
      <c r="Q368">
        <v>5</v>
      </c>
      <c r="R368">
        <v>9</v>
      </c>
      <c r="S368">
        <v>3</v>
      </c>
      <c r="T368" t="s">
        <v>43</v>
      </c>
      <c r="U368" t="str">
        <f>IF(AND(Employees_Data[[#This Row],[Age]]&gt;=20,Employees_Data[[#This Row],[Age]]&lt;=30),"Young",IF(AND(Employees_Data[[#This Row],[Age]]&gt;=31,Employees_Data[[#This Row],[Age]]&lt;=40),"Mid-Age",IF(Employees_Data[[#This Row],[Age]]&gt;=41,"Senior")))</f>
        <v>Senior</v>
      </c>
      <c r="V368" t="str">
        <f>IF(Employees_Data[[#This Row],[Salary]]&lt;=30000,"Low",IF(AND(Employees_Data[[#This Row],[Salary]]&gt;30000,Employees_Data[[#This Row],[Salary]]&lt;=60000),"Medium",IF(AND(Employees_Data[[#This Row],[Salary]]&gt;60000,Employees_Data[[#This Row],[Salary]]&lt;=90000),"High",IF(Employees_Data[[#This Row],[Salary]]&gt;90000,"Executive"))))</f>
        <v>High</v>
      </c>
      <c r="W36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68" s="14" t="str">
        <f>VLOOKUP(Employees_Data[[#This Row],[Department]],Departments!$A$2:$B$7,2,FALSE)</f>
        <v>D02</v>
      </c>
      <c r="Y368" s="14" t="str">
        <f>INDEX(Departments!$B$2:$B$7,MATCH(Employees_Data[[#This Row],[Department]],Departments!$A$2:$A$7,0))</f>
        <v>D02</v>
      </c>
      <c r="Z368" s="14" t="str">
        <f>INDEX(Salary_Bands!$C$2:$C$5,MATCH(Employees_Data[[#This Row],[Salary]],Salary_Bands!$A$2:$A$5,1))</f>
        <v>High</v>
      </c>
    </row>
    <row r="369" spans="1:26" hidden="1" x14ac:dyDescent="0.3">
      <c r="A369" t="s">
        <v>799</v>
      </c>
      <c r="B369" t="s">
        <v>800</v>
      </c>
      <c r="C369" t="s">
        <v>40</v>
      </c>
      <c r="D369" s="12">
        <v>27</v>
      </c>
      <c r="E369" t="s">
        <v>56</v>
      </c>
      <c r="F369" t="s">
        <v>79</v>
      </c>
      <c r="G369" t="s">
        <v>80</v>
      </c>
      <c r="H369">
        <v>4</v>
      </c>
      <c r="I369" s="1">
        <v>45013</v>
      </c>
      <c r="J369" s="10">
        <v>141547</v>
      </c>
      <c r="K369" s="10">
        <v>20925</v>
      </c>
      <c r="L369">
        <v>1</v>
      </c>
      <c r="M369" t="s">
        <v>36</v>
      </c>
      <c r="N369" t="s">
        <v>48</v>
      </c>
      <c r="O369" t="s">
        <v>28</v>
      </c>
      <c r="P369" t="s">
        <v>29</v>
      </c>
      <c r="Q369">
        <v>25</v>
      </c>
      <c r="R369">
        <v>6</v>
      </c>
      <c r="S369">
        <v>2</v>
      </c>
      <c r="T369" t="s">
        <v>30</v>
      </c>
      <c r="U369" t="str">
        <f>IF(AND(Employees_Data[[#This Row],[Age]]&gt;=20,Employees_Data[[#This Row],[Age]]&lt;=30),"Young",IF(AND(Employees_Data[[#This Row],[Age]]&gt;=31,Employees_Data[[#This Row],[Age]]&lt;=40),"Mid-Age",IF(Employees_Data[[#This Row],[Age]]&gt;=41,"Senior")))</f>
        <v>Young</v>
      </c>
      <c r="V369" t="str">
        <f>IF(Employees_Data[[#This Row],[Salary]]&lt;=30000,"Low",IF(AND(Employees_Data[[#This Row],[Salary]]&gt;30000,Employees_Data[[#This Row],[Salary]]&lt;=60000),"Medium",IF(AND(Employees_Data[[#This Row],[Salary]]&gt;60000,Employees_Data[[#This Row],[Salary]]&lt;=90000),"High",IF(Employees_Data[[#This Row],[Salary]]&gt;90000,"Executive"))))</f>
        <v>Executive</v>
      </c>
      <c r="W36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369" s="14" t="str">
        <f>VLOOKUP(Employees_Data[[#This Row],[Department]],Departments!$A$2:$B$7,2,FALSE)</f>
        <v>D01</v>
      </c>
      <c r="Y369" s="14" t="str">
        <f>INDEX(Departments!$B$2:$B$7,MATCH(Employees_Data[[#This Row],[Department]],Departments!$A$2:$A$7,0))</f>
        <v>D01</v>
      </c>
      <c r="Z369" s="14" t="str">
        <f>INDEX(Salary_Bands!$C$2:$C$5,MATCH(Employees_Data[[#This Row],[Salary]],Salary_Bands!$A$2:$A$5,1))</f>
        <v>Executive</v>
      </c>
    </row>
    <row r="370" spans="1:26" hidden="1" x14ac:dyDescent="0.3">
      <c r="A370" t="s">
        <v>801</v>
      </c>
      <c r="B370" t="s">
        <v>802</v>
      </c>
      <c r="C370" t="s">
        <v>22</v>
      </c>
      <c r="D370" s="12">
        <v>39</v>
      </c>
      <c r="E370" t="s">
        <v>61</v>
      </c>
      <c r="F370" t="s">
        <v>229</v>
      </c>
      <c r="G370" t="s">
        <v>80</v>
      </c>
      <c r="H370">
        <v>14</v>
      </c>
      <c r="I370" s="1">
        <v>44408</v>
      </c>
      <c r="J370" s="10">
        <v>126290</v>
      </c>
      <c r="K370" s="10">
        <v>22412</v>
      </c>
      <c r="L370">
        <v>4</v>
      </c>
      <c r="M370" t="s">
        <v>52</v>
      </c>
      <c r="N370" t="s">
        <v>53</v>
      </c>
      <c r="O370" t="s">
        <v>28</v>
      </c>
      <c r="P370" t="s">
        <v>29</v>
      </c>
      <c r="Q370">
        <v>18</v>
      </c>
      <c r="R370">
        <v>17</v>
      </c>
      <c r="S370">
        <v>2</v>
      </c>
      <c r="T370" t="s">
        <v>43</v>
      </c>
      <c r="U370" t="str">
        <f>IF(AND(Employees_Data[[#This Row],[Age]]&gt;=20,Employees_Data[[#This Row],[Age]]&lt;=30),"Young",IF(AND(Employees_Data[[#This Row],[Age]]&gt;=31,Employees_Data[[#This Row],[Age]]&lt;=40),"Mid-Age",IF(Employees_Data[[#This Row],[Age]]&gt;=41,"Senior")))</f>
        <v>Mid-Age</v>
      </c>
      <c r="V370" t="str">
        <f>IF(Employees_Data[[#This Row],[Salary]]&lt;=30000,"Low",IF(AND(Employees_Data[[#This Row],[Salary]]&gt;30000,Employees_Data[[#This Row],[Salary]]&lt;=60000),"Medium",IF(AND(Employees_Data[[#This Row],[Salary]]&gt;60000,Employees_Data[[#This Row],[Salary]]&lt;=90000),"High",IF(Employees_Data[[#This Row],[Salary]]&gt;90000,"Executive"))))</f>
        <v>Executive</v>
      </c>
      <c r="W37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70" s="14" t="str">
        <f>VLOOKUP(Employees_Data[[#This Row],[Department]],Departments!$A$2:$B$7,2,FALSE)</f>
        <v>D02</v>
      </c>
      <c r="Y370" s="14" t="str">
        <f>INDEX(Departments!$B$2:$B$7,MATCH(Employees_Data[[#This Row],[Department]],Departments!$A$2:$A$7,0))</f>
        <v>D02</v>
      </c>
      <c r="Z370" s="14" t="str">
        <f>INDEX(Salary_Bands!$C$2:$C$5,MATCH(Employees_Data[[#This Row],[Salary]],Salary_Bands!$A$2:$A$5,1))</f>
        <v>Executive</v>
      </c>
    </row>
    <row r="371" spans="1:26" hidden="1" x14ac:dyDescent="0.3">
      <c r="A371" t="s">
        <v>803</v>
      </c>
      <c r="B371" t="s">
        <v>804</v>
      </c>
      <c r="C371" t="s">
        <v>40</v>
      </c>
      <c r="D371" s="12">
        <v>42</v>
      </c>
      <c r="E371" t="s">
        <v>41</v>
      </c>
      <c r="F371" t="s">
        <v>69</v>
      </c>
      <c r="G371" t="s">
        <v>25</v>
      </c>
      <c r="H371">
        <v>19</v>
      </c>
      <c r="I371" s="1">
        <v>43680</v>
      </c>
      <c r="J371" s="10">
        <v>148637</v>
      </c>
      <c r="K371" s="10">
        <v>16537</v>
      </c>
      <c r="L371">
        <v>3</v>
      </c>
      <c r="M371" t="s">
        <v>26</v>
      </c>
      <c r="N371" t="s">
        <v>76</v>
      </c>
      <c r="O371" t="s">
        <v>28</v>
      </c>
      <c r="P371" t="s">
        <v>29</v>
      </c>
      <c r="Q371">
        <v>35</v>
      </c>
      <c r="R371">
        <v>1</v>
      </c>
      <c r="S371">
        <v>10</v>
      </c>
      <c r="T371" t="s">
        <v>43</v>
      </c>
      <c r="U371" t="str">
        <f>IF(AND(Employees_Data[[#This Row],[Age]]&gt;=20,Employees_Data[[#This Row],[Age]]&lt;=30),"Young",IF(AND(Employees_Data[[#This Row],[Age]]&gt;=31,Employees_Data[[#This Row],[Age]]&lt;=40),"Mid-Age",IF(Employees_Data[[#This Row],[Age]]&gt;=41,"Senior")))</f>
        <v>Senior</v>
      </c>
      <c r="V371" t="str">
        <f>IF(Employees_Data[[#This Row],[Salary]]&lt;=30000,"Low",IF(AND(Employees_Data[[#This Row],[Salary]]&gt;30000,Employees_Data[[#This Row],[Salary]]&lt;=60000),"Medium",IF(AND(Employees_Data[[#This Row],[Salary]]&gt;60000,Employees_Data[[#This Row],[Salary]]&lt;=90000),"High",IF(Employees_Data[[#This Row],[Salary]]&gt;90000,"Executive"))))</f>
        <v>Executive</v>
      </c>
      <c r="W37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71" s="14" t="str">
        <f>VLOOKUP(Employees_Data[[#This Row],[Department]],Departments!$A$2:$B$7,2,FALSE)</f>
        <v>D03</v>
      </c>
      <c r="Y371" s="14" t="str">
        <f>INDEX(Departments!$B$2:$B$7,MATCH(Employees_Data[[#This Row],[Department]],Departments!$A$2:$A$7,0))</f>
        <v>D03</v>
      </c>
      <c r="Z371" s="14" t="str">
        <f>INDEX(Salary_Bands!$C$2:$C$5,MATCH(Employees_Data[[#This Row],[Salary]],Salary_Bands!$A$2:$A$5,1))</f>
        <v>Executive</v>
      </c>
    </row>
    <row r="372" spans="1:26" hidden="1" x14ac:dyDescent="0.3">
      <c r="A372" t="s">
        <v>805</v>
      </c>
      <c r="B372" t="s">
        <v>806</v>
      </c>
      <c r="C372" t="s">
        <v>40</v>
      </c>
      <c r="D372" s="12">
        <v>25</v>
      </c>
      <c r="E372" t="s">
        <v>56</v>
      </c>
      <c r="F372" t="s">
        <v>125</v>
      </c>
      <c r="G372" t="s">
        <v>25</v>
      </c>
      <c r="H372">
        <v>4</v>
      </c>
      <c r="I372" s="1">
        <v>44847</v>
      </c>
      <c r="J372" s="10">
        <v>76369</v>
      </c>
      <c r="K372" s="10">
        <v>13653</v>
      </c>
      <c r="L372">
        <v>2</v>
      </c>
      <c r="M372" t="s">
        <v>36</v>
      </c>
      <c r="N372" t="s">
        <v>37</v>
      </c>
      <c r="O372" t="s">
        <v>28</v>
      </c>
      <c r="P372" t="s">
        <v>29</v>
      </c>
      <c r="Q372">
        <v>50</v>
      </c>
      <c r="R372">
        <v>17</v>
      </c>
      <c r="S372">
        <v>10</v>
      </c>
      <c r="T372" t="s">
        <v>30</v>
      </c>
      <c r="U372" t="str">
        <f>IF(AND(Employees_Data[[#This Row],[Age]]&gt;=20,Employees_Data[[#This Row],[Age]]&lt;=30),"Young",IF(AND(Employees_Data[[#This Row],[Age]]&gt;=31,Employees_Data[[#This Row],[Age]]&lt;=40),"Mid-Age",IF(Employees_Data[[#This Row],[Age]]&gt;=41,"Senior")))</f>
        <v>Young</v>
      </c>
      <c r="V372" t="str">
        <f>IF(Employees_Data[[#This Row],[Salary]]&lt;=30000,"Low",IF(AND(Employees_Data[[#This Row],[Salary]]&gt;30000,Employees_Data[[#This Row],[Salary]]&lt;=60000),"Medium",IF(AND(Employees_Data[[#This Row],[Salary]]&gt;60000,Employees_Data[[#This Row],[Salary]]&lt;=90000),"High",IF(Employees_Data[[#This Row],[Salary]]&gt;90000,"Executive"))))</f>
        <v>High</v>
      </c>
      <c r="W37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372" s="14" t="str">
        <f>VLOOKUP(Employees_Data[[#This Row],[Department]],Departments!$A$2:$B$7,2,FALSE)</f>
        <v>D01</v>
      </c>
      <c r="Y372" s="14" t="str">
        <f>INDEX(Departments!$B$2:$B$7,MATCH(Employees_Data[[#This Row],[Department]],Departments!$A$2:$A$7,0))</f>
        <v>D01</v>
      </c>
      <c r="Z372" s="14" t="str">
        <f>INDEX(Salary_Bands!$C$2:$C$5,MATCH(Employees_Data[[#This Row],[Salary]],Salary_Bands!$A$2:$A$5,1))</f>
        <v>High</v>
      </c>
    </row>
    <row r="373" spans="1:26" hidden="1" x14ac:dyDescent="0.3">
      <c r="A373" t="s">
        <v>807</v>
      </c>
      <c r="B373" t="s">
        <v>808</v>
      </c>
      <c r="C373" t="s">
        <v>40</v>
      </c>
      <c r="D373" s="12">
        <v>30</v>
      </c>
      <c r="E373" t="s">
        <v>56</v>
      </c>
      <c r="F373" t="s">
        <v>125</v>
      </c>
      <c r="G373" t="s">
        <v>47</v>
      </c>
      <c r="H373">
        <v>9</v>
      </c>
      <c r="I373" s="1">
        <v>45019</v>
      </c>
      <c r="J373" s="10">
        <v>37748</v>
      </c>
      <c r="K373" s="10">
        <v>9592</v>
      </c>
      <c r="L373">
        <v>4</v>
      </c>
      <c r="M373" t="s">
        <v>26</v>
      </c>
      <c r="N373" t="s">
        <v>76</v>
      </c>
      <c r="O373" t="s">
        <v>28</v>
      </c>
      <c r="P373" t="s">
        <v>28</v>
      </c>
      <c r="Q373">
        <v>28</v>
      </c>
      <c r="R373">
        <v>12</v>
      </c>
      <c r="S373">
        <v>5</v>
      </c>
      <c r="T373" t="s">
        <v>30</v>
      </c>
      <c r="U373" t="str">
        <f>IF(AND(Employees_Data[[#This Row],[Age]]&gt;=20,Employees_Data[[#This Row],[Age]]&lt;=30),"Young",IF(AND(Employees_Data[[#This Row],[Age]]&gt;=31,Employees_Data[[#This Row],[Age]]&lt;=40),"Mid-Age",IF(Employees_Data[[#This Row],[Age]]&gt;=41,"Senior")))</f>
        <v>Young</v>
      </c>
      <c r="V373" t="str">
        <f>IF(Employees_Data[[#This Row],[Salary]]&lt;=30000,"Low",IF(AND(Employees_Data[[#This Row],[Salary]]&gt;30000,Employees_Data[[#This Row],[Salary]]&lt;=60000),"Medium",IF(AND(Employees_Data[[#This Row],[Salary]]&gt;60000,Employees_Data[[#This Row],[Salary]]&lt;=90000),"High",IF(Employees_Data[[#This Row],[Salary]]&gt;90000,"Executive"))))</f>
        <v>Medium</v>
      </c>
      <c r="W37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73" s="14" t="str">
        <f>VLOOKUP(Employees_Data[[#This Row],[Department]],Departments!$A$2:$B$7,2,FALSE)</f>
        <v>D01</v>
      </c>
      <c r="Y373" s="14" t="str">
        <f>INDEX(Departments!$B$2:$B$7,MATCH(Employees_Data[[#This Row],[Department]],Departments!$A$2:$A$7,0))</f>
        <v>D01</v>
      </c>
      <c r="Z373" s="14" t="str">
        <f>INDEX(Salary_Bands!$C$2:$C$5,MATCH(Employees_Data[[#This Row],[Salary]],Salary_Bands!$A$2:$A$5,1))</f>
        <v>Medium</v>
      </c>
    </row>
    <row r="374" spans="1:26" hidden="1" x14ac:dyDescent="0.3">
      <c r="A374" t="s">
        <v>809</v>
      </c>
      <c r="B374" t="s">
        <v>810</v>
      </c>
      <c r="C374" t="s">
        <v>40</v>
      </c>
      <c r="D374" s="12">
        <v>43</v>
      </c>
      <c r="E374" t="s">
        <v>61</v>
      </c>
      <c r="F374" t="s">
        <v>66</v>
      </c>
      <c r="G374" t="s">
        <v>35</v>
      </c>
      <c r="H374">
        <v>20</v>
      </c>
      <c r="I374" s="1">
        <v>44957</v>
      </c>
      <c r="J374" s="10">
        <v>88898</v>
      </c>
      <c r="K374" s="10">
        <v>11249</v>
      </c>
      <c r="L374">
        <v>1</v>
      </c>
      <c r="M374" t="s">
        <v>36</v>
      </c>
      <c r="N374" t="s">
        <v>53</v>
      </c>
      <c r="O374" t="s">
        <v>28</v>
      </c>
      <c r="P374" t="s">
        <v>29</v>
      </c>
      <c r="Q374">
        <v>37</v>
      </c>
      <c r="R374">
        <v>3</v>
      </c>
      <c r="S374">
        <v>2</v>
      </c>
      <c r="T374" t="s">
        <v>30</v>
      </c>
      <c r="U374" t="str">
        <f>IF(AND(Employees_Data[[#This Row],[Age]]&gt;=20,Employees_Data[[#This Row],[Age]]&lt;=30),"Young",IF(AND(Employees_Data[[#This Row],[Age]]&gt;=31,Employees_Data[[#This Row],[Age]]&lt;=40),"Mid-Age",IF(Employees_Data[[#This Row],[Age]]&gt;=41,"Senior")))</f>
        <v>Senior</v>
      </c>
      <c r="V374" t="str">
        <f>IF(Employees_Data[[#This Row],[Salary]]&lt;=30000,"Low",IF(AND(Employees_Data[[#This Row],[Salary]]&gt;30000,Employees_Data[[#This Row],[Salary]]&lt;=60000),"Medium",IF(AND(Employees_Data[[#This Row],[Salary]]&gt;60000,Employees_Data[[#This Row],[Salary]]&lt;=90000),"High",IF(Employees_Data[[#This Row],[Salary]]&gt;90000,"Executive"))))</f>
        <v>High</v>
      </c>
      <c r="W37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74" s="14" t="str">
        <f>VLOOKUP(Employees_Data[[#This Row],[Department]],Departments!$A$2:$B$7,2,FALSE)</f>
        <v>D02</v>
      </c>
      <c r="Y374" s="14" t="str">
        <f>INDEX(Departments!$B$2:$B$7,MATCH(Employees_Data[[#This Row],[Department]],Departments!$A$2:$A$7,0))</f>
        <v>D02</v>
      </c>
      <c r="Z374" s="14" t="str">
        <f>INDEX(Salary_Bands!$C$2:$C$5,MATCH(Employees_Data[[#This Row],[Salary]],Salary_Bands!$A$2:$A$5,1))</f>
        <v>High</v>
      </c>
    </row>
    <row r="375" spans="1:26" hidden="1" x14ac:dyDescent="0.3">
      <c r="A375" t="s">
        <v>811</v>
      </c>
      <c r="B375" t="s">
        <v>812</v>
      </c>
      <c r="C375" t="s">
        <v>40</v>
      </c>
      <c r="D375" s="12">
        <v>28</v>
      </c>
      <c r="E375" t="s">
        <v>87</v>
      </c>
      <c r="F375" t="s">
        <v>88</v>
      </c>
      <c r="G375" t="s">
        <v>35</v>
      </c>
      <c r="H375">
        <v>5</v>
      </c>
      <c r="I375" s="1">
        <v>45378</v>
      </c>
      <c r="J375" s="10">
        <v>110124</v>
      </c>
      <c r="K375" s="10">
        <v>22344</v>
      </c>
      <c r="L375">
        <v>1</v>
      </c>
      <c r="M375" t="s">
        <v>26</v>
      </c>
      <c r="N375" t="s">
        <v>53</v>
      </c>
      <c r="O375" t="s">
        <v>28</v>
      </c>
      <c r="P375" t="s">
        <v>29</v>
      </c>
      <c r="Q375">
        <v>35</v>
      </c>
      <c r="R375">
        <v>12</v>
      </c>
      <c r="S375">
        <v>5</v>
      </c>
      <c r="T375" t="s">
        <v>30</v>
      </c>
      <c r="U375" t="str">
        <f>IF(AND(Employees_Data[[#This Row],[Age]]&gt;=20,Employees_Data[[#This Row],[Age]]&lt;=30),"Young",IF(AND(Employees_Data[[#This Row],[Age]]&gt;=31,Employees_Data[[#This Row],[Age]]&lt;=40),"Mid-Age",IF(Employees_Data[[#This Row],[Age]]&gt;=41,"Senior")))</f>
        <v>Young</v>
      </c>
      <c r="V375" t="str">
        <f>IF(Employees_Data[[#This Row],[Salary]]&lt;=30000,"Low",IF(AND(Employees_Data[[#This Row],[Salary]]&gt;30000,Employees_Data[[#This Row],[Salary]]&lt;=60000),"Medium",IF(AND(Employees_Data[[#This Row],[Salary]]&gt;60000,Employees_Data[[#This Row],[Salary]]&lt;=90000),"High",IF(Employees_Data[[#This Row],[Salary]]&gt;90000,"Executive"))))</f>
        <v>Executive</v>
      </c>
      <c r="W37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375" s="14" t="str">
        <f>VLOOKUP(Employees_Data[[#This Row],[Department]],Departments!$A$2:$B$7,2,FALSE)</f>
        <v>D04</v>
      </c>
      <c r="Y375" s="14" t="str">
        <f>INDEX(Departments!$B$2:$B$7,MATCH(Employees_Data[[#This Row],[Department]],Departments!$A$2:$A$7,0))</f>
        <v>D04</v>
      </c>
      <c r="Z375" s="14" t="str">
        <f>INDEX(Salary_Bands!$C$2:$C$5,MATCH(Employees_Data[[#This Row],[Salary]],Salary_Bands!$A$2:$A$5,1))</f>
        <v>Executive</v>
      </c>
    </row>
    <row r="376" spans="1:26" hidden="1" x14ac:dyDescent="0.3">
      <c r="A376" t="s">
        <v>813</v>
      </c>
      <c r="B376" t="s">
        <v>814</v>
      </c>
      <c r="C376" t="s">
        <v>22</v>
      </c>
      <c r="D376" s="12">
        <v>35</v>
      </c>
      <c r="E376" t="s">
        <v>56</v>
      </c>
      <c r="F376" t="s">
        <v>125</v>
      </c>
      <c r="G376" t="s">
        <v>35</v>
      </c>
      <c r="H376">
        <v>9</v>
      </c>
      <c r="I376" s="1">
        <v>45521</v>
      </c>
      <c r="J376" s="10">
        <v>81511</v>
      </c>
      <c r="K376" s="10">
        <v>23712</v>
      </c>
      <c r="L376">
        <v>4</v>
      </c>
      <c r="M376" t="s">
        <v>52</v>
      </c>
      <c r="N376" t="s">
        <v>27</v>
      </c>
      <c r="O376" t="s">
        <v>28</v>
      </c>
      <c r="P376" t="s">
        <v>28</v>
      </c>
      <c r="Q376">
        <v>12</v>
      </c>
      <c r="R376">
        <v>18</v>
      </c>
      <c r="S376">
        <v>10</v>
      </c>
      <c r="T376" t="s">
        <v>30</v>
      </c>
      <c r="U376" t="str">
        <f>IF(AND(Employees_Data[[#This Row],[Age]]&gt;=20,Employees_Data[[#This Row],[Age]]&lt;=30),"Young",IF(AND(Employees_Data[[#This Row],[Age]]&gt;=31,Employees_Data[[#This Row],[Age]]&lt;=40),"Mid-Age",IF(Employees_Data[[#This Row],[Age]]&gt;=41,"Senior")))</f>
        <v>Mid-Age</v>
      </c>
      <c r="V376" t="str">
        <f>IF(Employees_Data[[#This Row],[Salary]]&lt;=30000,"Low",IF(AND(Employees_Data[[#This Row],[Salary]]&gt;30000,Employees_Data[[#This Row],[Salary]]&lt;=60000),"Medium",IF(AND(Employees_Data[[#This Row],[Salary]]&gt;60000,Employees_Data[[#This Row],[Salary]]&lt;=90000),"High",IF(Employees_Data[[#This Row],[Salary]]&gt;90000,"Executive"))))</f>
        <v>High</v>
      </c>
      <c r="W37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76" s="14" t="str">
        <f>VLOOKUP(Employees_Data[[#This Row],[Department]],Departments!$A$2:$B$7,2,FALSE)</f>
        <v>D01</v>
      </c>
      <c r="Y376" s="14" t="str">
        <f>INDEX(Departments!$B$2:$B$7,MATCH(Employees_Data[[#This Row],[Department]],Departments!$A$2:$A$7,0))</f>
        <v>D01</v>
      </c>
      <c r="Z376" s="14" t="str">
        <f>INDEX(Salary_Bands!$C$2:$C$5,MATCH(Employees_Data[[#This Row],[Salary]],Salary_Bands!$A$2:$A$5,1))</f>
        <v>High</v>
      </c>
    </row>
    <row r="377" spans="1:26" hidden="1" x14ac:dyDescent="0.3">
      <c r="A377" t="s">
        <v>815</v>
      </c>
      <c r="B377" t="s">
        <v>816</v>
      </c>
      <c r="C377" t="s">
        <v>22</v>
      </c>
      <c r="D377" s="12">
        <v>42</v>
      </c>
      <c r="E377" t="s">
        <v>33</v>
      </c>
      <c r="F377" t="s">
        <v>46</v>
      </c>
      <c r="G377" t="s">
        <v>25</v>
      </c>
      <c r="H377">
        <v>17</v>
      </c>
      <c r="I377" s="1">
        <v>43500</v>
      </c>
      <c r="J377" s="10">
        <v>132744</v>
      </c>
      <c r="K377" s="10">
        <v>14416</v>
      </c>
      <c r="L377">
        <v>4</v>
      </c>
      <c r="M377" t="s">
        <v>36</v>
      </c>
      <c r="N377" t="s">
        <v>58</v>
      </c>
      <c r="O377" t="s">
        <v>28</v>
      </c>
      <c r="P377" t="s">
        <v>29</v>
      </c>
      <c r="Q377">
        <v>10</v>
      </c>
      <c r="R377">
        <v>6</v>
      </c>
      <c r="S377">
        <v>3</v>
      </c>
      <c r="T377" t="s">
        <v>30</v>
      </c>
      <c r="U377" t="str">
        <f>IF(AND(Employees_Data[[#This Row],[Age]]&gt;=20,Employees_Data[[#This Row],[Age]]&lt;=30),"Young",IF(AND(Employees_Data[[#This Row],[Age]]&gt;=31,Employees_Data[[#This Row],[Age]]&lt;=40),"Mid-Age",IF(Employees_Data[[#This Row],[Age]]&gt;=41,"Senior")))</f>
        <v>Senior</v>
      </c>
      <c r="V377" t="str">
        <f>IF(Employees_Data[[#This Row],[Salary]]&lt;=30000,"Low",IF(AND(Employees_Data[[#This Row],[Salary]]&gt;30000,Employees_Data[[#This Row],[Salary]]&lt;=60000),"Medium",IF(AND(Employees_Data[[#This Row],[Salary]]&gt;60000,Employees_Data[[#This Row],[Salary]]&lt;=90000),"High",IF(Employees_Data[[#This Row],[Salary]]&gt;90000,"Executive"))))</f>
        <v>Executive</v>
      </c>
      <c r="W37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77" s="14" t="str">
        <f>VLOOKUP(Employees_Data[[#This Row],[Department]],Departments!$A$2:$B$7,2,FALSE)</f>
        <v>D05</v>
      </c>
      <c r="Y377" s="14" t="str">
        <f>INDEX(Departments!$B$2:$B$7,MATCH(Employees_Data[[#This Row],[Department]],Departments!$A$2:$A$7,0))</f>
        <v>D05</v>
      </c>
      <c r="Z377" s="14" t="str">
        <f>INDEX(Salary_Bands!$C$2:$C$5,MATCH(Employees_Data[[#This Row],[Salary]],Salary_Bands!$A$2:$A$5,1))</f>
        <v>Executive</v>
      </c>
    </row>
    <row r="378" spans="1:26" hidden="1" x14ac:dyDescent="0.3">
      <c r="A378" t="s">
        <v>817</v>
      </c>
      <c r="B378" t="s">
        <v>818</v>
      </c>
      <c r="C378" t="s">
        <v>22</v>
      </c>
      <c r="D378" s="12">
        <v>22</v>
      </c>
      <c r="E378" t="s">
        <v>61</v>
      </c>
      <c r="F378" t="s">
        <v>66</v>
      </c>
      <c r="G378" t="s">
        <v>35</v>
      </c>
      <c r="H378">
        <v>0</v>
      </c>
      <c r="I378" s="1">
        <v>43712</v>
      </c>
      <c r="J378" s="10">
        <v>84372</v>
      </c>
      <c r="K378" s="10">
        <v>24331</v>
      </c>
      <c r="L378">
        <v>5</v>
      </c>
      <c r="M378" t="s">
        <v>36</v>
      </c>
      <c r="N378" t="s">
        <v>37</v>
      </c>
      <c r="O378" t="s">
        <v>28</v>
      </c>
      <c r="P378" t="s">
        <v>28</v>
      </c>
      <c r="Q378">
        <v>32</v>
      </c>
      <c r="R378">
        <v>11</v>
      </c>
      <c r="S378">
        <v>5</v>
      </c>
      <c r="T378" t="s">
        <v>30</v>
      </c>
      <c r="U378" t="str">
        <f>IF(AND(Employees_Data[[#This Row],[Age]]&gt;=20,Employees_Data[[#This Row],[Age]]&lt;=30),"Young",IF(AND(Employees_Data[[#This Row],[Age]]&gt;=31,Employees_Data[[#This Row],[Age]]&lt;=40),"Mid-Age",IF(Employees_Data[[#This Row],[Age]]&gt;=41,"Senior")))</f>
        <v>Young</v>
      </c>
      <c r="V378" t="str">
        <f>IF(Employees_Data[[#This Row],[Salary]]&lt;=30000,"Low",IF(AND(Employees_Data[[#This Row],[Salary]]&gt;30000,Employees_Data[[#This Row],[Salary]]&lt;=60000),"Medium",IF(AND(Employees_Data[[#This Row],[Salary]]&gt;60000,Employees_Data[[#This Row],[Salary]]&lt;=90000),"High",IF(Employees_Data[[#This Row],[Salary]]&gt;90000,"Executive"))))</f>
        <v>High</v>
      </c>
      <c r="W37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78" s="14" t="str">
        <f>VLOOKUP(Employees_Data[[#This Row],[Department]],Departments!$A$2:$B$7,2,FALSE)</f>
        <v>D02</v>
      </c>
      <c r="Y378" s="14" t="str">
        <f>INDEX(Departments!$B$2:$B$7,MATCH(Employees_Data[[#This Row],[Department]],Departments!$A$2:$A$7,0))</f>
        <v>D02</v>
      </c>
      <c r="Z378" s="14" t="str">
        <f>INDEX(Salary_Bands!$C$2:$C$5,MATCH(Employees_Data[[#This Row],[Salary]],Salary_Bands!$A$2:$A$5,1))</f>
        <v>High</v>
      </c>
    </row>
    <row r="379" spans="1:26" x14ac:dyDescent="0.3">
      <c r="A379" t="s">
        <v>819</v>
      </c>
      <c r="B379" t="s">
        <v>820</v>
      </c>
      <c r="C379" t="s">
        <v>22</v>
      </c>
      <c r="D379" s="12">
        <v>22</v>
      </c>
      <c r="E379" t="s">
        <v>56</v>
      </c>
      <c r="F379" t="s">
        <v>79</v>
      </c>
      <c r="G379" t="s">
        <v>80</v>
      </c>
      <c r="H379">
        <v>0</v>
      </c>
      <c r="I379" s="1">
        <v>45191</v>
      </c>
      <c r="J379" s="10">
        <v>77978</v>
      </c>
      <c r="K379" s="10">
        <v>20351</v>
      </c>
      <c r="L379">
        <v>2</v>
      </c>
      <c r="M379" t="s">
        <v>36</v>
      </c>
      <c r="N379" t="s">
        <v>27</v>
      </c>
      <c r="O379" s="5" t="s">
        <v>29</v>
      </c>
      <c r="P379" t="s">
        <v>28</v>
      </c>
      <c r="Q379">
        <v>60</v>
      </c>
      <c r="R379">
        <v>0</v>
      </c>
      <c r="S379">
        <v>5</v>
      </c>
      <c r="T379" t="s">
        <v>30</v>
      </c>
      <c r="U379" t="str">
        <f>IF(AND(Employees_Data[[#This Row],[Age]]&gt;=20,Employees_Data[[#This Row],[Age]]&lt;=30),"Young",IF(AND(Employees_Data[[#This Row],[Age]]&gt;=31,Employees_Data[[#This Row],[Age]]&lt;=40),"Mid-Age",IF(Employees_Data[[#This Row],[Age]]&gt;=41,"Senior")))</f>
        <v>Young</v>
      </c>
      <c r="V379" t="str">
        <f>IF(Employees_Data[[#This Row],[Salary]]&lt;=30000,"Low",IF(AND(Employees_Data[[#This Row],[Salary]]&gt;30000,Employees_Data[[#This Row],[Salary]]&lt;=60000),"Medium",IF(AND(Employees_Data[[#This Row],[Salary]]&gt;60000,Employees_Data[[#This Row],[Salary]]&lt;=90000),"High",IF(Employees_Data[[#This Row],[Salary]]&gt;90000,"Executive"))))</f>
        <v>High</v>
      </c>
      <c r="W37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79" s="14" t="str">
        <f>VLOOKUP(Employees_Data[[#This Row],[Department]],Departments!$A$2:$B$7,2,FALSE)</f>
        <v>D01</v>
      </c>
      <c r="Y379" s="14" t="str">
        <f>INDEX(Departments!$B$2:$B$7,MATCH(Employees_Data[[#This Row],[Department]],Departments!$A$2:$A$7,0))</f>
        <v>D01</v>
      </c>
      <c r="Z379" s="14" t="str">
        <f>INDEX(Salary_Bands!$C$2:$C$5,MATCH(Employees_Data[[#This Row],[Salary]],Salary_Bands!$A$2:$A$5,1))</f>
        <v>High</v>
      </c>
    </row>
    <row r="380" spans="1:26" hidden="1" x14ac:dyDescent="0.3">
      <c r="A380" t="s">
        <v>821</v>
      </c>
      <c r="B380" t="s">
        <v>822</v>
      </c>
      <c r="C380" t="s">
        <v>22</v>
      </c>
      <c r="D380" s="12">
        <v>47</v>
      </c>
      <c r="E380" t="s">
        <v>61</v>
      </c>
      <c r="F380" t="s">
        <v>229</v>
      </c>
      <c r="G380" t="s">
        <v>47</v>
      </c>
      <c r="H380">
        <v>21</v>
      </c>
      <c r="I380" s="1">
        <v>44404</v>
      </c>
      <c r="J380" s="10">
        <v>118293</v>
      </c>
      <c r="K380" s="10">
        <v>6557</v>
      </c>
      <c r="L380">
        <v>4</v>
      </c>
      <c r="M380" t="s">
        <v>26</v>
      </c>
      <c r="N380" t="s">
        <v>53</v>
      </c>
      <c r="O380" t="s">
        <v>28</v>
      </c>
      <c r="P380" t="s">
        <v>28</v>
      </c>
      <c r="Q380">
        <v>58</v>
      </c>
      <c r="R380">
        <v>11</v>
      </c>
      <c r="S380">
        <v>7</v>
      </c>
      <c r="T380" t="s">
        <v>30</v>
      </c>
      <c r="U380" t="str">
        <f>IF(AND(Employees_Data[[#This Row],[Age]]&gt;=20,Employees_Data[[#This Row],[Age]]&lt;=30),"Young",IF(AND(Employees_Data[[#This Row],[Age]]&gt;=31,Employees_Data[[#This Row],[Age]]&lt;=40),"Mid-Age",IF(Employees_Data[[#This Row],[Age]]&gt;=41,"Senior")))</f>
        <v>Senior</v>
      </c>
      <c r="V380" t="str">
        <f>IF(Employees_Data[[#This Row],[Salary]]&lt;=30000,"Low",IF(AND(Employees_Data[[#This Row],[Salary]]&gt;30000,Employees_Data[[#This Row],[Salary]]&lt;=60000),"Medium",IF(AND(Employees_Data[[#This Row],[Salary]]&gt;60000,Employees_Data[[#This Row],[Salary]]&lt;=90000),"High",IF(Employees_Data[[#This Row],[Salary]]&gt;90000,"Executive"))))</f>
        <v>Executive</v>
      </c>
      <c r="W38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80" s="14" t="str">
        <f>VLOOKUP(Employees_Data[[#This Row],[Department]],Departments!$A$2:$B$7,2,FALSE)</f>
        <v>D02</v>
      </c>
      <c r="Y380" s="14" t="str">
        <f>INDEX(Departments!$B$2:$B$7,MATCH(Employees_Data[[#This Row],[Department]],Departments!$A$2:$A$7,0))</f>
        <v>D02</v>
      </c>
      <c r="Z380" s="14" t="str">
        <f>INDEX(Salary_Bands!$C$2:$C$5,MATCH(Employees_Data[[#This Row],[Salary]],Salary_Bands!$A$2:$A$5,1))</f>
        <v>Executive</v>
      </c>
    </row>
    <row r="381" spans="1:26" hidden="1" x14ac:dyDescent="0.3">
      <c r="A381" t="s">
        <v>823</v>
      </c>
      <c r="B381" t="s">
        <v>824</v>
      </c>
      <c r="C381" t="s">
        <v>40</v>
      </c>
      <c r="D381" s="12">
        <v>40</v>
      </c>
      <c r="E381" t="s">
        <v>87</v>
      </c>
      <c r="F381" t="s">
        <v>91</v>
      </c>
      <c r="G381" t="s">
        <v>47</v>
      </c>
      <c r="H381">
        <v>14</v>
      </c>
      <c r="I381" s="1">
        <v>43615</v>
      </c>
      <c r="J381" s="10">
        <v>42600</v>
      </c>
      <c r="K381" s="10">
        <v>6449</v>
      </c>
      <c r="L381">
        <v>1</v>
      </c>
      <c r="M381" t="s">
        <v>26</v>
      </c>
      <c r="N381" t="s">
        <v>76</v>
      </c>
      <c r="O381" t="s">
        <v>28</v>
      </c>
      <c r="P381" t="s">
        <v>28</v>
      </c>
      <c r="Q381">
        <v>60</v>
      </c>
      <c r="R381">
        <v>14</v>
      </c>
      <c r="S381">
        <v>2</v>
      </c>
      <c r="T381" t="s">
        <v>43</v>
      </c>
      <c r="U381" t="str">
        <f>IF(AND(Employees_Data[[#This Row],[Age]]&gt;=20,Employees_Data[[#This Row],[Age]]&lt;=30),"Young",IF(AND(Employees_Data[[#This Row],[Age]]&gt;=31,Employees_Data[[#This Row],[Age]]&lt;=40),"Mid-Age",IF(Employees_Data[[#This Row],[Age]]&gt;=41,"Senior")))</f>
        <v>Mid-Age</v>
      </c>
      <c r="V381" t="str">
        <f>IF(Employees_Data[[#This Row],[Salary]]&lt;=30000,"Low",IF(AND(Employees_Data[[#This Row],[Salary]]&gt;30000,Employees_Data[[#This Row],[Salary]]&lt;=60000),"Medium",IF(AND(Employees_Data[[#This Row],[Salary]]&gt;60000,Employees_Data[[#This Row],[Salary]]&lt;=90000),"High",IF(Employees_Data[[#This Row],[Salary]]&gt;90000,"Executive"))))</f>
        <v>Medium</v>
      </c>
      <c r="W38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81" s="14" t="str">
        <f>VLOOKUP(Employees_Data[[#This Row],[Department]],Departments!$A$2:$B$7,2,FALSE)</f>
        <v>D04</v>
      </c>
      <c r="Y381" s="14" t="str">
        <f>INDEX(Departments!$B$2:$B$7,MATCH(Employees_Data[[#This Row],[Department]],Departments!$A$2:$A$7,0))</f>
        <v>D04</v>
      </c>
      <c r="Z381" s="14" t="str">
        <f>INDEX(Salary_Bands!$C$2:$C$5,MATCH(Employees_Data[[#This Row],[Salary]],Salary_Bands!$A$2:$A$5,1))</f>
        <v>Medium</v>
      </c>
    </row>
    <row r="382" spans="1:26" hidden="1" x14ac:dyDescent="0.3">
      <c r="A382" t="s">
        <v>825</v>
      </c>
      <c r="B382" t="s">
        <v>826</v>
      </c>
      <c r="C382" t="s">
        <v>40</v>
      </c>
      <c r="D382" s="12">
        <v>49</v>
      </c>
      <c r="E382" t="s">
        <v>23</v>
      </c>
      <c r="F382" t="s">
        <v>109</v>
      </c>
      <c r="G382" t="s">
        <v>35</v>
      </c>
      <c r="H382">
        <v>24</v>
      </c>
      <c r="I382" s="1">
        <v>43837</v>
      </c>
      <c r="J382" s="10">
        <v>84558</v>
      </c>
      <c r="K382" s="10">
        <v>8088</v>
      </c>
      <c r="L382">
        <v>5</v>
      </c>
      <c r="M382" t="s">
        <v>36</v>
      </c>
      <c r="N382" t="s">
        <v>53</v>
      </c>
      <c r="O382" t="s">
        <v>28</v>
      </c>
      <c r="P382" t="s">
        <v>29</v>
      </c>
      <c r="Q382">
        <v>41</v>
      </c>
      <c r="R382">
        <v>15</v>
      </c>
      <c r="S382">
        <v>7</v>
      </c>
      <c r="T382" t="s">
        <v>30</v>
      </c>
      <c r="U382" t="str">
        <f>IF(AND(Employees_Data[[#This Row],[Age]]&gt;=20,Employees_Data[[#This Row],[Age]]&lt;=30),"Young",IF(AND(Employees_Data[[#This Row],[Age]]&gt;=31,Employees_Data[[#This Row],[Age]]&lt;=40),"Mid-Age",IF(Employees_Data[[#This Row],[Age]]&gt;=41,"Senior")))</f>
        <v>Senior</v>
      </c>
      <c r="V382" t="str">
        <f>IF(Employees_Data[[#This Row],[Salary]]&lt;=30000,"Low",IF(AND(Employees_Data[[#This Row],[Salary]]&gt;30000,Employees_Data[[#This Row],[Salary]]&lt;=60000),"Medium",IF(AND(Employees_Data[[#This Row],[Salary]]&gt;60000,Employees_Data[[#This Row],[Salary]]&lt;=90000),"High",IF(Employees_Data[[#This Row],[Salary]]&gt;90000,"Executive"))))</f>
        <v>High</v>
      </c>
      <c r="W38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82" s="14" t="str">
        <f>VLOOKUP(Employees_Data[[#This Row],[Department]],Departments!$A$2:$B$7,2,FALSE)</f>
        <v>D06</v>
      </c>
      <c r="Y382" s="14" t="str">
        <f>INDEX(Departments!$B$2:$B$7,MATCH(Employees_Data[[#This Row],[Department]],Departments!$A$2:$A$7,0))</f>
        <v>D06</v>
      </c>
      <c r="Z382" s="14" t="str">
        <f>INDEX(Salary_Bands!$C$2:$C$5,MATCH(Employees_Data[[#This Row],[Salary]],Salary_Bands!$A$2:$A$5,1))</f>
        <v>High</v>
      </c>
    </row>
    <row r="383" spans="1:26" hidden="1" x14ac:dyDescent="0.3">
      <c r="A383" t="s">
        <v>827</v>
      </c>
      <c r="B383" t="s">
        <v>828</v>
      </c>
      <c r="C383" t="s">
        <v>40</v>
      </c>
      <c r="D383" s="12">
        <v>54</v>
      </c>
      <c r="E383" t="s">
        <v>23</v>
      </c>
      <c r="F383" t="s">
        <v>24</v>
      </c>
      <c r="G383" t="s">
        <v>51</v>
      </c>
      <c r="H383">
        <v>31</v>
      </c>
      <c r="I383" s="1">
        <v>44783</v>
      </c>
      <c r="J383" s="10">
        <v>146446</v>
      </c>
      <c r="K383" s="10">
        <v>5708</v>
      </c>
      <c r="L383">
        <v>5</v>
      </c>
      <c r="M383" t="s">
        <v>52</v>
      </c>
      <c r="N383" t="s">
        <v>58</v>
      </c>
      <c r="O383" t="s">
        <v>28</v>
      </c>
      <c r="P383" t="s">
        <v>29</v>
      </c>
      <c r="Q383">
        <v>14</v>
      </c>
      <c r="R383">
        <v>16</v>
      </c>
      <c r="S383">
        <v>10</v>
      </c>
      <c r="T383" t="s">
        <v>30</v>
      </c>
      <c r="U383" t="str">
        <f>IF(AND(Employees_Data[[#This Row],[Age]]&gt;=20,Employees_Data[[#This Row],[Age]]&lt;=30),"Young",IF(AND(Employees_Data[[#This Row],[Age]]&gt;=31,Employees_Data[[#This Row],[Age]]&lt;=40),"Mid-Age",IF(Employees_Data[[#This Row],[Age]]&gt;=41,"Senior")))</f>
        <v>Senior</v>
      </c>
      <c r="V383" t="str">
        <f>IF(Employees_Data[[#This Row],[Salary]]&lt;=30000,"Low",IF(AND(Employees_Data[[#This Row],[Salary]]&gt;30000,Employees_Data[[#This Row],[Salary]]&lt;=60000),"Medium",IF(AND(Employees_Data[[#This Row],[Salary]]&gt;60000,Employees_Data[[#This Row],[Salary]]&lt;=90000),"High",IF(Employees_Data[[#This Row],[Salary]]&gt;90000,"Executive"))))</f>
        <v>Executive</v>
      </c>
      <c r="W38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83" s="14" t="str">
        <f>VLOOKUP(Employees_Data[[#This Row],[Department]],Departments!$A$2:$B$7,2,FALSE)</f>
        <v>D06</v>
      </c>
      <c r="Y383" s="14" t="str">
        <f>INDEX(Departments!$B$2:$B$7,MATCH(Employees_Data[[#This Row],[Department]],Departments!$A$2:$A$7,0))</f>
        <v>D06</v>
      </c>
      <c r="Z383" s="14" t="str">
        <f>INDEX(Salary_Bands!$C$2:$C$5,MATCH(Employees_Data[[#This Row],[Salary]],Salary_Bands!$A$2:$A$5,1))</f>
        <v>Executive</v>
      </c>
    </row>
    <row r="384" spans="1:26" hidden="1" x14ac:dyDescent="0.3">
      <c r="A384" t="s">
        <v>829</v>
      </c>
      <c r="B384" t="s">
        <v>830</v>
      </c>
      <c r="C384" t="s">
        <v>22</v>
      </c>
      <c r="D384" s="12">
        <v>55</v>
      </c>
      <c r="E384" t="s">
        <v>41</v>
      </c>
      <c r="F384" t="s">
        <v>232</v>
      </c>
      <c r="G384" t="s">
        <v>25</v>
      </c>
      <c r="H384">
        <v>34</v>
      </c>
      <c r="I384" s="1">
        <v>45244</v>
      </c>
      <c r="J384" s="10">
        <v>141643</v>
      </c>
      <c r="K384" s="10">
        <v>20993</v>
      </c>
      <c r="L384">
        <v>5</v>
      </c>
      <c r="M384" t="s">
        <v>36</v>
      </c>
      <c r="N384" t="s">
        <v>53</v>
      </c>
      <c r="O384" t="s">
        <v>28</v>
      </c>
      <c r="P384" t="s">
        <v>29</v>
      </c>
      <c r="Q384">
        <v>26</v>
      </c>
      <c r="R384">
        <v>17</v>
      </c>
      <c r="S384">
        <v>2</v>
      </c>
      <c r="T384" t="s">
        <v>30</v>
      </c>
      <c r="U384" t="str">
        <f>IF(AND(Employees_Data[[#This Row],[Age]]&gt;=20,Employees_Data[[#This Row],[Age]]&lt;=30),"Young",IF(AND(Employees_Data[[#This Row],[Age]]&gt;=31,Employees_Data[[#This Row],[Age]]&lt;=40),"Mid-Age",IF(Employees_Data[[#This Row],[Age]]&gt;=41,"Senior")))</f>
        <v>Senior</v>
      </c>
      <c r="V384" t="str">
        <f>IF(Employees_Data[[#This Row],[Salary]]&lt;=30000,"Low",IF(AND(Employees_Data[[#This Row],[Salary]]&gt;30000,Employees_Data[[#This Row],[Salary]]&lt;=60000),"Medium",IF(AND(Employees_Data[[#This Row],[Salary]]&gt;60000,Employees_Data[[#This Row],[Salary]]&lt;=90000),"High",IF(Employees_Data[[#This Row],[Salary]]&gt;90000,"Executive"))))</f>
        <v>Executive</v>
      </c>
      <c r="W38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84" s="14" t="str">
        <f>VLOOKUP(Employees_Data[[#This Row],[Department]],Departments!$A$2:$B$7,2,FALSE)</f>
        <v>D03</v>
      </c>
      <c r="Y384" s="14" t="str">
        <f>INDEX(Departments!$B$2:$B$7,MATCH(Employees_Data[[#This Row],[Department]],Departments!$A$2:$A$7,0))</f>
        <v>D03</v>
      </c>
      <c r="Z384" s="14" t="str">
        <f>INDEX(Salary_Bands!$C$2:$C$5,MATCH(Employees_Data[[#This Row],[Salary]],Salary_Bands!$A$2:$A$5,1))</f>
        <v>Executive</v>
      </c>
    </row>
    <row r="385" spans="1:26" hidden="1" x14ac:dyDescent="0.3">
      <c r="A385" t="s">
        <v>831</v>
      </c>
      <c r="B385" t="s">
        <v>832</v>
      </c>
      <c r="C385" t="s">
        <v>40</v>
      </c>
      <c r="D385" s="12">
        <v>51</v>
      </c>
      <c r="E385" t="s">
        <v>56</v>
      </c>
      <c r="F385" t="s">
        <v>125</v>
      </c>
      <c r="G385" t="s">
        <v>51</v>
      </c>
      <c r="H385">
        <v>26</v>
      </c>
      <c r="I385" s="1">
        <v>45022</v>
      </c>
      <c r="J385" s="10">
        <v>100230</v>
      </c>
      <c r="K385" s="10">
        <v>7488</v>
      </c>
      <c r="L385">
        <v>3</v>
      </c>
      <c r="M385" t="s">
        <v>26</v>
      </c>
      <c r="N385" t="s">
        <v>48</v>
      </c>
      <c r="O385" t="s">
        <v>28</v>
      </c>
      <c r="P385" t="s">
        <v>28</v>
      </c>
      <c r="Q385">
        <v>51</v>
      </c>
      <c r="R385">
        <v>18</v>
      </c>
      <c r="S385">
        <v>7</v>
      </c>
      <c r="T385" t="s">
        <v>30</v>
      </c>
      <c r="U385" t="str">
        <f>IF(AND(Employees_Data[[#This Row],[Age]]&gt;=20,Employees_Data[[#This Row],[Age]]&lt;=30),"Young",IF(AND(Employees_Data[[#This Row],[Age]]&gt;=31,Employees_Data[[#This Row],[Age]]&lt;=40),"Mid-Age",IF(Employees_Data[[#This Row],[Age]]&gt;=41,"Senior")))</f>
        <v>Senior</v>
      </c>
      <c r="V385" t="str">
        <f>IF(Employees_Data[[#This Row],[Salary]]&lt;=30000,"Low",IF(AND(Employees_Data[[#This Row],[Salary]]&gt;30000,Employees_Data[[#This Row],[Salary]]&lt;=60000),"Medium",IF(AND(Employees_Data[[#This Row],[Salary]]&gt;60000,Employees_Data[[#This Row],[Salary]]&lt;=90000),"High",IF(Employees_Data[[#This Row],[Salary]]&gt;90000,"Executive"))))</f>
        <v>Executive</v>
      </c>
      <c r="W38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85" s="14" t="str">
        <f>VLOOKUP(Employees_Data[[#This Row],[Department]],Departments!$A$2:$B$7,2,FALSE)</f>
        <v>D01</v>
      </c>
      <c r="Y385" s="14" t="str">
        <f>INDEX(Departments!$B$2:$B$7,MATCH(Employees_Data[[#This Row],[Department]],Departments!$A$2:$A$7,0))</f>
        <v>D01</v>
      </c>
      <c r="Z385" s="14" t="str">
        <f>INDEX(Salary_Bands!$C$2:$C$5,MATCH(Employees_Data[[#This Row],[Salary]],Salary_Bands!$A$2:$A$5,1))</f>
        <v>Executive</v>
      </c>
    </row>
    <row r="386" spans="1:26" hidden="1" x14ac:dyDescent="0.3">
      <c r="A386" t="s">
        <v>833</v>
      </c>
      <c r="B386" t="s">
        <v>834</v>
      </c>
      <c r="C386" t="s">
        <v>40</v>
      </c>
      <c r="D386" s="12">
        <v>52</v>
      </c>
      <c r="E386" t="s">
        <v>41</v>
      </c>
      <c r="F386" t="s">
        <v>42</v>
      </c>
      <c r="G386" t="s">
        <v>47</v>
      </c>
      <c r="H386">
        <v>27</v>
      </c>
      <c r="I386" s="1">
        <v>43793</v>
      </c>
      <c r="J386" s="10">
        <v>100085</v>
      </c>
      <c r="K386" s="10">
        <v>4703</v>
      </c>
      <c r="L386">
        <v>1</v>
      </c>
      <c r="M386" t="s">
        <v>26</v>
      </c>
      <c r="N386" t="s">
        <v>53</v>
      </c>
      <c r="O386" t="s">
        <v>28</v>
      </c>
      <c r="P386" t="s">
        <v>29</v>
      </c>
      <c r="Q386">
        <v>59</v>
      </c>
      <c r="R386">
        <v>8</v>
      </c>
      <c r="S386">
        <v>5</v>
      </c>
      <c r="T386" t="s">
        <v>30</v>
      </c>
      <c r="U386" t="str">
        <f>IF(AND(Employees_Data[[#This Row],[Age]]&gt;=20,Employees_Data[[#This Row],[Age]]&lt;=30),"Young",IF(AND(Employees_Data[[#This Row],[Age]]&gt;=31,Employees_Data[[#This Row],[Age]]&lt;=40),"Mid-Age",IF(Employees_Data[[#This Row],[Age]]&gt;=41,"Senior")))</f>
        <v>Senior</v>
      </c>
      <c r="V386" t="str">
        <f>IF(Employees_Data[[#This Row],[Salary]]&lt;=30000,"Low",IF(AND(Employees_Data[[#This Row],[Salary]]&gt;30000,Employees_Data[[#This Row],[Salary]]&lt;=60000),"Medium",IF(AND(Employees_Data[[#This Row],[Salary]]&gt;60000,Employees_Data[[#This Row],[Salary]]&lt;=90000),"High",IF(Employees_Data[[#This Row],[Salary]]&gt;90000,"Executive"))))</f>
        <v>Executive</v>
      </c>
      <c r="W38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86" s="14" t="str">
        <f>VLOOKUP(Employees_Data[[#This Row],[Department]],Departments!$A$2:$B$7,2,FALSE)</f>
        <v>D03</v>
      </c>
      <c r="Y386" s="14" t="str">
        <f>INDEX(Departments!$B$2:$B$7,MATCH(Employees_Data[[#This Row],[Department]],Departments!$A$2:$A$7,0))</f>
        <v>D03</v>
      </c>
      <c r="Z386" s="14" t="str">
        <f>INDEX(Salary_Bands!$C$2:$C$5,MATCH(Employees_Data[[#This Row],[Salary]],Salary_Bands!$A$2:$A$5,1))</f>
        <v>Executive</v>
      </c>
    </row>
    <row r="387" spans="1:26" hidden="1" x14ac:dyDescent="0.3">
      <c r="A387" t="s">
        <v>835</v>
      </c>
      <c r="B387" t="s">
        <v>836</v>
      </c>
      <c r="C387" t="s">
        <v>22</v>
      </c>
      <c r="D387" s="12">
        <v>39</v>
      </c>
      <c r="E387" t="s">
        <v>41</v>
      </c>
      <c r="F387" t="s">
        <v>42</v>
      </c>
      <c r="G387" t="s">
        <v>47</v>
      </c>
      <c r="H387">
        <v>16</v>
      </c>
      <c r="I387" s="1">
        <v>44153</v>
      </c>
      <c r="J387" s="10">
        <v>26861</v>
      </c>
      <c r="K387" s="10">
        <v>14116</v>
      </c>
      <c r="L387">
        <v>1</v>
      </c>
      <c r="M387" t="s">
        <v>26</v>
      </c>
      <c r="N387" t="s">
        <v>37</v>
      </c>
      <c r="O387" t="s">
        <v>28</v>
      </c>
      <c r="P387" t="s">
        <v>29</v>
      </c>
      <c r="Q387">
        <v>36</v>
      </c>
      <c r="R387">
        <v>5</v>
      </c>
      <c r="S387">
        <v>10</v>
      </c>
      <c r="T387" t="s">
        <v>30</v>
      </c>
      <c r="U387" t="str">
        <f>IF(AND(Employees_Data[[#This Row],[Age]]&gt;=20,Employees_Data[[#This Row],[Age]]&lt;=30),"Young",IF(AND(Employees_Data[[#This Row],[Age]]&gt;=31,Employees_Data[[#This Row],[Age]]&lt;=40),"Mid-Age",IF(Employees_Data[[#This Row],[Age]]&gt;=41,"Senior")))</f>
        <v>Mid-Age</v>
      </c>
      <c r="V387" t="str">
        <f>IF(Employees_Data[[#This Row],[Salary]]&lt;=30000,"Low",IF(AND(Employees_Data[[#This Row],[Salary]]&gt;30000,Employees_Data[[#This Row],[Salary]]&lt;=60000),"Medium",IF(AND(Employees_Data[[#This Row],[Salary]]&gt;60000,Employees_Data[[#This Row],[Salary]]&lt;=90000),"High",IF(Employees_Data[[#This Row],[Salary]]&gt;90000,"Executive"))))</f>
        <v>Low</v>
      </c>
      <c r="W38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87" s="14" t="str">
        <f>VLOOKUP(Employees_Data[[#This Row],[Department]],Departments!$A$2:$B$7,2,FALSE)</f>
        <v>D03</v>
      </c>
      <c r="Y387" s="14" t="str">
        <f>INDEX(Departments!$B$2:$B$7,MATCH(Employees_Data[[#This Row],[Department]],Departments!$A$2:$A$7,0))</f>
        <v>D03</v>
      </c>
      <c r="Z387" s="14" t="str">
        <f>INDEX(Salary_Bands!$C$2:$C$5,MATCH(Employees_Data[[#This Row],[Salary]],Salary_Bands!$A$2:$A$5,1))</f>
        <v>Low</v>
      </c>
    </row>
    <row r="388" spans="1:26" hidden="1" x14ac:dyDescent="0.3">
      <c r="A388" t="s">
        <v>837</v>
      </c>
      <c r="B388" t="s">
        <v>838</v>
      </c>
      <c r="C388" t="s">
        <v>40</v>
      </c>
      <c r="D388" s="12">
        <v>43</v>
      </c>
      <c r="E388" t="s">
        <v>33</v>
      </c>
      <c r="F388" t="s">
        <v>118</v>
      </c>
      <c r="G388" t="s">
        <v>35</v>
      </c>
      <c r="H388">
        <v>22</v>
      </c>
      <c r="I388" s="1">
        <v>43695</v>
      </c>
      <c r="J388" s="10">
        <v>103059</v>
      </c>
      <c r="K388" s="10">
        <v>23648</v>
      </c>
      <c r="L388">
        <v>2</v>
      </c>
      <c r="M388" t="s">
        <v>36</v>
      </c>
      <c r="N388" t="s">
        <v>48</v>
      </c>
      <c r="O388" t="s">
        <v>28</v>
      </c>
      <c r="P388" t="s">
        <v>29</v>
      </c>
      <c r="Q388">
        <v>18</v>
      </c>
      <c r="R388">
        <v>18</v>
      </c>
      <c r="S388">
        <v>8</v>
      </c>
      <c r="T388" t="s">
        <v>30</v>
      </c>
      <c r="U388" t="str">
        <f>IF(AND(Employees_Data[[#This Row],[Age]]&gt;=20,Employees_Data[[#This Row],[Age]]&lt;=30),"Young",IF(AND(Employees_Data[[#This Row],[Age]]&gt;=31,Employees_Data[[#This Row],[Age]]&lt;=40),"Mid-Age",IF(Employees_Data[[#This Row],[Age]]&gt;=41,"Senior")))</f>
        <v>Senior</v>
      </c>
      <c r="V388" t="str">
        <f>IF(Employees_Data[[#This Row],[Salary]]&lt;=30000,"Low",IF(AND(Employees_Data[[#This Row],[Salary]]&gt;30000,Employees_Data[[#This Row],[Salary]]&lt;=60000),"Medium",IF(AND(Employees_Data[[#This Row],[Salary]]&gt;60000,Employees_Data[[#This Row],[Salary]]&lt;=90000),"High",IF(Employees_Data[[#This Row],[Salary]]&gt;90000,"Executive"))))</f>
        <v>Executive</v>
      </c>
      <c r="W38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88" s="14" t="str">
        <f>VLOOKUP(Employees_Data[[#This Row],[Department]],Departments!$A$2:$B$7,2,FALSE)</f>
        <v>D05</v>
      </c>
      <c r="Y388" s="14" t="str">
        <f>INDEX(Departments!$B$2:$B$7,MATCH(Employees_Data[[#This Row],[Department]],Departments!$A$2:$A$7,0))</f>
        <v>D05</v>
      </c>
      <c r="Z388" s="14" t="str">
        <f>INDEX(Salary_Bands!$C$2:$C$5,MATCH(Employees_Data[[#This Row],[Salary]],Salary_Bands!$A$2:$A$5,1))</f>
        <v>Executive</v>
      </c>
    </row>
    <row r="389" spans="1:26" hidden="1" x14ac:dyDescent="0.3">
      <c r="A389" t="s">
        <v>839</v>
      </c>
      <c r="B389" t="s">
        <v>840</v>
      </c>
      <c r="C389" t="s">
        <v>40</v>
      </c>
      <c r="D389" s="12">
        <v>25</v>
      </c>
      <c r="E389" t="s">
        <v>23</v>
      </c>
      <c r="F389" t="s">
        <v>100</v>
      </c>
      <c r="G389" t="s">
        <v>47</v>
      </c>
      <c r="H389">
        <v>0</v>
      </c>
      <c r="I389" s="1">
        <v>44183</v>
      </c>
      <c r="J389" s="10">
        <v>124022</v>
      </c>
      <c r="K389" s="10">
        <v>19449</v>
      </c>
      <c r="L389">
        <v>1</v>
      </c>
      <c r="M389" t="s">
        <v>26</v>
      </c>
      <c r="N389" t="s">
        <v>58</v>
      </c>
      <c r="O389" t="s">
        <v>28</v>
      </c>
      <c r="P389" t="s">
        <v>28</v>
      </c>
      <c r="Q389">
        <v>35</v>
      </c>
      <c r="R389">
        <v>8</v>
      </c>
      <c r="S389">
        <v>1</v>
      </c>
      <c r="T389" t="s">
        <v>30</v>
      </c>
      <c r="U389" t="str">
        <f>IF(AND(Employees_Data[[#This Row],[Age]]&gt;=20,Employees_Data[[#This Row],[Age]]&lt;=30),"Young",IF(AND(Employees_Data[[#This Row],[Age]]&gt;=31,Employees_Data[[#This Row],[Age]]&lt;=40),"Mid-Age",IF(Employees_Data[[#This Row],[Age]]&gt;=41,"Senior")))</f>
        <v>Young</v>
      </c>
      <c r="V389" t="str">
        <f>IF(Employees_Data[[#This Row],[Salary]]&lt;=30000,"Low",IF(AND(Employees_Data[[#This Row],[Salary]]&gt;30000,Employees_Data[[#This Row],[Salary]]&lt;=60000),"Medium",IF(AND(Employees_Data[[#This Row],[Salary]]&gt;60000,Employees_Data[[#This Row],[Salary]]&lt;=90000),"High",IF(Employees_Data[[#This Row],[Salary]]&gt;90000,"Executive"))))</f>
        <v>Executive</v>
      </c>
      <c r="W38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89" s="14" t="str">
        <f>VLOOKUP(Employees_Data[[#This Row],[Department]],Departments!$A$2:$B$7,2,FALSE)</f>
        <v>D06</v>
      </c>
      <c r="Y389" s="14" t="str">
        <f>INDEX(Departments!$B$2:$B$7,MATCH(Employees_Data[[#This Row],[Department]],Departments!$A$2:$A$7,0))</f>
        <v>D06</v>
      </c>
      <c r="Z389" s="14" t="str">
        <f>INDEX(Salary_Bands!$C$2:$C$5,MATCH(Employees_Data[[#This Row],[Salary]],Salary_Bands!$A$2:$A$5,1))</f>
        <v>Executive</v>
      </c>
    </row>
    <row r="390" spans="1:26" hidden="1" x14ac:dyDescent="0.3">
      <c r="A390" t="s">
        <v>841</v>
      </c>
      <c r="B390" t="s">
        <v>842</v>
      </c>
      <c r="C390" t="s">
        <v>22</v>
      </c>
      <c r="D390" s="12">
        <v>49</v>
      </c>
      <c r="E390" t="s">
        <v>61</v>
      </c>
      <c r="F390" t="s">
        <v>66</v>
      </c>
      <c r="G390" t="s">
        <v>80</v>
      </c>
      <c r="H390">
        <v>28</v>
      </c>
      <c r="I390" s="1">
        <v>44283</v>
      </c>
      <c r="J390" s="10">
        <v>146532</v>
      </c>
      <c r="K390" s="10">
        <v>19409</v>
      </c>
      <c r="L390">
        <v>4</v>
      </c>
      <c r="M390" t="s">
        <v>52</v>
      </c>
      <c r="N390" t="s">
        <v>37</v>
      </c>
      <c r="O390" t="s">
        <v>28</v>
      </c>
      <c r="P390" t="s">
        <v>28</v>
      </c>
      <c r="Q390">
        <v>44</v>
      </c>
      <c r="R390">
        <v>20</v>
      </c>
      <c r="S390">
        <v>7</v>
      </c>
      <c r="T390" t="s">
        <v>30</v>
      </c>
      <c r="U390" t="str">
        <f>IF(AND(Employees_Data[[#This Row],[Age]]&gt;=20,Employees_Data[[#This Row],[Age]]&lt;=30),"Young",IF(AND(Employees_Data[[#This Row],[Age]]&gt;=31,Employees_Data[[#This Row],[Age]]&lt;=40),"Mid-Age",IF(Employees_Data[[#This Row],[Age]]&gt;=41,"Senior")))</f>
        <v>Senior</v>
      </c>
      <c r="V390" t="str">
        <f>IF(Employees_Data[[#This Row],[Salary]]&lt;=30000,"Low",IF(AND(Employees_Data[[#This Row],[Salary]]&gt;30000,Employees_Data[[#This Row],[Salary]]&lt;=60000),"Medium",IF(AND(Employees_Data[[#This Row],[Salary]]&gt;60000,Employees_Data[[#This Row],[Salary]]&lt;=90000),"High",IF(Employees_Data[[#This Row],[Salary]]&gt;90000,"Executive"))))</f>
        <v>Executive</v>
      </c>
      <c r="W39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90" s="14" t="str">
        <f>VLOOKUP(Employees_Data[[#This Row],[Department]],Departments!$A$2:$B$7,2,FALSE)</f>
        <v>D02</v>
      </c>
      <c r="Y390" s="14" t="str">
        <f>INDEX(Departments!$B$2:$B$7,MATCH(Employees_Data[[#This Row],[Department]],Departments!$A$2:$A$7,0))</f>
        <v>D02</v>
      </c>
      <c r="Z390" s="14" t="str">
        <f>INDEX(Salary_Bands!$C$2:$C$5,MATCH(Employees_Data[[#This Row],[Salary]],Salary_Bands!$A$2:$A$5,1))</f>
        <v>Executive</v>
      </c>
    </row>
    <row r="391" spans="1:26" hidden="1" x14ac:dyDescent="0.3">
      <c r="A391" t="s">
        <v>843</v>
      </c>
      <c r="B391" t="s">
        <v>844</v>
      </c>
      <c r="C391" t="s">
        <v>22</v>
      </c>
      <c r="D391" s="12">
        <v>39</v>
      </c>
      <c r="E391" t="s">
        <v>41</v>
      </c>
      <c r="F391" t="s">
        <v>232</v>
      </c>
      <c r="G391" t="s">
        <v>25</v>
      </c>
      <c r="H391">
        <v>16</v>
      </c>
      <c r="I391" s="1">
        <v>43503</v>
      </c>
      <c r="J391" s="10">
        <v>58468</v>
      </c>
      <c r="K391" s="10">
        <v>8387</v>
      </c>
      <c r="L391">
        <v>5</v>
      </c>
      <c r="M391" t="s">
        <v>52</v>
      </c>
      <c r="N391" t="s">
        <v>37</v>
      </c>
      <c r="O391" t="s">
        <v>28</v>
      </c>
      <c r="P391" t="s">
        <v>29</v>
      </c>
      <c r="Q391">
        <v>25</v>
      </c>
      <c r="R391">
        <v>17</v>
      </c>
      <c r="S391">
        <v>7</v>
      </c>
      <c r="T391" t="s">
        <v>30</v>
      </c>
      <c r="U391" t="str">
        <f>IF(AND(Employees_Data[[#This Row],[Age]]&gt;=20,Employees_Data[[#This Row],[Age]]&lt;=30),"Young",IF(AND(Employees_Data[[#This Row],[Age]]&gt;=31,Employees_Data[[#This Row],[Age]]&lt;=40),"Mid-Age",IF(Employees_Data[[#This Row],[Age]]&gt;=41,"Senior")))</f>
        <v>Mid-Age</v>
      </c>
      <c r="V391" t="str">
        <f>IF(Employees_Data[[#This Row],[Salary]]&lt;=30000,"Low",IF(AND(Employees_Data[[#This Row],[Salary]]&gt;30000,Employees_Data[[#This Row],[Salary]]&lt;=60000),"Medium",IF(AND(Employees_Data[[#This Row],[Salary]]&gt;60000,Employees_Data[[#This Row],[Salary]]&lt;=90000),"High",IF(Employees_Data[[#This Row],[Salary]]&gt;90000,"Executive"))))</f>
        <v>Medium</v>
      </c>
      <c r="W39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91" s="14" t="str">
        <f>VLOOKUP(Employees_Data[[#This Row],[Department]],Departments!$A$2:$B$7,2,FALSE)</f>
        <v>D03</v>
      </c>
      <c r="Y391" s="14" t="str">
        <f>INDEX(Departments!$B$2:$B$7,MATCH(Employees_Data[[#This Row],[Department]],Departments!$A$2:$A$7,0))</f>
        <v>D03</v>
      </c>
      <c r="Z391" s="14" t="str">
        <f>INDEX(Salary_Bands!$C$2:$C$5,MATCH(Employees_Data[[#This Row],[Salary]],Salary_Bands!$A$2:$A$5,1))</f>
        <v>Medium</v>
      </c>
    </row>
    <row r="392" spans="1:26" x14ac:dyDescent="0.3">
      <c r="A392" t="s">
        <v>845</v>
      </c>
      <c r="B392" t="s">
        <v>846</v>
      </c>
      <c r="C392" t="s">
        <v>22</v>
      </c>
      <c r="D392" s="12">
        <v>22</v>
      </c>
      <c r="E392" t="s">
        <v>56</v>
      </c>
      <c r="F392" t="s">
        <v>79</v>
      </c>
      <c r="G392" t="s">
        <v>51</v>
      </c>
      <c r="H392">
        <v>1</v>
      </c>
      <c r="I392" s="1">
        <v>43149</v>
      </c>
      <c r="J392" s="10">
        <v>78903</v>
      </c>
      <c r="K392" s="10">
        <v>10254</v>
      </c>
      <c r="L392">
        <v>1</v>
      </c>
      <c r="M392" t="s">
        <v>26</v>
      </c>
      <c r="N392" t="s">
        <v>27</v>
      </c>
      <c r="O392" s="5" t="s">
        <v>29</v>
      </c>
      <c r="P392" t="s">
        <v>29</v>
      </c>
      <c r="Q392">
        <v>44</v>
      </c>
      <c r="R392">
        <v>2</v>
      </c>
      <c r="S392">
        <v>9</v>
      </c>
      <c r="T392" t="s">
        <v>30</v>
      </c>
      <c r="U392" t="str">
        <f>IF(AND(Employees_Data[[#This Row],[Age]]&gt;=20,Employees_Data[[#This Row],[Age]]&lt;=30),"Young",IF(AND(Employees_Data[[#This Row],[Age]]&gt;=31,Employees_Data[[#This Row],[Age]]&lt;=40),"Mid-Age",IF(Employees_Data[[#This Row],[Age]]&gt;=41,"Senior")))</f>
        <v>Young</v>
      </c>
      <c r="V392" t="str">
        <f>IF(Employees_Data[[#This Row],[Salary]]&lt;=30000,"Low",IF(AND(Employees_Data[[#This Row],[Salary]]&gt;30000,Employees_Data[[#This Row],[Salary]]&lt;=60000),"Medium",IF(AND(Employees_Data[[#This Row],[Salary]]&gt;60000,Employees_Data[[#This Row],[Salary]]&lt;=90000),"High",IF(Employees_Data[[#This Row],[Salary]]&gt;90000,"Executive"))))</f>
        <v>High</v>
      </c>
      <c r="W39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392" s="14" t="str">
        <f>VLOOKUP(Employees_Data[[#This Row],[Department]],Departments!$A$2:$B$7,2,FALSE)</f>
        <v>D01</v>
      </c>
      <c r="Y392" s="14" t="str">
        <f>INDEX(Departments!$B$2:$B$7,MATCH(Employees_Data[[#This Row],[Department]],Departments!$A$2:$A$7,0))</f>
        <v>D01</v>
      </c>
      <c r="Z392" s="14" t="str">
        <f>INDEX(Salary_Bands!$C$2:$C$5,MATCH(Employees_Data[[#This Row],[Salary]],Salary_Bands!$A$2:$A$5,1))</f>
        <v>High</v>
      </c>
    </row>
    <row r="393" spans="1:26" hidden="1" x14ac:dyDescent="0.3">
      <c r="A393" t="s">
        <v>847</v>
      </c>
      <c r="B393" t="s">
        <v>848</v>
      </c>
      <c r="C393" t="s">
        <v>22</v>
      </c>
      <c r="D393" s="12">
        <v>35</v>
      </c>
      <c r="E393" t="s">
        <v>56</v>
      </c>
      <c r="F393" t="s">
        <v>79</v>
      </c>
      <c r="G393" t="s">
        <v>80</v>
      </c>
      <c r="H393">
        <v>10</v>
      </c>
      <c r="I393" s="1">
        <v>43599</v>
      </c>
      <c r="J393" s="10">
        <v>117808</v>
      </c>
      <c r="K393" s="10">
        <v>24795</v>
      </c>
      <c r="L393">
        <v>1</v>
      </c>
      <c r="M393" t="s">
        <v>26</v>
      </c>
      <c r="N393" t="s">
        <v>37</v>
      </c>
      <c r="O393" t="s">
        <v>28</v>
      </c>
      <c r="P393" t="s">
        <v>28</v>
      </c>
      <c r="Q393">
        <v>34</v>
      </c>
      <c r="R393">
        <v>2</v>
      </c>
      <c r="S393">
        <v>2</v>
      </c>
      <c r="T393" t="s">
        <v>43</v>
      </c>
      <c r="U393" t="str">
        <f>IF(AND(Employees_Data[[#This Row],[Age]]&gt;=20,Employees_Data[[#This Row],[Age]]&lt;=30),"Young",IF(AND(Employees_Data[[#This Row],[Age]]&gt;=31,Employees_Data[[#This Row],[Age]]&lt;=40),"Mid-Age",IF(Employees_Data[[#This Row],[Age]]&gt;=41,"Senior")))</f>
        <v>Mid-Age</v>
      </c>
      <c r="V393" t="str">
        <f>IF(Employees_Data[[#This Row],[Salary]]&lt;=30000,"Low",IF(AND(Employees_Data[[#This Row],[Salary]]&gt;30000,Employees_Data[[#This Row],[Salary]]&lt;=60000),"Medium",IF(AND(Employees_Data[[#This Row],[Salary]]&gt;60000,Employees_Data[[#This Row],[Salary]]&lt;=90000),"High",IF(Employees_Data[[#This Row],[Salary]]&gt;90000,"Executive"))))</f>
        <v>Executive</v>
      </c>
      <c r="W39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93" s="14" t="str">
        <f>VLOOKUP(Employees_Data[[#This Row],[Department]],Departments!$A$2:$B$7,2,FALSE)</f>
        <v>D01</v>
      </c>
      <c r="Y393" s="14" t="str">
        <f>INDEX(Departments!$B$2:$B$7,MATCH(Employees_Data[[#This Row],[Department]],Departments!$A$2:$A$7,0))</f>
        <v>D01</v>
      </c>
      <c r="Z393" s="14" t="str">
        <f>INDEX(Salary_Bands!$C$2:$C$5,MATCH(Employees_Data[[#This Row],[Salary]],Salary_Bands!$A$2:$A$5,1))</f>
        <v>Executive</v>
      </c>
    </row>
    <row r="394" spans="1:26" hidden="1" x14ac:dyDescent="0.3">
      <c r="A394" t="s">
        <v>849</v>
      </c>
      <c r="B394" t="s">
        <v>850</v>
      </c>
      <c r="C394" t="s">
        <v>40</v>
      </c>
      <c r="D394" s="12">
        <v>39</v>
      </c>
      <c r="E394" t="s">
        <v>23</v>
      </c>
      <c r="F394" t="s">
        <v>100</v>
      </c>
      <c r="G394" t="s">
        <v>51</v>
      </c>
      <c r="H394">
        <v>15</v>
      </c>
      <c r="I394" s="1">
        <v>44425</v>
      </c>
      <c r="J394" s="10">
        <v>58729</v>
      </c>
      <c r="K394" s="10">
        <v>3968</v>
      </c>
      <c r="L394">
        <v>2</v>
      </c>
      <c r="M394" t="s">
        <v>36</v>
      </c>
      <c r="N394" t="s">
        <v>63</v>
      </c>
      <c r="O394" t="s">
        <v>28</v>
      </c>
      <c r="P394" t="s">
        <v>28</v>
      </c>
      <c r="Q394">
        <v>16</v>
      </c>
      <c r="R394">
        <v>14</v>
      </c>
      <c r="S394">
        <v>2</v>
      </c>
      <c r="T394" t="s">
        <v>43</v>
      </c>
      <c r="U394" t="str">
        <f>IF(AND(Employees_Data[[#This Row],[Age]]&gt;=20,Employees_Data[[#This Row],[Age]]&lt;=30),"Young",IF(AND(Employees_Data[[#This Row],[Age]]&gt;=31,Employees_Data[[#This Row],[Age]]&lt;=40),"Mid-Age",IF(Employees_Data[[#This Row],[Age]]&gt;=41,"Senior")))</f>
        <v>Mid-Age</v>
      </c>
      <c r="V394" t="str">
        <f>IF(Employees_Data[[#This Row],[Salary]]&lt;=30000,"Low",IF(AND(Employees_Data[[#This Row],[Salary]]&gt;30000,Employees_Data[[#This Row],[Salary]]&lt;=60000),"Medium",IF(AND(Employees_Data[[#This Row],[Salary]]&gt;60000,Employees_Data[[#This Row],[Salary]]&lt;=90000),"High",IF(Employees_Data[[#This Row],[Salary]]&gt;90000,"Executive"))))</f>
        <v>Medium</v>
      </c>
      <c r="W39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94" s="14" t="str">
        <f>VLOOKUP(Employees_Data[[#This Row],[Department]],Departments!$A$2:$B$7,2,FALSE)</f>
        <v>D06</v>
      </c>
      <c r="Y394" s="14" t="str">
        <f>INDEX(Departments!$B$2:$B$7,MATCH(Employees_Data[[#This Row],[Department]],Departments!$A$2:$A$7,0))</f>
        <v>D06</v>
      </c>
      <c r="Z394" s="14" t="str">
        <f>INDEX(Salary_Bands!$C$2:$C$5,MATCH(Employees_Data[[#This Row],[Salary]],Salary_Bands!$A$2:$A$5,1))</f>
        <v>Medium</v>
      </c>
    </row>
    <row r="395" spans="1:26" x14ac:dyDescent="0.3">
      <c r="A395" t="s">
        <v>851</v>
      </c>
      <c r="B395" t="s">
        <v>852</v>
      </c>
      <c r="C395" t="s">
        <v>22</v>
      </c>
      <c r="D395" s="12">
        <v>34</v>
      </c>
      <c r="E395" t="s">
        <v>56</v>
      </c>
      <c r="F395" t="s">
        <v>125</v>
      </c>
      <c r="G395" t="s">
        <v>25</v>
      </c>
      <c r="H395">
        <v>9</v>
      </c>
      <c r="I395" s="1">
        <v>44709</v>
      </c>
      <c r="J395" s="10">
        <v>48388</v>
      </c>
      <c r="K395" s="10">
        <v>23080</v>
      </c>
      <c r="L395">
        <v>4</v>
      </c>
      <c r="M395" t="s">
        <v>26</v>
      </c>
      <c r="N395" t="s">
        <v>58</v>
      </c>
      <c r="O395" s="5" t="s">
        <v>29</v>
      </c>
      <c r="P395" t="s">
        <v>28</v>
      </c>
      <c r="Q395">
        <v>11</v>
      </c>
      <c r="R395">
        <v>1</v>
      </c>
      <c r="S395">
        <v>2</v>
      </c>
      <c r="T395" t="s">
        <v>30</v>
      </c>
      <c r="U395" t="str">
        <f>IF(AND(Employees_Data[[#This Row],[Age]]&gt;=20,Employees_Data[[#This Row],[Age]]&lt;=30),"Young",IF(AND(Employees_Data[[#This Row],[Age]]&gt;=31,Employees_Data[[#This Row],[Age]]&lt;=40),"Mid-Age",IF(Employees_Data[[#This Row],[Age]]&gt;=41,"Senior")))</f>
        <v>Mid-Age</v>
      </c>
      <c r="V395" t="str">
        <f>IF(Employees_Data[[#This Row],[Salary]]&lt;=30000,"Low",IF(AND(Employees_Data[[#This Row],[Salary]]&gt;30000,Employees_Data[[#This Row],[Salary]]&lt;=60000),"Medium",IF(AND(Employees_Data[[#This Row],[Salary]]&gt;60000,Employees_Data[[#This Row],[Salary]]&lt;=90000),"High",IF(Employees_Data[[#This Row],[Salary]]&gt;90000,"Executive"))))</f>
        <v>Medium</v>
      </c>
      <c r="W39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395" s="14" t="str">
        <f>VLOOKUP(Employees_Data[[#This Row],[Department]],Departments!$A$2:$B$7,2,FALSE)</f>
        <v>D01</v>
      </c>
      <c r="Y395" s="14" t="str">
        <f>INDEX(Departments!$B$2:$B$7,MATCH(Employees_Data[[#This Row],[Department]],Departments!$A$2:$A$7,0))</f>
        <v>D01</v>
      </c>
      <c r="Z395" s="14" t="str">
        <f>INDEX(Salary_Bands!$C$2:$C$5,MATCH(Employees_Data[[#This Row],[Salary]],Salary_Bands!$A$2:$A$5,1))</f>
        <v>Medium</v>
      </c>
    </row>
    <row r="396" spans="1:26" hidden="1" x14ac:dyDescent="0.3">
      <c r="A396" t="s">
        <v>853</v>
      </c>
      <c r="B396" t="s">
        <v>854</v>
      </c>
      <c r="C396" t="s">
        <v>22</v>
      </c>
      <c r="D396" s="12">
        <v>38</v>
      </c>
      <c r="E396" t="s">
        <v>56</v>
      </c>
      <c r="F396" t="s">
        <v>57</v>
      </c>
      <c r="G396" t="s">
        <v>47</v>
      </c>
      <c r="H396">
        <v>14</v>
      </c>
      <c r="I396" s="1">
        <v>43177</v>
      </c>
      <c r="J396" s="10">
        <v>142507</v>
      </c>
      <c r="K396" s="10">
        <v>10730</v>
      </c>
      <c r="L396">
        <v>4</v>
      </c>
      <c r="M396" t="s">
        <v>26</v>
      </c>
      <c r="N396" t="s">
        <v>48</v>
      </c>
      <c r="O396" t="s">
        <v>28</v>
      </c>
      <c r="P396" t="s">
        <v>28</v>
      </c>
      <c r="Q396">
        <v>30</v>
      </c>
      <c r="R396">
        <v>18</v>
      </c>
      <c r="S396">
        <v>3</v>
      </c>
      <c r="T396" t="s">
        <v>43</v>
      </c>
      <c r="U396" t="str">
        <f>IF(AND(Employees_Data[[#This Row],[Age]]&gt;=20,Employees_Data[[#This Row],[Age]]&lt;=30),"Young",IF(AND(Employees_Data[[#This Row],[Age]]&gt;=31,Employees_Data[[#This Row],[Age]]&lt;=40),"Mid-Age",IF(Employees_Data[[#This Row],[Age]]&gt;=41,"Senior")))</f>
        <v>Mid-Age</v>
      </c>
      <c r="V396" t="str">
        <f>IF(Employees_Data[[#This Row],[Salary]]&lt;=30000,"Low",IF(AND(Employees_Data[[#This Row],[Salary]]&gt;30000,Employees_Data[[#This Row],[Salary]]&lt;=60000),"Medium",IF(AND(Employees_Data[[#This Row],[Salary]]&gt;60000,Employees_Data[[#This Row],[Salary]]&lt;=90000),"High",IF(Employees_Data[[#This Row],[Salary]]&gt;90000,"Executive"))))</f>
        <v>Executive</v>
      </c>
      <c r="W39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96" s="14" t="str">
        <f>VLOOKUP(Employees_Data[[#This Row],[Department]],Departments!$A$2:$B$7,2,FALSE)</f>
        <v>D01</v>
      </c>
      <c r="Y396" s="14" t="str">
        <f>INDEX(Departments!$B$2:$B$7,MATCH(Employees_Data[[#This Row],[Department]],Departments!$A$2:$A$7,0))</f>
        <v>D01</v>
      </c>
      <c r="Z396" s="14" t="str">
        <f>INDEX(Salary_Bands!$C$2:$C$5,MATCH(Employees_Data[[#This Row],[Salary]],Salary_Bands!$A$2:$A$5,1))</f>
        <v>Executive</v>
      </c>
    </row>
    <row r="397" spans="1:26" hidden="1" x14ac:dyDescent="0.3">
      <c r="A397" t="s">
        <v>855</v>
      </c>
      <c r="B397" t="s">
        <v>856</v>
      </c>
      <c r="C397" t="s">
        <v>40</v>
      </c>
      <c r="D397" s="12">
        <v>53</v>
      </c>
      <c r="E397" t="s">
        <v>56</v>
      </c>
      <c r="F397" t="s">
        <v>79</v>
      </c>
      <c r="G397" t="s">
        <v>80</v>
      </c>
      <c r="H397">
        <v>29</v>
      </c>
      <c r="I397" s="1">
        <v>44887</v>
      </c>
      <c r="J397" s="10">
        <v>77941</v>
      </c>
      <c r="K397" s="10">
        <v>20587</v>
      </c>
      <c r="L397">
        <v>1</v>
      </c>
      <c r="M397" t="s">
        <v>52</v>
      </c>
      <c r="N397" t="s">
        <v>37</v>
      </c>
      <c r="O397" t="s">
        <v>28</v>
      </c>
      <c r="P397" t="s">
        <v>28</v>
      </c>
      <c r="Q397">
        <v>48</v>
      </c>
      <c r="R397">
        <v>9</v>
      </c>
      <c r="S397">
        <v>9</v>
      </c>
      <c r="T397" t="s">
        <v>30</v>
      </c>
      <c r="U397" t="str">
        <f>IF(AND(Employees_Data[[#This Row],[Age]]&gt;=20,Employees_Data[[#This Row],[Age]]&lt;=30),"Young",IF(AND(Employees_Data[[#This Row],[Age]]&gt;=31,Employees_Data[[#This Row],[Age]]&lt;=40),"Mid-Age",IF(Employees_Data[[#This Row],[Age]]&gt;=41,"Senior")))</f>
        <v>Senior</v>
      </c>
      <c r="V397" t="str">
        <f>IF(Employees_Data[[#This Row],[Salary]]&lt;=30000,"Low",IF(AND(Employees_Data[[#This Row],[Salary]]&gt;30000,Employees_Data[[#This Row],[Salary]]&lt;=60000),"Medium",IF(AND(Employees_Data[[#This Row],[Salary]]&gt;60000,Employees_Data[[#This Row],[Salary]]&lt;=90000),"High",IF(Employees_Data[[#This Row],[Salary]]&gt;90000,"Executive"))))</f>
        <v>High</v>
      </c>
      <c r="W39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97" s="14" t="str">
        <f>VLOOKUP(Employees_Data[[#This Row],[Department]],Departments!$A$2:$B$7,2,FALSE)</f>
        <v>D01</v>
      </c>
      <c r="Y397" s="14" t="str">
        <f>INDEX(Departments!$B$2:$B$7,MATCH(Employees_Data[[#This Row],[Department]],Departments!$A$2:$A$7,0))</f>
        <v>D01</v>
      </c>
      <c r="Z397" s="14" t="str">
        <f>INDEX(Salary_Bands!$C$2:$C$5,MATCH(Employees_Data[[#This Row],[Salary]],Salary_Bands!$A$2:$A$5,1))</f>
        <v>High</v>
      </c>
    </row>
    <row r="398" spans="1:26" hidden="1" x14ac:dyDescent="0.3">
      <c r="A398" t="s">
        <v>857</v>
      </c>
      <c r="B398" t="s">
        <v>858</v>
      </c>
      <c r="C398" t="s">
        <v>40</v>
      </c>
      <c r="D398" s="12">
        <v>27</v>
      </c>
      <c r="E398" t="s">
        <v>87</v>
      </c>
      <c r="F398" t="s">
        <v>91</v>
      </c>
      <c r="G398" t="s">
        <v>35</v>
      </c>
      <c r="H398">
        <v>4</v>
      </c>
      <c r="I398" s="1">
        <v>45290</v>
      </c>
      <c r="J398" s="10">
        <v>136849</v>
      </c>
      <c r="K398" s="10">
        <v>7787</v>
      </c>
      <c r="L398">
        <v>3</v>
      </c>
      <c r="M398" t="s">
        <v>52</v>
      </c>
      <c r="N398" t="s">
        <v>27</v>
      </c>
      <c r="O398" t="s">
        <v>28</v>
      </c>
      <c r="P398" t="s">
        <v>28</v>
      </c>
      <c r="Q398">
        <v>47</v>
      </c>
      <c r="R398">
        <v>6</v>
      </c>
      <c r="S398">
        <v>2</v>
      </c>
      <c r="T398" t="s">
        <v>30</v>
      </c>
      <c r="U398" t="str">
        <f>IF(AND(Employees_Data[[#This Row],[Age]]&gt;=20,Employees_Data[[#This Row],[Age]]&lt;=30),"Young",IF(AND(Employees_Data[[#This Row],[Age]]&gt;=31,Employees_Data[[#This Row],[Age]]&lt;=40),"Mid-Age",IF(Employees_Data[[#This Row],[Age]]&gt;=41,"Senior")))</f>
        <v>Young</v>
      </c>
      <c r="V398" t="str">
        <f>IF(Employees_Data[[#This Row],[Salary]]&lt;=30000,"Low",IF(AND(Employees_Data[[#This Row],[Salary]]&gt;30000,Employees_Data[[#This Row],[Salary]]&lt;=60000),"Medium",IF(AND(Employees_Data[[#This Row],[Salary]]&gt;60000,Employees_Data[[#This Row],[Salary]]&lt;=90000),"High",IF(Employees_Data[[#This Row],[Salary]]&gt;90000,"Executive"))))</f>
        <v>Executive</v>
      </c>
      <c r="W39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398" s="14" t="str">
        <f>VLOOKUP(Employees_Data[[#This Row],[Department]],Departments!$A$2:$B$7,2,FALSE)</f>
        <v>D04</v>
      </c>
      <c r="Y398" s="14" t="str">
        <f>INDEX(Departments!$B$2:$B$7,MATCH(Employees_Data[[#This Row],[Department]],Departments!$A$2:$A$7,0))</f>
        <v>D04</v>
      </c>
      <c r="Z398" s="14" t="str">
        <f>INDEX(Salary_Bands!$C$2:$C$5,MATCH(Employees_Data[[#This Row],[Salary]],Salary_Bands!$A$2:$A$5,1))</f>
        <v>Executive</v>
      </c>
    </row>
    <row r="399" spans="1:26" hidden="1" x14ac:dyDescent="0.3">
      <c r="A399" t="s">
        <v>859</v>
      </c>
      <c r="B399" t="s">
        <v>860</v>
      </c>
      <c r="C399" t="s">
        <v>22</v>
      </c>
      <c r="D399" s="12">
        <v>46</v>
      </c>
      <c r="E399" t="s">
        <v>41</v>
      </c>
      <c r="F399" t="s">
        <v>69</v>
      </c>
      <c r="G399" t="s">
        <v>80</v>
      </c>
      <c r="H399">
        <v>25</v>
      </c>
      <c r="I399" s="1">
        <v>44572</v>
      </c>
      <c r="J399" s="10">
        <v>88766</v>
      </c>
      <c r="K399" s="10">
        <v>21429</v>
      </c>
      <c r="L399">
        <v>1</v>
      </c>
      <c r="M399" t="s">
        <v>26</v>
      </c>
      <c r="N399" t="s">
        <v>58</v>
      </c>
      <c r="O399" t="s">
        <v>28</v>
      </c>
      <c r="P399" t="s">
        <v>28</v>
      </c>
      <c r="Q399">
        <v>9</v>
      </c>
      <c r="R399">
        <v>17</v>
      </c>
      <c r="S399">
        <v>8</v>
      </c>
      <c r="T399" t="s">
        <v>43</v>
      </c>
      <c r="U399" t="str">
        <f>IF(AND(Employees_Data[[#This Row],[Age]]&gt;=20,Employees_Data[[#This Row],[Age]]&lt;=30),"Young",IF(AND(Employees_Data[[#This Row],[Age]]&gt;=31,Employees_Data[[#This Row],[Age]]&lt;=40),"Mid-Age",IF(Employees_Data[[#This Row],[Age]]&gt;=41,"Senior")))</f>
        <v>Senior</v>
      </c>
      <c r="V399" t="str">
        <f>IF(Employees_Data[[#This Row],[Salary]]&lt;=30000,"Low",IF(AND(Employees_Data[[#This Row],[Salary]]&gt;30000,Employees_Data[[#This Row],[Salary]]&lt;=60000),"Medium",IF(AND(Employees_Data[[#This Row],[Salary]]&gt;60000,Employees_Data[[#This Row],[Salary]]&lt;=90000),"High",IF(Employees_Data[[#This Row],[Salary]]&gt;90000,"Executive"))))</f>
        <v>High</v>
      </c>
      <c r="W39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399" s="14" t="str">
        <f>VLOOKUP(Employees_Data[[#This Row],[Department]],Departments!$A$2:$B$7,2,FALSE)</f>
        <v>D03</v>
      </c>
      <c r="Y399" s="14" t="str">
        <f>INDEX(Departments!$B$2:$B$7,MATCH(Employees_Data[[#This Row],[Department]],Departments!$A$2:$A$7,0))</f>
        <v>D03</v>
      </c>
      <c r="Z399" s="14" t="str">
        <f>INDEX(Salary_Bands!$C$2:$C$5,MATCH(Employees_Data[[#This Row],[Salary]],Salary_Bands!$A$2:$A$5,1))</f>
        <v>High</v>
      </c>
    </row>
    <row r="400" spans="1:26" x14ac:dyDescent="0.3">
      <c r="A400" t="s">
        <v>861</v>
      </c>
      <c r="B400" t="s">
        <v>862</v>
      </c>
      <c r="C400" t="s">
        <v>22</v>
      </c>
      <c r="D400" s="12">
        <v>53</v>
      </c>
      <c r="E400" t="s">
        <v>23</v>
      </c>
      <c r="F400" t="s">
        <v>100</v>
      </c>
      <c r="G400" t="s">
        <v>47</v>
      </c>
      <c r="H400">
        <v>28</v>
      </c>
      <c r="I400" s="1">
        <v>44941</v>
      </c>
      <c r="J400" s="10">
        <v>27151</v>
      </c>
      <c r="K400" s="10">
        <v>5872</v>
      </c>
      <c r="L400">
        <v>1</v>
      </c>
      <c r="M400" t="s">
        <v>26</v>
      </c>
      <c r="N400" t="s">
        <v>63</v>
      </c>
      <c r="O400" s="5" t="s">
        <v>29</v>
      </c>
      <c r="P400" t="s">
        <v>28</v>
      </c>
      <c r="Q400">
        <v>48</v>
      </c>
      <c r="R400">
        <v>17</v>
      </c>
      <c r="S400">
        <v>6</v>
      </c>
      <c r="T400" t="s">
        <v>30</v>
      </c>
      <c r="U400" t="str">
        <f>IF(AND(Employees_Data[[#This Row],[Age]]&gt;=20,Employees_Data[[#This Row],[Age]]&lt;=30),"Young",IF(AND(Employees_Data[[#This Row],[Age]]&gt;=31,Employees_Data[[#This Row],[Age]]&lt;=40),"Mid-Age",IF(Employees_Data[[#This Row],[Age]]&gt;=41,"Senior")))</f>
        <v>Senior</v>
      </c>
      <c r="V400" t="str">
        <f>IF(Employees_Data[[#This Row],[Salary]]&lt;=30000,"Low",IF(AND(Employees_Data[[#This Row],[Salary]]&gt;30000,Employees_Data[[#This Row],[Salary]]&lt;=60000),"Medium",IF(AND(Employees_Data[[#This Row],[Salary]]&gt;60000,Employees_Data[[#This Row],[Salary]]&lt;=90000),"High",IF(Employees_Data[[#This Row],[Salary]]&gt;90000,"Executive"))))</f>
        <v>Low</v>
      </c>
      <c r="W40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00" s="14" t="str">
        <f>VLOOKUP(Employees_Data[[#This Row],[Department]],Departments!$A$2:$B$7,2,FALSE)</f>
        <v>D06</v>
      </c>
      <c r="Y400" s="14" t="str">
        <f>INDEX(Departments!$B$2:$B$7,MATCH(Employees_Data[[#This Row],[Department]],Departments!$A$2:$A$7,0))</f>
        <v>D06</v>
      </c>
      <c r="Z400" s="14" t="str">
        <f>INDEX(Salary_Bands!$C$2:$C$5,MATCH(Employees_Data[[#This Row],[Salary]],Salary_Bands!$A$2:$A$5,1))</f>
        <v>Low</v>
      </c>
    </row>
    <row r="401" spans="1:26" hidden="1" x14ac:dyDescent="0.3">
      <c r="A401" t="s">
        <v>863</v>
      </c>
      <c r="B401" t="s">
        <v>864</v>
      </c>
      <c r="C401" t="s">
        <v>22</v>
      </c>
      <c r="D401" s="12">
        <v>36</v>
      </c>
      <c r="E401" t="s">
        <v>61</v>
      </c>
      <c r="F401" t="s">
        <v>66</v>
      </c>
      <c r="G401" t="s">
        <v>35</v>
      </c>
      <c r="H401">
        <v>15</v>
      </c>
      <c r="I401" s="1">
        <v>43252</v>
      </c>
      <c r="J401" s="10">
        <v>121398</v>
      </c>
      <c r="K401" s="10">
        <v>24980</v>
      </c>
      <c r="L401">
        <v>2</v>
      </c>
      <c r="M401" t="s">
        <v>52</v>
      </c>
      <c r="N401" t="s">
        <v>76</v>
      </c>
      <c r="O401" t="s">
        <v>28</v>
      </c>
      <c r="P401" t="s">
        <v>29</v>
      </c>
      <c r="Q401">
        <v>16</v>
      </c>
      <c r="R401">
        <v>20</v>
      </c>
      <c r="S401">
        <v>8</v>
      </c>
      <c r="T401" t="s">
        <v>30</v>
      </c>
      <c r="U401" t="str">
        <f>IF(AND(Employees_Data[[#This Row],[Age]]&gt;=20,Employees_Data[[#This Row],[Age]]&lt;=30),"Young",IF(AND(Employees_Data[[#This Row],[Age]]&gt;=31,Employees_Data[[#This Row],[Age]]&lt;=40),"Mid-Age",IF(Employees_Data[[#This Row],[Age]]&gt;=41,"Senior")))</f>
        <v>Mid-Age</v>
      </c>
      <c r="V401" t="str">
        <f>IF(Employees_Data[[#This Row],[Salary]]&lt;=30000,"Low",IF(AND(Employees_Data[[#This Row],[Salary]]&gt;30000,Employees_Data[[#This Row],[Salary]]&lt;=60000),"Medium",IF(AND(Employees_Data[[#This Row],[Salary]]&gt;60000,Employees_Data[[#This Row],[Salary]]&lt;=90000),"High",IF(Employees_Data[[#This Row],[Salary]]&gt;90000,"Executive"))))</f>
        <v>Executive</v>
      </c>
      <c r="W40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01" s="14" t="str">
        <f>VLOOKUP(Employees_Data[[#This Row],[Department]],Departments!$A$2:$B$7,2,FALSE)</f>
        <v>D02</v>
      </c>
      <c r="Y401" s="14" t="str">
        <f>INDEX(Departments!$B$2:$B$7,MATCH(Employees_Data[[#This Row],[Department]],Departments!$A$2:$A$7,0))</f>
        <v>D02</v>
      </c>
      <c r="Z401" s="14" t="str">
        <f>INDEX(Salary_Bands!$C$2:$C$5,MATCH(Employees_Data[[#This Row],[Salary]],Salary_Bands!$A$2:$A$5,1))</f>
        <v>Executive</v>
      </c>
    </row>
    <row r="402" spans="1:26" hidden="1" x14ac:dyDescent="0.3">
      <c r="A402" t="s">
        <v>865</v>
      </c>
      <c r="B402" t="s">
        <v>866</v>
      </c>
      <c r="C402" t="s">
        <v>40</v>
      </c>
      <c r="D402" s="12">
        <v>28</v>
      </c>
      <c r="E402" t="s">
        <v>56</v>
      </c>
      <c r="F402" t="s">
        <v>125</v>
      </c>
      <c r="G402" t="s">
        <v>25</v>
      </c>
      <c r="H402">
        <v>4</v>
      </c>
      <c r="I402" s="1">
        <v>43800</v>
      </c>
      <c r="J402" s="10">
        <v>134491</v>
      </c>
      <c r="K402" s="10">
        <v>22172</v>
      </c>
      <c r="L402">
        <v>5</v>
      </c>
      <c r="M402" t="s">
        <v>26</v>
      </c>
      <c r="N402" t="s">
        <v>27</v>
      </c>
      <c r="O402" t="s">
        <v>28</v>
      </c>
      <c r="P402" t="s">
        <v>29</v>
      </c>
      <c r="Q402">
        <v>32</v>
      </c>
      <c r="R402">
        <v>10</v>
      </c>
      <c r="S402">
        <v>2</v>
      </c>
      <c r="T402" t="s">
        <v>43</v>
      </c>
      <c r="U402" t="str">
        <f>IF(AND(Employees_Data[[#This Row],[Age]]&gt;=20,Employees_Data[[#This Row],[Age]]&lt;=30),"Young",IF(AND(Employees_Data[[#This Row],[Age]]&gt;=31,Employees_Data[[#This Row],[Age]]&lt;=40),"Mid-Age",IF(Employees_Data[[#This Row],[Age]]&gt;=41,"Senior")))</f>
        <v>Young</v>
      </c>
      <c r="V402" t="str">
        <f>IF(Employees_Data[[#This Row],[Salary]]&lt;=30000,"Low",IF(AND(Employees_Data[[#This Row],[Salary]]&gt;30000,Employees_Data[[#This Row],[Salary]]&lt;=60000),"Medium",IF(AND(Employees_Data[[#This Row],[Salary]]&gt;60000,Employees_Data[[#This Row],[Salary]]&lt;=90000),"High",IF(Employees_Data[[#This Row],[Salary]]&gt;90000,"Executive"))))</f>
        <v>Executive</v>
      </c>
      <c r="W40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402" s="14" t="str">
        <f>VLOOKUP(Employees_Data[[#This Row],[Department]],Departments!$A$2:$B$7,2,FALSE)</f>
        <v>D01</v>
      </c>
      <c r="Y402" s="14" t="str">
        <f>INDEX(Departments!$B$2:$B$7,MATCH(Employees_Data[[#This Row],[Department]],Departments!$A$2:$A$7,0))</f>
        <v>D01</v>
      </c>
      <c r="Z402" s="14" t="str">
        <f>INDEX(Salary_Bands!$C$2:$C$5,MATCH(Employees_Data[[#This Row],[Salary]],Salary_Bands!$A$2:$A$5,1))</f>
        <v>Executive</v>
      </c>
    </row>
    <row r="403" spans="1:26" x14ac:dyDescent="0.3">
      <c r="A403" t="s">
        <v>867</v>
      </c>
      <c r="B403" t="s">
        <v>868</v>
      </c>
      <c r="C403" t="s">
        <v>22</v>
      </c>
      <c r="D403" s="12">
        <v>47</v>
      </c>
      <c r="E403" t="s">
        <v>23</v>
      </c>
      <c r="F403" t="s">
        <v>109</v>
      </c>
      <c r="G403" t="s">
        <v>80</v>
      </c>
      <c r="H403">
        <v>24</v>
      </c>
      <c r="I403" s="1">
        <v>43595</v>
      </c>
      <c r="J403" s="10">
        <v>114664</v>
      </c>
      <c r="K403" s="10">
        <v>21434</v>
      </c>
      <c r="L403">
        <v>5</v>
      </c>
      <c r="M403" t="s">
        <v>26</v>
      </c>
      <c r="N403" t="s">
        <v>37</v>
      </c>
      <c r="O403" s="5" t="s">
        <v>29</v>
      </c>
      <c r="P403" t="s">
        <v>29</v>
      </c>
      <c r="Q403">
        <v>12</v>
      </c>
      <c r="R403">
        <v>8</v>
      </c>
      <c r="S403">
        <v>9</v>
      </c>
      <c r="T403" t="s">
        <v>30</v>
      </c>
      <c r="U403" t="str">
        <f>IF(AND(Employees_Data[[#This Row],[Age]]&gt;=20,Employees_Data[[#This Row],[Age]]&lt;=30),"Young",IF(AND(Employees_Data[[#This Row],[Age]]&gt;=31,Employees_Data[[#This Row],[Age]]&lt;=40),"Mid-Age",IF(Employees_Data[[#This Row],[Age]]&gt;=41,"Senior")))</f>
        <v>Senior</v>
      </c>
      <c r="V403" t="str">
        <f>IF(Employees_Data[[#This Row],[Salary]]&lt;=30000,"Low",IF(AND(Employees_Data[[#This Row],[Salary]]&gt;30000,Employees_Data[[#This Row],[Salary]]&lt;=60000),"Medium",IF(AND(Employees_Data[[#This Row],[Salary]]&gt;60000,Employees_Data[[#This Row],[Salary]]&lt;=90000),"High",IF(Employees_Data[[#This Row],[Salary]]&gt;90000,"Executive"))))</f>
        <v>Executive</v>
      </c>
      <c r="W40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03" s="14" t="str">
        <f>VLOOKUP(Employees_Data[[#This Row],[Department]],Departments!$A$2:$B$7,2,FALSE)</f>
        <v>D06</v>
      </c>
      <c r="Y403" s="14" t="str">
        <f>INDEX(Departments!$B$2:$B$7,MATCH(Employees_Data[[#This Row],[Department]],Departments!$A$2:$A$7,0))</f>
        <v>D06</v>
      </c>
      <c r="Z403" s="14" t="str">
        <f>INDEX(Salary_Bands!$C$2:$C$5,MATCH(Employees_Data[[#This Row],[Salary]],Salary_Bands!$A$2:$A$5,1))</f>
        <v>Executive</v>
      </c>
    </row>
    <row r="404" spans="1:26" hidden="1" x14ac:dyDescent="0.3">
      <c r="A404" t="s">
        <v>869</v>
      </c>
      <c r="B404" t="s">
        <v>870</v>
      </c>
      <c r="C404" t="s">
        <v>22</v>
      </c>
      <c r="D404" s="12">
        <v>32</v>
      </c>
      <c r="E404" t="s">
        <v>61</v>
      </c>
      <c r="F404" t="s">
        <v>229</v>
      </c>
      <c r="G404" t="s">
        <v>80</v>
      </c>
      <c r="H404">
        <v>6</v>
      </c>
      <c r="I404" s="1">
        <v>44616</v>
      </c>
      <c r="J404" s="10">
        <v>97536</v>
      </c>
      <c r="K404" s="10">
        <v>22715</v>
      </c>
      <c r="L404">
        <v>2</v>
      </c>
      <c r="M404" t="s">
        <v>52</v>
      </c>
      <c r="N404" t="s">
        <v>58</v>
      </c>
      <c r="O404" t="s">
        <v>28</v>
      </c>
      <c r="P404" t="s">
        <v>29</v>
      </c>
      <c r="Q404">
        <v>6</v>
      </c>
      <c r="R404">
        <v>15</v>
      </c>
      <c r="S404">
        <v>8</v>
      </c>
      <c r="T404" t="s">
        <v>30</v>
      </c>
      <c r="U404" t="str">
        <f>IF(AND(Employees_Data[[#This Row],[Age]]&gt;=20,Employees_Data[[#This Row],[Age]]&lt;=30),"Young",IF(AND(Employees_Data[[#This Row],[Age]]&gt;=31,Employees_Data[[#This Row],[Age]]&lt;=40),"Mid-Age",IF(Employees_Data[[#This Row],[Age]]&gt;=41,"Senior")))</f>
        <v>Mid-Age</v>
      </c>
      <c r="V404" t="str">
        <f>IF(Employees_Data[[#This Row],[Salary]]&lt;=30000,"Low",IF(AND(Employees_Data[[#This Row],[Salary]]&gt;30000,Employees_Data[[#This Row],[Salary]]&lt;=60000),"Medium",IF(AND(Employees_Data[[#This Row],[Salary]]&gt;60000,Employees_Data[[#This Row],[Salary]]&lt;=90000),"High",IF(Employees_Data[[#This Row],[Salary]]&gt;90000,"Executive"))))</f>
        <v>Executive</v>
      </c>
      <c r="W40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04" s="14" t="str">
        <f>VLOOKUP(Employees_Data[[#This Row],[Department]],Departments!$A$2:$B$7,2,FALSE)</f>
        <v>D02</v>
      </c>
      <c r="Y404" s="14" t="str">
        <f>INDEX(Departments!$B$2:$B$7,MATCH(Employees_Data[[#This Row],[Department]],Departments!$A$2:$A$7,0))</f>
        <v>D02</v>
      </c>
      <c r="Z404" s="14" t="str">
        <f>INDEX(Salary_Bands!$C$2:$C$5,MATCH(Employees_Data[[#This Row],[Salary]],Salary_Bands!$A$2:$A$5,1))</f>
        <v>Executive</v>
      </c>
    </row>
    <row r="405" spans="1:26" hidden="1" x14ac:dyDescent="0.3">
      <c r="A405" t="s">
        <v>871</v>
      </c>
      <c r="B405" t="s">
        <v>872</v>
      </c>
      <c r="C405" t="s">
        <v>40</v>
      </c>
      <c r="D405" s="12">
        <v>22</v>
      </c>
      <c r="E405" t="s">
        <v>56</v>
      </c>
      <c r="F405" t="s">
        <v>57</v>
      </c>
      <c r="G405" t="s">
        <v>35</v>
      </c>
      <c r="H405">
        <v>0</v>
      </c>
      <c r="I405" s="1">
        <v>43466</v>
      </c>
      <c r="J405" s="10">
        <v>117633</v>
      </c>
      <c r="K405" s="10">
        <v>8755</v>
      </c>
      <c r="L405">
        <v>5</v>
      </c>
      <c r="M405" t="s">
        <v>26</v>
      </c>
      <c r="N405" t="s">
        <v>48</v>
      </c>
      <c r="O405" t="s">
        <v>28</v>
      </c>
      <c r="P405" t="s">
        <v>28</v>
      </c>
      <c r="Q405">
        <v>38</v>
      </c>
      <c r="R405">
        <v>14</v>
      </c>
      <c r="S405">
        <v>5</v>
      </c>
      <c r="T405" t="s">
        <v>30</v>
      </c>
      <c r="U405" t="str">
        <f>IF(AND(Employees_Data[[#This Row],[Age]]&gt;=20,Employees_Data[[#This Row],[Age]]&lt;=30),"Young",IF(AND(Employees_Data[[#This Row],[Age]]&gt;=31,Employees_Data[[#This Row],[Age]]&lt;=40),"Mid-Age",IF(Employees_Data[[#This Row],[Age]]&gt;=41,"Senior")))</f>
        <v>Young</v>
      </c>
      <c r="V405" t="str">
        <f>IF(Employees_Data[[#This Row],[Salary]]&lt;=30000,"Low",IF(AND(Employees_Data[[#This Row],[Salary]]&gt;30000,Employees_Data[[#This Row],[Salary]]&lt;=60000),"Medium",IF(AND(Employees_Data[[#This Row],[Salary]]&gt;60000,Employees_Data[[#This Row],[Salary]]&lt;=90000),"High",IF(Employees_Data[[#This Row],[Salary]]&gt;90000,"Executive"))))</f>
        <v>Executive</v>
      </c>
      <c r="W40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05" s="14" t="str">
        <f>VLOOKUP(Employees_Data[[#This Row],[Department]],Departments!$A$2:$B$7,2,FALSE)</f>
        <v>D01</v>
      </c>
      <c r="Y405" s="14" t="str">
        <f>INDEX(Departments!$B$2:$B$7,MATCH(Employees_Data[[#This Row],[Department]],Departments!$A$2:$A$7,0))</f>
        <v>D01</v>
      </c>
      <c r="Z405" s="14" t="str">
        <f>INDEX(Salary_Bands!$C$2:$C$5,MATCH(Employees_Data[[#This Row],[Salary]],Salary_Bands!$A$2:$A$5,1))</f>
        <v>Executive</v>
      </c>
    </row>
    <row r="406" spans="1:26" hidden="1" x14ac:dyDescent="0.3">
      <c r="A406" t="s">
        <v>873</v>
      </c>
      <c r="B406" t="s">
        <v>874</v>
      </c>
      <c r="C406" t="s">
        <v>40</v>
      </c>
      <c r="D406" s="12">
        <v>33</v>
      </c>
      <c r="E406" t="s">
        <v>87</v>
      </c>
      <c r="F406" t="s">
        <v>91</v>
      </c>
      <c r="G406" t="s">
        <v>51</v>
      </c>
      <c r="H406">
        <v>8</v>
      </c>
      <c r="I406" s="1">
        <v>43255</v>
      </c>
      <c r="J406" s="10">
        <v>103154</v>
      </c>
      <c r="K406" s="10">
        <v>15722</v>
      </c>
      <c r="L406">
        <v>2</v>
      </c>
      <c r="M406" t="s">
        <v>26</v>
      </c>
      <c r="N406" t="s">
        <v>53</v>
      </c>
      <c r="O406" t="s">
        <v>28</v>
      </c>
      <c r="P406" t="s">
        <v>29</v>
      </c>
      <c r="Q406">
        <v>17</v>
      </c>
      <c r="R406">
        <v>3</v>
      </c>
      <c r="S406">
        <v>8</v>
      </c>
      <c r="T406" t="s">
        <v>43</v>
      </c>
      <c r="U406" t="str">
        <f>IF(AND(Employees_Data[[#This Row],[Age]]&gt;=20,Employees_Data[[#This Row],[Age]]&lt;=30),"Young",IF(AND(Employees_Data[[#This Row],[Age]]&gt;=31,Employees_Data[[#This Row],[Age]]&lt;=40),"Mid-Age",IF(Employees_Data[[#This Row],[Age]]&gt;=41,"Senior")))</f>
        <v>Mid-Age</v>
      </c>
      <c r="V406" t="str">
        <f>IF(Employees_Data[[#This Row],[Salary]]&lt;=30000,"Low",IF(AND(Employees_Data[[#This Row],[Salary]]&gt;30000,Employees_Data[[#This Row],[Salary]]&lt;=60000),"Medium",IF(AND(Employees_Data[[#This Row],[Salary]]&gt;60000,Employees_Data[[#This Row],[Salary]]&lt;=90000),"High",IF(Employees_Data[[#This Row],[Salary]]&gt;90000,"Executive"))))</f>
        <v>Executive</v>
      </c>
      <c r="W40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06" s="14" t="str">
        <f>VLOOKUP(Employees_Data[[#This Row],[Department]],Departments!$A$2:$B$7,2,FALSE)</f>
        <v>D04</v>
      </c>
      <c r="Y406" s="14" t="str">
        <f>INDEX(Departments!$B$2:$B$7,MATCH(Employees_Data[[#This Row],[Department]],Departments!$A$2:$A$7,0))</f>
        <v>D04</v>
      </c>
      <c r="Z406" s="14" t="str">
        <f>INDEX(Salary_Bands!$C$2:$C$5,MATCH(Employees_Data[[#This Row],[Salary]],Salary_Bands!$A$2:$A$5,1))</f>
        <v>Executive</v>
      </c>
    </row>
    <row r="407" spans="1:26" hidden="1" x14ac:dyDescent="0.3">
      <c r="A407" t="s">
        <v>875</v>
      </c>
      <c r="B407" t="s">
        <v>876</v>
      </c>
      <c r="C407" t="s">
        <v>22</v>
      </c>
      <c r="D407" s="12">
        <v>45</v>
      </c>
      <c r="E407" t="s">
        <v>33</v>
      </c>
      <c r="F407" t="s">
        <v>118</v>
      </c>
      <c r="G407" t="s">
        <v>47</v>
      </c>
      <c r="H407">
        <v>20</v>
      </c>
      <c r="I407" s="1">
        <v>45179</v>
      </c>
      <c r="J407" s="10">
        <v>53740</v>
      </c>
      <c r="K407" s="10">
        <v>18302</v>
      </c>
      <c r="L407">
        <v>4</v>
      </c>
      <c r="M407" t="s">
        <v>26</v>
      </c>
      <c r="N407" t="s">
        <v>76</v>
      </c>
      <c r="O407" t="s">
        <v>28</v>
      </c>
      <c r="P407" t="s">
        <v>29</v>
      </c>
      <c r="Q407">
        <v>8</v>
      </c>
      <c r="R407">
        <v>20</v>
      </c>
      <c r="S407">
        <v>4</v>
      </c>
      <c r="T407" t="s">
        <v>43</v>
      </c>
      <c r="U407" t="str">
        <f>IF(AND(Employees_Data[[#This Row],[Age]]&gt;=20,Employees_Data[[#This Row],[Age]]&lt;=30),"Young",IF(AND(Employees_Data[[#This Row],[Age]]&gt;=31,Employees_Data[[#This Row],[Age]]&lt;=40),"Mid-Age",IF(Employees_Data[[#This Row],[Age]]&gt;=41,"Senior")))</f>
        <v>Senior</v>
      </c>
      <c r="V407" t="str">
        <f>IF(Employees_Data[[#This Row],[Salary]]&lt;=30000,"Low",IF(AND(Employees_Data[[#This Row],[Salary]]&gt;30000,Employees_Data[[#This Row],[Salary]]&lt;=60000),"Medium",IF(AND(Employees_Data[[#This Row],[Salary]]&gt;60000,Employees_Data[[#This Row],[Salary]]&lt;=90000),"High",IF(Employees_Data[[#This Row],[Salary]]&gt;90000,"Executive"))))</f>
        <v>Medium</v>
      </c>
      <c r="W40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07" s="14" t="str">
        <f>VLOOKUP(Employees_Data[[#This Row],[Department]],Departments!$A$2:$B$7,2,FALSE)</f>
        <v>D05</v>
      </c>
      <c r="Y407" s="14" t="str">
        <f>INDEX(Departments!$B$2:$B$7,MATCH(Employees_Data[[#This Row],[Department]],Departments!$A$2:$A$7,0))</f>
        <v>D05</v>
      </c>
      <c r="Z407" s="14" t="str">
        <f>INDEX(Salary_Bands!$C$2:$C$5,MATCH(Employees_Data[[#This Row],[Salary]],Salary_Bands!$A$2:$A$5,1))</f>
        <v>Medium</v>
      </c>
    </row>
    <row r="408" spans="1:26" x14ac:dyDescent="0.3">
      <c r="A408" t="s">
        <v>877</v>
      </c>
      <c r="B408" t="s">
        <v>878</v>
      </c>
      <c r="C408" t="s">
        <v>22</v>
      </c>
      <c r="D408" s="12">
        <v>35</v>
      </c>
      <c r="E408" t="s">
        <v>41</v>
      </c>
      <c r="F408" t="s">
        <v>232</v>
      </c>
      <c r="G408" t="s">
        <v>35</v>
      </c>
      <c r="H408">
        <v>11</v>
      </c>
      <c r="I408" s="1">
        <v>44130</v>
      </c>
      <c r="J408" s="10">
        <v>68816</v>
      </c>
      <c r="K408" s="10">
        <v>2952</v>
      </c>
      <c r="L408">
        <v>5</v>
      </c>
      <c r="M408" t="s">
        <v>36</v>
      </c>
      <c r="N408" t="s">
        <v>53</v>
      </c>
      <c r="O408" s="5" t="s">
        <v>29</v>
      </c>
      <c r="P408" t="s">
        <v>29</v>
      </c>
      <c r="Q408">
        <v>9</v>
      </c>
      <c r="R408">
        <v>7</v>
      </c>
      <c r="S408">
        <v>8</v>
      </c>
      <c r="T408" t="s">
        <v>30</v>
      </c>
      <c r="U408" t="str">
        <f>IF(AND(Employees_Data[[#This Row],[Age]]&gt;=20,Employees_Data[[#This Row],[Age]]&lt;=30),"Young",IF(AND(Employees_Data[[#This Row],[Age]]&gt;=31,Employees_Data[[#This Row],[Age]]&lt;=40),"Mid-Age",IF(Employees_Data[[#This Row],[Age]]&gt;=41,"Senior")))</f>
        <v>Mid-Age</v>
      </c>
      <c r="V408" t="str">
        <f>IF(Employees_Data[[#This Row],[Salary]]&lt;=30000,"Low",IF(AND(Employees_Data[[#This Row],[Salary]]&gt;30000,Employees_Data[[#This Row],[Salary]]&lt;=60000),"Medium",IF(AND(Employees_Data[[#This Row],[Salary]]&gt;60000,Employees_Data[[#This Row],[Salary]]&lt;=90000),"High",IF(Employees_Data[[#This Row],[Salary]]&gt;90000,"Executive"))))</f>
        <v>High</v>
      </c>
      <c r="W40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08" s="14" t="str">
        <f>VLOOKUP(Employees_Data[[#This Row],[Department]],Departments!$A$2:$B$7,2,FALSE)</f>
        <v>D03</v>
      </c>
      <c r="Y408" s="14" t="str">
        <f>INDEX(Departments!$B$2:$B$7,MATCH(Employees_Data[[#This Row],[Department]],Departments!$A$2:$A$7,0))</f>
        <v>D03</v>
      </c>
      <c r="Z408" s="14" t="str">
        <f>INDEX(Salary_Bands!$C$2:$C$5,MATCH(Employees_Data[[#This Row],[Salary]],Salary_Bands!$A$2:$A$5,1))</f>
        <v>High</v>
      </c>
    </row>
    <row r="409" spans="1:26" hidden="1" x14ac:dyDescent="0.3">
      <c r="A409" t="s">
        <v>879</v>
      </c>
      <c r="B409" t="s">
        <v>880</v>
      </c>
      <c r="C409" t="s">
        <v>22</v>
      </c>
      <c r="D409" s="12">
        <v>42</v>
      </c>
      <c r="E409" t="s">
        <v>23</v>
      </c>
      <c r="F409" t="s">
        <v>100</v>
      </c>
      <c r="G409" t="s">
        <v>35</v>
      </c>
      <c r="H409">
        <v>18</v>
      </c>
      <c r="I409" s="1">
        <v>43915</v>
      </c>
      <c r="J409" s="10">
        <v>122922</v>
      </c>
      <c r="K409" s="10">
        <v>15519</v>
      </c>
      <c r="L409">
        <v>3</v>
      </c>
      <c r="M409" t="s">
        <v>26</v>
      </c>
      <c r="N409" t="s">
        <v>58</v>
      </c>
      <c r="O409" t="s">
        <v>28</v>
      </c>
      <c r="P409" t="s">
        <v>29</v>
      </c>
      <c r="Q409">
        <v>9</v>
      </c>
      <c r="R409">
        <v>15</v>
      </c>
      <c r="S409">
        <v>4</v>
      </c>
      <c r="T409" t="s">
        <v>30</v>
      </c>
      <c r="U409" t="str">
        <f>IF(AND(Employees_Data[[#This Row],[Age]]&gt;=20,Employees_Data[[#This Row],[Age]]&lt;=30),"Young",IF(AND(Employees_Data[[#This Row],[Age]]&gt;=31,Employees_Data[[#This Row],[Age]]&lt;=40),"Mid-Age",IF(Employees_Data[[#This Row],[Age]]&gt;=41,"Senior")))</f>
        <v>Senior</v>
      </c>
      <c r="V409" t="str">
        <f>IF(Employees_Data[[#This Row],[Salary]]&lt;=30000,"Low",IF(AND(Employees_Data[[#This Row],[Salary]]&gt;30000,Employees_Data[[#This Row],[Salary]]&lt;=60000),"Medium",IF(AND(Employees_Data[[#This Row],[Salary]]&gt;60000,Employees_Data[[#This Row],[Salary]]&lt;=90000),"High",IF(Employees_Data[[#This Row],[Salary]]&gt;90000,"Executive"))))</f>
        <v>Executive</v>
      </c>
      <c r="W40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09" s="14" t="str">
        <f>VLOOKUP(Employees_Data[[#This Row],[Department]],Departments!$A$2:$B$7,2,FALSE)</f>
        <v>D06</v>
      </c>
      <c r="Y409" s="14" t="str">
        <f>INDEX(Departments!$B$2:$B$7,MATCH(Employees_Data[[#This Row],[Department]],Departments!$A$2:$A$7,0))</f>
        <v>D06</v>
      </c>
      <c r="Z409" s="14" t="str">
        <f>INDEX(Salary_Bands!$C$2:$C$5,MATCH(Employees_Data[[#This Row],[Salary]],Salary_Bands!$A$2:$A$5,1))</f>
        <v>Executive</v>
      </c>
    </row>
    <row r="410" spans="1:26" hidden="1" x14ac:dyDescent="0.3">
      <c r="A410" t="s">
        <v>881</v>
      </c>
      <c r="B410" t="s">
        <v>882</v>
      </c>
      <c r="C410" t="s">
        <v>40</v>
      </c>
      <c r="D410" s="12">
        <v>25</v>
      </c>
      <c r="E410" t="s">
        <v>33</v>
      </c>
      <c r="F410" t="s">
        <v>46</v>
      </c>
      <c r="G410" t="s">
        <v>35</v>
      </c>
      <c r="H410">
        <v>1</v>
      </c>
      <c r="I410" s="1">
        <v>43694</v>
      </c>
      <c r="J410" s="10">
        <v>53333</v>
      </c>
      <c r="K410" s="10">
        <v>22710</v>
      </c>
      <c r="L410">
        <v>5</v>
      </c>
      <c r="M410" t="s">
        <v>36</v>
      </c>
      <c r="N410" t="s">
        <v>37</v>
      </c>
      <c r="O410" t="s">
        <v>28</v>
      </c>
      <c r="P410" t="s">
        <v>29</v>
      </c>
      <c r="Q410">
        <v>26</v>
      </c>
      <c r="R410">
        <v>4</v>
      </c>
      <c r="S410">
        <v>8</v>
      </c>
      <c r="T410" t="s">
        <v>30</v>
      </c>
      <c r="U410" t="str">
        <f>IF(AND(Employees_Data[[#This Row],[Age]]&gt;=20,Employees_Data[[#This Row],[Age]]&lt;=30),"Young",IF(AND(Employees_Data[[#This Row],[Age]]&gt;=31,Employees_Data[[#This Row],[Age]]&lt;=40),"Mid-Age",IF(Employees_Data[[#This Row],[Age]]&gt;=41,"Senior")))</f>
        <v>Young</v>
      </c>
      <c r="V410" t="str">
        <f>IF(Employees_Data[[#This Row],[Salary]]&lt;=30000,"Low",IF(AND(Employees_Data[[#This Row],[Salary]]&gt;30000,Employees_Data[[#This Row],[Salary]]&lt;=60000),"Medium",IF(AND(Employees_Data[[#This Row],[Salary]]&gt;60000,Employees_Data[[#This Row],[Salary]]&lt;=90000),"High",IF(Employees_Data[[#This Row],[Salary]]&gt;90000,"Executive"))))</f>
        <v>Medium</v>
      </c>
      <c r="W41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10" s="14" t="str">
        <f>VLOOKUP(Employees_Data[[#This Row],[Department]],Departments!$A$2:$B$7,2,FALSE)</f>
        <v>D05</v>
      </c>
      <c r="Y410" s="14" t="str">
        <f>INDEX(Departments!$B$2:$B$7,MATCH(Employees_Data[[#This Row],[Department]],Departments!$A$2:$A$7,0))</f>
        <v>D05</v>
      </c>
      <c r="Z410" s="14" t="str">
        <f>INDEX(Salary_Bands!$C$2:$C$5,MATCH(Employees_Data[[#This Row],[Salary]],Salary_Bands!$A$2:$A$5,1))</f>
        <v>Medium</v>
      </c>
    </row>
    <row r="411" spans="1:26" hidden="1" x14ac:dyDescent="0.3">
      <c r="A411" t="s">
        <v>883</v>
      </c>
      <c r="B411" t="s">
        <v>884</v>
      </c>
      <c r="C411" t="s">
        <v>22</v>
      </c>
      <c r="D411" s="12">
        <v>25</v>
      </c>
      <c r="E411" t="s">
        <v>56</v>
      </c>
      <c r="F411" t="s">
        <v>79</v>
      </c>
      <c r="G411" t="s">
        <v>51</v>
      </c>
      <c r="H411">
        <v>2</v>
      </c>
      <c r="I411" s="1">
        <v>43660</v>
      </c>
      <c r="J411" s="10">
        <v>39563</v>
      </c>
      <c r="K411" s="10">
        <v>21779</v>
      </c>
      <c r="L411">
        <v>4</v>
      </c>
      <c r="M411" t="s">
        <v>26</v>
      </c>
      <c r="N411" t="s">
        <v>63</v>
      </c>
      <c r="O411" t="s">
        <v>28</v>
      </c>
      <c r="P411" t="s">
        <v>29</v>
      </c>
      <c r="Q411">
        <v>41</v>
      </c>
      <c r="R411">
        <v>17</v>
      </c>
      <c r="S411">
        <v>8</v>
      </c>
      <c r="T411" t="s">
        <v>30</v>
      </c>
      <c r="U411" t="str">
        <f>IF(AND(Employees_Data[[#This Row],[Age]]&gt;=20,Employees_Data[[#This Row],[Age]]&lt;=30),"Young",IF(AND(Employees_Data[[#This Row],[Age]]&gt;=31,Employees_Data[[#This Row],[Age]]&lt;=40),"Mid-Age",IF(Employees_Data[[#This Row],[Age]]&gt;=41,"Senior")))</f>
        <v>Young</v>
      </c>
      <c r="V411" t="str">
        <f>IF(Employees_Data[[#This Row],[Salary]]&lt;=30000,"Low",IF(AND(Employees_Data[[#This Row],[Salary]]&gt;30000,Employees_Data[[#This Row],[Salary]]&lt;=60000),"Medium",IF(AND(Employees_Data[[#This Row],[Salary]]&gt;60000,Employees_Data[[#This Row],[Salary]]&lt;=90000),"High",IF(Employees_Data[[#This Row],[Salary]]&gt;90000,"Executive"))))</f>
        <v>Medium</v>
      </c>
      <c r="W41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11" s="14" t="str">
        <f>VLOOKUP(Employees_Data[[#This Row],[Department]],Departments!$A$2:$B$7,2,FALSE)</f>
        <v>D01</v>
      </c>
      <c r="Y411" s="14" t="str">
        <f>INDEX(Departments!$B$2:$B$7,MATCH(Employees_Data[[#This Row],[Department]],Departments!$A$2:$A$7,0))</f>
        <v>D01</v>
      </c>
      <c r="Z411" s="14" t="str">
        <f>INDEX(Salary_Bands!$C$2:$C$5,MATCH(Employees_Data[[#This Row],[Salary]],Salary_Bands!$A$2:$A$5,1))</f>
        <v>Medium</v>
      </c>
    </row>
    <row r="412" spans="1:26" hidden="1" x14ac:dyDescent="0.3">
      <c r="A412" t="s">
        <v>885</v>
      </c>
      <c r="B412" t="s">
        <v>886</v>
      </c>
      <c r="C412" t="s">
        <v>22</v>
      </c>
      <c r="D412" s="12">
        <v>48</v>
      </c>
      <c r="E412" t="s">
        <v>61</v>
      </c>
      <c r="F412" t="s">
        <v>62</v>
      </c>
      <c r="G412" t="s">
        <v>47</v>
      </c>
      <c r="H412">
        <v>23</v>
      </c>
      <c r="I412" s="1">
        <v>45104</v>
      </c>
      <c r="J412" s="10">
        <v>138010</v>
      </c>
      <c r="K412" s="10">
        <v>10082</v>
      </c>
      <c r="L412">
        <v>2</v>
      </c>
      <c r="M412" t="s">
        <v>26</v>
      </c>
      <c r="N412" t="s">
        <v>37</v>
      </c>
      <c r="O412" t="s">
        <v>28</v>
      </c>
      <c r="P412" t="s">
        <v>28</v>
      </c>
      <c r="Q412">
        <v>42</v>
      </c>
      <c r="R412">
        <v>7</v>
      </c>
      <c r="S412">
        <v>10</v>
      </c>
      <c r="T412" t="s">
        <v>30</v>
      </c>
      <c r="U412" t="str">
        <f>IF(AND(Employees_Data[[#This Row],[Age]]&gt;=20,Employees_Data[[#This Row],[Age]]&lt;=30),"Young",IF(AND(Employees_Data[[#This Row],[Age]]&gt;=31,Employees_Data[[#This Row],[Age]]&lt;=40),"Mid-Age",IF(Employees_Data[[#This Row],[Age]]&gt;=41,"Senior")))</f>
        <v>Senior</v>
      </c>
      <c r="V412" t="str">
        <f>IF(Employees_Data[[#This Row],[Salary]]&lt;=30000,"Low",IF(AND(Employees_Data[[#This Row],[Salary]]&gt;30000,Employees_Data[[#This Row],[Salary]]&lt;=60000),"Medium",IF(AND(Employees_Data[[#This Row],[Salary]]&gt;60000,Employees_Data[[#This Row],[Salary]]&lt;=90000),"High",IF(Employees_Data[[#This Row],[Salary]]&gt;90000,"Executive"))))</f>
        <v>Executive</v>
      </c>
      <c r="W41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12" s="14" t="str">
        <f>VLOOKUP(Employees_Data[[#This Row],[Department]],Departments!$A$2:$B$7,2,FALSE)</f>
        <v>D02</v>
      </c>
      <c r="Y412" s="14" t="str">
        <f>INDEX(Departments!$B$2:$B$7,MATCH(Employees_Data[[#This Row],[Department]],Departments!$A$2:$A$7,0))</f>
        <v>D02</v>
      </c>
      <c r="Z412" s="14" t="str">
        <f>INDEX(Salary_Bands!$C$2:$C$5,MATCH(Employees_Data[[#This Row],[Salary]],Salary_Bands!$A$2:$A$5,1))</f>
        <v>Executive</v>
      </c>
    </row>
    <row r="413" spans="1:26" x14ac:dyDescent="0.3">
      <c r="A413" t="s">
        <v>887</v>
      </c>
      <c r="B413" t="s">
        <v>888</v>
      </c>
      <c r="C413" t="s">
        <v>40</v>
      </c>
      <c r="D413" s="12">
        <v>22</v>
      </c>
      <c r="E413" t="s">
        <v>33</v>
      </c>
      <c r="F413" t="s">
        <v>118</v>
      </c>
      <c r="G413" t="s">
        <v>80</v>
      </c>
      <c r="H413">
        <v>0</v>
      </c>
      <c r="I413" s="1">
        <v>43282</v>
      </c>
      <c r="J413" s="10">
        <v>30250</v>
      </c>
      <c r="K413" s="10">
        <v>16825</v>
      </c>
      <c r="L413">
        <v>4</v>
      </c>
      <c r="M413" t="s">
        <v>36</v>
      </c>
      <c r="N413" t="s">
        <v>76</v>
      </c>
      <c r="O413" s="5" t="s">
        <v>29</v>
      </c>
      <c r="P413" t="s">
        <v>29</v>
      </c>
      <c r="Q413">
        <v>40</v>
      </c>
      <c r="R413">
        <v>0</v>
      </c>
      <c r="S413">
        <v>9</v>
      </c>
      <c r="T413" t="s">
        <v>30</v>
      </c>
      <c r="U413" t="str">
        <f>IF(AND(Employees_Data[[#This Row],[Age]]&gt;=20,Employees_Data[[#This Row],[Age]]&lt;=30),"Young",IF(AND(Employees_Data[[#This Row],[Age]]&gt;=31,Employees_Data[[#This Row],[Age]]&lt;=40),"Mid-Age",IF(Employees_Data[[#This Row],[Age]]&gt;=41,"Senior")))</f>
        <v>Young</v>
      </c>
      <c r="V413" t="str">
        <f>IF(Employees_Data[[#This Row],[Salary]]&lt;=30000,"Low",IF(AND(Employees_Data[[#This Row],[Salary]]&gt;30000,Employees_Data[[#This Row],[Salary]]&lt;=60000),"Medium",IF(AND(Employees_Data[[#This Row],[Salary]]&gt;60000,Employees_Data[[#This Row],[Salary]]&lt;=90000),"High",IF(Employees_Data[[#This Row],[Salary]]&gt;90000,"Executive"))))</f>
        <v>Medium</v>
      </c>
      <c r="W41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13" s="14" t="str">
        <f>VLOOKUP(Employees_Data[[#This Row],[Department]],Departments!$A$2:$B$7,2,FALSE)</f>
        <v>D05</v>
      </c>
      <c r="Y413" s="14" t="str">
        <f>INDEX(Departments!$B$2:$B$7,MATCH(Employees_Data[[#This Row],[Department]],Departments!$A$2:$A$7,0))</f>
        <v>D05</v>
      </c>
      <c r="Z413" s="14" t="str">
        <f>INDEX(Salary_Bands!$C$2:$C$5,MATCH(Employees_Data[[#This Row],[Salary]],Salary_Bands!$A$2:$A$5,1))</f>
        <v>Medium</v>
      </c>
    </row>
    <row r="414" spans="1:26" hidden="1" x14ac:dyDescent="0.3">
      <c r="A414" t="s">
        <v>889</v>
      </c>
      <c r="B414" t="s">
        <v>890</v>
      </c>
      <c r="C414" t="s">
        <v>40</v>
      </c>
      <c r="D414" s="12">
        <v>48</v>
      </c>
      <c r="E414" t="s">
        <v>23</v>
      </c>
      <c r="F414" t="s">
        <v>109</v>
      </c>
      <c r="G414" t="s">
        <v>51</v>
      </c>
      <c r="H414">
        <v>26</v>
      </c>
      <c r="I414" s="1">
        <v>43644</v>
      </c>
      <c r="J414" s="10">
        <v>71976</v>
      </c>
      <c r="K414" s="10">
        <v>7301</v>
      </c>
      <c r="L414">
        <v>3</v>
      </c>
      <c r="M414" t="s">
        <v>52</v>
      </c>
      <c r="N414" t="s">
        <v>58</v>
      </c>
      <c r="O414" t="s">
        <v>28</v>
      </c>
      <c r="P414" t="s">
        <v>29</v>
      </c>
      <c r="Q414">
        <v>34</v>
      </c>
      <c r="R414">
        <v>14</v>
      </c>
      <c r="S414">
        <v>4</v>
      </c>
      <c r="T414" t="s">
        <v>43</v>
      </c>
      <c r="U414" t="str">
        <f>IF(AND(Employees_Data[[#This Row],[Age]]&gt;=20,Employees_Data[[#This Row],[Age]]&lt;=30),"Young",IF(AND(Employees_Data[[#This Row],[Age]]&gt;=31,Employees_Data[[#This Row],[Age]]&lt;=40),"Mid-Age",IF(Employees_Data[[#This Row],[Age]]&gt;=41,"Senior")))</f>
        <v>Senior</v>
      </c>
      <c r="V414" t="str">
        <f>IF(Employees_Data[[#This Row],[Salary]]&lt;=30000,"Low",IF(AND(Employees_Data[[#This Row],[Salary]]&gt;30000,Employees_Data[[#This Row],[Salary]]&lt;=60000),"Medium",IF(AND(Employees_Data[[#This Row],[Salary]]&gt;60000,Employees_Data[[#This Row],[Salary]]&lt;=90000),"High",IF(Employees_Data[[#This Row],[Salary]]&gt;90000,"Executive"))))</f>
        <v>High</v>
      </c>
      <c r="W41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14" s="14" t="str">
        <f>VLOOKUP(Employees_Data[[#This Row],[Department]],Departments!$A$2:$B$7,2,FALSE)</f>
        <v>D06</v>
      </c>
      <c r="Y414" s="14" t="str">
        <f>INDEX(Departments!$B$2:$B$7,MATCH(Employees_Data[[#This Row],[Department]],Departments!$A$2:$A$7,0))</f>
        <v>D06</v>
      </c>
      <c r="Z414" s="14" t="str">
        <f>INDEX(Salary_Bands!$C$2:$C$5,MATCH(Employees_Data[[#This Row],[Salary]],Salary_Bands!$A$2:$A$5,1))</f>
        <v>High</v>
      </c>
    </row>
    <row r="415" spans="1:26" hidden="1" x14ac:dyDescent="0.3">
      <c r="A415" t="s">
        <v>891</v>
      </c>
      <c r="B415" t="s">
        <v>892</v>
      </c>
      <c r="C415" t="s">
        <v>40</v>
      </c>
      <c r="D415" s="12">
        <v>47</v>
      </c>
      <c r="E415" t="s">
        <v>61</v>
      </c>
      <c r="F415" t="s">
        <v>66</v>
      </c>
      <c r="G415" t="s">
        <v>25</v>
      </c>
      <c r="H415">
        <v>25</v>
      </c>
      <c r="I415" s="1">
        <v>44618</v>
      </c>
      <c r="J415" s="10">
        <v>107157</v>
      </c>
      <c r="K415" s="10">
        <v>3071</v>
      </c>
      <c r="L415">
        <v>4</v>
      </c>
      <c r="M415" t="s">
        <v>36</v>
      </c>
      <c r="N415" t="s">
        <v>58</v>
      </c>
      <c r="O415" t="s">
        <v>28</v>
      </c>
      <c r="P415" t="s">
        <v>28</v>
      </c>
      <c r="Q415">
        <v>49</v>
      </c>
      <c r="R415">
        <v>19</v>
      </c>
      <c r="S415">
        <v>1</v>
      </c>
      <c r="T415" t="s">
        <v>43</v>
      </c>
      <c r="U415" t="str">
        <f>IF(AND(Employees_Data[[#This Row],[Age]]&gt;=20,Employees_Data[[#This Row],[Age]]&lt;=30),"Young",IF(AND(Employees_Data[[#This Row],[Age]]&gt;=31,Employees_Data[[#This Row],[Age]]&lt;=40),"Mid-Age",IF(Employees_Data[[#This Row],[Age]]&gt;=41,"Senior")))</f>
        <v>Senior</v>
      </c>
      <c r="V415" t="str">
        <f>IF(Employees_Data[[#This Row],[Salary]]&lt;=30000,"Low",IF(AND(Employees_Data[[#This Row],[Salary]]&gt;30000,Employees_Data[[#This Row],[Salary]]&lt;=60000),"Medium",IF(AND(Employees_Data[[#This Row],[Salary]]&gt;60000,Employees_Data[[#This Row],[Salary]]&lt;=90000),"High",IF(Employees_Data[[#This Row],[Salary]]&gt;90000,"Executive"))))</f>
        <v>Executive</v>
      </c>
      <c r="W41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15" s="14" t="str">
        <f>VLOOKUP(Employees_Data[[#This Row],[Department]],Departments!$A$2:$B$7,2,FALSE)</f>
        <v>D02</v>
      </c>
      <c r="Y415" s="14" t="str">
        <f>INDEX(Departments!$B$2:$B$7,MATCH(Employees_Data[[#This Row],[Department]],Departments!$A$2:$A$7,0))</f>
        <v>D02</v>
      </c>
      <c r="Z415" s="14" t="str">
        <f>INDEX(Salary_Bands!$C$2:$C$5,MATCH(Employees_Data[[#This Row],[Salary]],Salary_Bands!$A$2:$A$5,1))</f>
        <v>Executive</v>
      </c>
    </row>
    <row r="416" spans="1:26" hidden="1" x14ac:dyDescent="0.3">
      <c r="A416" t="s">
        <v>893</v>
      </c>
      <c r="B416" t="s">
        <v>894</v>
      </c>
      <c r="C416" t="s">
        <v>40</v>
      </c>
      <c r="D416" s="12">
        <v>35</v>
      </c>
      <c r="E416" t="s">
        <v>33</v>
      </c>
      <c r="F416" t="s">
        <v>34</v>
      </c>
      <c r="G416" t="s">
        <v>80</v>
      </c>
      <c r="H416">
        <v>9</v>
      </c>
      <c r="I416" s="1">
        <v>43432</v>
      </c>
      <c r="J416" s="10">
        <v>106324</v>
      </c>
      <c r="K416" s="10">
        <v>5636</v>
      </c>
      <c r="L416">
        <v>3</v>
      </c>
      <c r="M416" t="s">
        <v>36</v>
      </c>
      <c r="N416" t="s">
        <v>37</v>
      </c>
      <c r="O416" t="s">
        <v>28</v>
      </c>
      <c r="P416" t="s">
        <v>28</v>
      </c>
      <c r="Q416">
        <v>44</v>
      </c>
      <c r="R416">
        <v>1</v>
      </c>
      <c r="S416">
        <v>1</v>
      </c>
      <c r="T416" t="s">
        <v>30</v>
      </c>
      <c r="U416" t="str">
        <f>IF(AND(Employees_Data[[#This Row],[Age]]&gt;=20,Employees_Data[[#This Row],[Age]]&lt;=30),"Young",IF(AND(Employees_Data[[#This Row],[Age]]&gt;=31,Employees_Data[[#This Row],[Age]]&lt;=40),"Mid-Age",IF(Employees_Data[[#This Row],[Age]]&gt;=41,"Senior")))</f>
        <v>Mid-Age</v>
      </c>
      <c r="V416" t="str">
        <f>IF(Employees_Data[[#This Row],[Salary]]&lt;=30000,"Low",IF(AND(Employees_Data[[#This Row],[Salary]]&gt;30000,Employees_Data[[#This Row],[Salary]]&lt;=60000),"Medium",IF(AND(Employees_Data[[#This Row],[Salary]]&gt;60000,Employees_Data[[#This Row],[Salary]]&lt;=90000),"High",IF(Employees_Data[[#This Row],[Salary]]&gt;90000,"Executive"))))</f>
        <v>Executive</v>
      </c>
      <c r="W41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16" s="14" t="str">
        <f>VLOOKUP(Employees_Data[[#This Row],[Department]],Departments!$A$2:$B$7,2,FALSE)</f>
        <v>D05</v>
      </c>
      <c r="Y416" s="14" t="str">
        <f>INDEX(Departments!$B$2:$B$7,MATCH(Employees_Data[[#This Row],[Department]],Departments!$A$2:$A$7,0))</f>
        <v>D05</v>
      </c>
      <c r="Z416" s="14" t="str">
        <f>INDEX(Salary_Bands!$C$2:$C$5,MATCH(Employees_Data[[#This Row],[Salary]],Salary_Bands!$A$2:$A$5,1))</f>
        <v>Executive</v>
      </c>
    </row>
    <row r="417" spans="1:26" hidden="1" x14ac:dyDescent="0.3">
      <c r="A417" t="s">
        <v>895</v>
      </c>
      <c r="B417" t="s">
        <v>896</v>
      </c>
      <c r="C417" t="s">
        <v>40</v>
      </c>
      <c r="D417" s="12">
        <v>33</v>
      </c>
      <c r="E417" t="s">
        <v>41</v>
      </c>
      <c r="F417" t="s">
        <v>232</v>
      </c>
      <c r="G417" t="s">
        <v>35</v>
      </c>
      <c r="H417">
        <v>7</v>
      </c>
      <c r="I417" s="1">
        <v>45389</v>
      </c>
      <c r="J417" s="10">
        <v>117389</v>
      </c>
      <c r="K417" s="10">
        <v>19682</v>
      </c>
      <c r="L417">
        <v>1</v>
      </c>
      <c r="M417" t="s">
        <v>26</v>
      </c>
      <c r="N417" t="s">
        <v>48</v>
      </c>
      <c r="O417" t="s">
        <v>28</v>
      </c>
      <c r="P417" t="s">
        <v>28</v>
      </c>
      <c r="Q417">
        <v>52</v>
      </c>
      <c r="R417">
        <v>18</v>
      </c>
      <c r="S417">
        <v>9</v>
      </c>
      <c r="T417" t="s">
        <v>30</v>
      </c>
      <c r="U417" t="str">
        <f>IF(AND(Employees_Data[[#This Row],[Age]]&gt;=20,Employees_Data[[#This Row],[Age]]&lt;=30),"Young",IF(AND(Employees_Data[[#This Row],[Age]]&gt;=31,Employees_Data[[#This Row],[Age]]&lt;=40),"Mid-Age",IF(Employees_Data[[#This Row],[Age]]&gt;=41,"Senior")))</f>
        <v>Mid-Age</v>
      </c>
      <c r="V417" t="str">
        <f>IF(Employees_Data[[#This Row],[Salary]]&lt;=30000,"Low",IF(AND(Employees_Data[[#This Row],[Salary]]&gt;30000,Employees_Data[[#This Row],[Salary]]&lt;=60000),"Medium",IF(AND(Employees_Data[[#This Row],[Salary]]&gt;60000,Employees_Data[[#This Row],[Salary]]&lt;=90000),"High",IF(Employees_Data[[#This Row],[Salary]]&gt;90000,"Executive"))))</f>
        <v>Executive</v>
      </c>
      <c r="W41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17" s="14" t="str">
        <f>VLOOKUP(Employees_Data[[#This Row],[Department]],Departments!$A$2:$B$7,2,FALSE)</f>
        <v>D03</v>
      </c>
      <c r="Y417" s="14" t="str">
        <f>INDEX(Departments!$B$2:$B$7,MATCH(Employees_Data[[#This Row],[Department]],Departments!$A$2:$A$7,0))</f>
        <v>D03</v>
      </c>
      <c r="Z417" s="14" t="str">
        <f>INDEX(Salary_Bands!$C$2:$C$5,MATCH(Employees_Data[[#This Row],[Salary]],Salary_Bands!$A$2:$A$5,1))</f>
        <v>Executive</v>
      </c>
    </row>
    <row r="418" spans="1:26" hidden="1" x14ac:dyDescent="0.3">
      <c r="A418" t="s">
        <v>897</v>
      </c>
      <c r="B418" t="s">
        <v>898</v>
      </c>
      <c r="C418" t="s">
        <v>22</v>
      </c>
      <c r="D418" s="12">
        <v>36</v>
      </c>
      <c r="E418" t="s">
        <v>23</v>
      </c>
      <c r="F418" t="s">
        <v>24</v>
      </c>
      <c r="G418" t="s">
        <v>51</v>
      </c>
      <c r="H418">
        <v>13</v>
      </c>
      <c r="I418" s="1">
        <v>44545</v>
      </c>
      <c r="J418" s="10">
        <v>142693</v>
      </c>
      <c r="K418" s="10">
        <v>13312</v>
      </c>
      <c r="L418">
        <v>3</v>
      </c>
      <c r="M418" t="s">
        <v>36</v>
      </c>
      <c r="N418" t="s">
        <v>58</v>
      </c>
      <c r="O418" t="s">
        <v>28</v>
      </c>
      <c r="P418" t="s">
        <v>29</v>
      </c>
      <c r="Q418">
        <v>35</v>
      </c>
      <c r="R418">
        <v>17</v>
      </c>
      <c r="S418">
        <v>9</v>
      </c>
      <c r="T418" t="s">
        <v>30</v>
      </c>
      <c r="U418" t="str">
        <f>IF(AND(Employees_Data[[#This Row],[Age]]&gt;=20,Employees_Data[[#This Row],[Age]]&lt;=30),"Young",IF(AND(Employees_Data[[#This Row],[Age]]&gt;=31,Employees_Data[[#This Row],[Age]]&lt;=40),"Mid-Age",IF(Employees_Data[[#This Row],[Age]]&gt;=41,"Senior")))</f>
        <v>Mid-Age</v>
      </c>
      <c r="V418" t="str">
        <f>IF(Employees_Data[[#This Row],[Salary]]&lt;=30000,"Low",IF(AND(Employees_Data[[#This Row],[Salary]]&gt;30000,Employees_Data[[#This Row],[Salary]]&lt;=60000),"Medium",IF(AND(Employees_Data[[#This Row],[Salary]]&gt;60000,Employees_Data[[#This Row],[Salary]]&lt;=90000),"High",IF(Employees_Data[[#This Row],[Salary]]&gt;90000,"Executive"))))</f>
        <v>Executive</v>
      </c>
      <c r="W41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18" s="14" t="str">
        <f>VLOOKUP(Employees_Data[[#This Row],[Department]],Departments!$A$2:$B$7,2,FALSE)</f>
        <v>D06</v>
      </c>
      <c r="Y418" s="14" t="str">
        <f>INDEX(Departments!$B$2:$B$7,MATCH(Employees_Data[[#This Row],[Department]],Departments!$A$2:$A$7,0))</f>
        <v>D06</v>
      </c>
      <c r="Z418" s="14" t="str">
        <f>INDEX(Salary_Bands!$C$2:$C$5,MATCH(Employees_Data[[#This Row],[Salary]],Salary_Bands!$A$2:$A$5,1))</f>
        <v>Executive</v>
      </c>
    </row>
    <row r="419" spans="1:26" hidden="1" x14ac:dyDescent="0.3">
      <c r="A419" t="s">
        <v>899</v>
      </c>
      <c r="B419" t="s">
        <v>900</v>
      </c>
      <c r="C419" t="s">
        <v>22</v>
      </c>
      <c r="D419" s="12">
        <v>40</v>
      </c>
      <c r="E419" t="s">
        <v>23</v>
      </c>
      <c r="F419" t="s">
        <v>109</v>
      </c>
      <c r="G419" t="s">
        <v>47</v>
      </c>
      <c r="H419">
        <v>16</v>
      </c>
      <c r="I419" s="1">
        <v>44608</v>
      </c>
      <c r="J419" s="10">
        <v>129844</v>
      </c>
      <c r="K419" s="10">
        <v>7859</v>
      </c>
      <c r="L419">
        <v>1</v>
      </c>
      <c r="M419" t="s">
        <v>36</v>
      </c>
      <c r="N419" t="s">
        <v>27</v>
      </c>
      <c r="O419" t="s">
        <v>28</v>
      </c>
      <c r="P419" t="s">
        <v>29</v>
      </c>
      <c r="Q419">
        <v>15</v>
      </c>
      <c r="R419">
        <v>8</v>
      </c>
      <c r="S419">
        <v>4</v>
      </c>
      <c r="T419" t="s">
        <v>30</v>
      </c>
      <c r="U419" t="str">
        <f>IF(AND(Employees_Data[[#This Row],[Age]]&gt;=20,Employees_Data[[#This Row],[Age]]&lt;=30),"Young",IF(AND(Employees_Data[[#This Row],[Age]]&gt;=31,Employees_Data[[#This Row],[Age]]&lt;=40),"Mid-Age",IF(Employees_Data[[#This Row],[Age]]&gt;=41,"Senior")))</f>
        <v>Mid-Age</v>
      </c>
      <c r="V419" t="str">
        <f>IF(Employees_Data[[#This Row],[Salary]]&lt;=30000,"Low",IF(AND(Employees_Data[[#This Row],[Salary]]&gt;30000,Employees_Data[[#This Row],[Salary]]&lt;=60000),"Medium",IF(AND(Employees_Data[[#This Row],[Salary]]&gt;60000,Employees_Data[[#This Row],[Salary]]&lt;=90000),"High",IF(Employees_Data[[#This Row],[Salary]]&gt;90000,"Executive"))))</f>
        <v>Executive</v>
      </c>
      <c r="W41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19" s="14" t="str">
        <f>VLOOKUP(Employees_Data[[#This Row],[Department]],Departments!$A$2:$B$7,2,FALSE)</f>
        <v>D06</v>
      </c>
      <c r="Y419" s="14" t="str">
        <f>INDEX(Departments!$B$2:$B$7,MATCH(Employees_Data[[#This Row],[Department]],Departments!$A$2:$A$7,0))</f>
        <v>D06</v>
      </c>
      <c r="Z419" s="14" t="str">
        <f>INDEX(Salary_Bands!$C$2:$C$5,MATCH(Employees_Data[[#This Row],[Salary]],Salary_Bands!$A$2:$A$5,1))</f>
        <v>Executive</v>
      </c>
    </row>
    <row r="420" spans="1:26" hidden="1" x14ac:dyDescent="0.3">
      <c r="A420" t="s">
        <v>901</v>
      </c>
      <c r="B420" t="s">
        <v>902</v>
      </c>
      <c r="C420" t="s">
        <v>40</v>
      </c>
      <c r="D420" s="12">
        <v>31</v>
      </c>
      <c r="E420" t="s">
        <v>56</v>
      </c>
      <c r="F420" t="s">
        <v>79</v>
      </c>
      <c r="G420" t="s">
        <v>25</v>
      </c>
      <c r="H420">
        <v>7</v>
      </c>
      <c r="I420" s="1">
        <v>43717</v>
      </c>
      <c r="J420" s="10">
        <v>139687</v>
      </c>
      <c r="K420" s="10">
        <v>6326</v>
      </c>
      <c r="L420">
        <v>2</v>
      </c>
      <c r="M420" t="s">
        <v>36</v>
      </c>
      <c r="N420" t="s">
        <v>37</v>
      </c>
      <c r="O420" t="s">
        <v>28</v>
      </c>
      <c r="P420" t="s">
        <v>28</v>
      </c>
      <c r="Q420">
        <v>33</v>
      </c>
      <c r="R420">
        <v>20</v>
      </c>
      <c r="S420">
        <v>9</v>
      </c>
      <c r="T420" t="s">
        <v>43</v>
      </c>
      <c r="U420" t="str">
        <f>IF(AND(Employees_Data[[#This Row],[Age]]&gt;=20,Employees_Data[[#This Row],[Age]]&lt;=30),"Young",IF(AND(Employees_Data[[#This Row],[Age]]&gt;=31,Employees_Data[[#This Row],[Age]]&lt;=40),"Mid-Age",IF(Employees_Data[[#This Row],[Age]]&gt;=41,"Senior")))</f>
        <v>Mid-Age</v>
      </c>
      <c r="V420" t="str">
        <f>IF(Employees_Data[[#This Row],[Salary]]&lt;=30000,"Low",IF(AND(Employees_Data[[#This Row],[Salary]]&gt;30000,Employees_Data[[#This Row],[Salary]]&lt;=60000),"Medium",IF(AND(Employees_Data[[#This Row],[Salary]]&gt;60000,Employees_Data[[#This Row],[Salary]]&lt;=90000),"High",IF(Employees_Data[[#This Row],[Salary]]&gt;90000,"Executive"))))</f>
        <v>Executive</v>
      </c>
      <c r="W42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20" s="14" t="str">
        <f>VLOOKUP(Employees_Data[[#This Row],[Department]],Departments!$A$2:$B$7,2,FALSE)</f>
        <v>D01</v>
      </c>
      <c r="Y420" s="14" t="str">
        <f>INDEX(Departments!$B$2:$B$7,MATCH(Employees_Data[[#This Row],[Department]],Departments!$A$2:$A$7,0))</f>
        <v>D01</v>
      </c>
      <c r="Z420" s="14" t="str">
        <f>INDEX(Salary_Bands!$C$2:$C$5,MATCH(Employees_Data[[#This Row],[Salary]],Salary_Bands!$A$2:$A$5,1))</f>
        <v>Executive</v>
      </c>
    </row>
    <row r="421" spans="1:26" hidden="1" x14ac:dyDescent="0.3">
      <c r="A421" t="s">
        <v>903</v>
      </c>
      <c r="B421" t="s">
        <v>904</v>
      </c>
      <c r="C421" t="s">
        <v>40</v>
      </c>
      <c r="D421" s="12">
        <v>34</v>
      </c>
      <c r="E421" t="s">
        <v>56</v>
      </c>
      <c r="F421" t="s">
        <v>125</v>
      </c>
      <c r="G421" t="s">
        <v>51</v>
      </c>
      <c r="H421">
        <v>13</v>
      </c>
      <c r="I421" s="1">
        <v>43191</v>
      </c>
      <c r="J421" s="10">
        <v>139267</v>
      </c>
      <c r="K421" s="10">
        <v>17930</v>
      </c>
      <c r="L421">
        <v>2</v>
      </c>
      <c r="M421" t="s">
        <v>52</v>
      </c>
      <c r="N421" t="s">
        <v>48</v>
      </c>
      <c r="O421" t="s">
        <v>28</v>
      </c>
      <c r="P421" t="s">
        <v>28</v>
      </c>
      <c r="Q421">
        <v>34</v>
      </c>
      <c r="R421">
        <v>9</v>
      </c>
      <c r="S421">
        <v>9</v>
      </c>
      <c r="T421" t="s">
        <v>30</v>
      </c>
      <c r="U421" t="str">
        <f>IF(AND(Employees_Data[[#This Row],[Age]]&gt;=20,Employees_Data[[#This Row],[Age]]&lt;=30),"Young",IF(AND(Employees_Data[[#This Row],[Age]]&gt;=31,Employees_Data[[#This Row],[Age]]&lt;=40),"Mid-Age",IF(Employees_Data[[#This Row],[Age]]&gt;=41,"Senior")))</f>
        <v>Mid-Age</v>
      </c>
      <c r="V421" t="str">
        <f>IF(Employees_Data[[#This Row],[Salary]]&lt;=30000,"Low",IF(AND(Employees_Data[[#This Row],[Salary]]&gt;30000,Employees_Data[[#This Row],[Salary]]&lt;=60000),"Medium",IF(AND(Employees_Data[[#This Row],[Salary]]&gt;60000,Employees_Data[[#This Row],[Salary]]&lt;=90000),"High",IF(Employees_Data[[#This Row],[Salary]]&gt;90000,"Executive"))))</f>
        <v>Executive</v>
      </c>
      <c r="W42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21" s="14" t="str">
        <f>VLOOKUP(Employees_Data[[#This Row],[Department]],Departments!$A$2:$B$7,2,FALSE)</f>
        <v>D01</v>
      </c>
      <c r="Y421" s="14" t="str">
        <f>INDEX(Departments!$B$2:$B$7,MATCH(Employees_Data[[#This Row],[Department]],Departments!$A$2:$A$7,0))</f>
        <v>D01</v>
      </c>
      <c r="Z421" s="14" t="str">
        <f>INDEX(Salary_Bands!$C$2:$C$5,MATCH(Employees_Data[[#This Row],[Salary]],Salary_Bands!$A$2:$A$5,1))</f>
        <v>Executive</v>
      </c>
    </row>
    <row r="422" spans="1:26" hidden="1" x14ac:dyDescent="0.3">
      <c r="A422" t="s">
        <v>905</v>
      </c>
      <c r="B422" t="s">
        <v>906</v>
      </c>
      <c r="C422" t="s">
        <v>22</v>
      </c>
      <c r="D422" s="12">
        <v>41</v>
      </c>
      <c r="E422" t="s">
        <v>33</v>
      </c>
      <c r="F422" t="s">
        <v>118</v>
      </c>
      <c r="G422" t="s">
        <v>35</v>
      </c>
      <c r="H422">
        <v>19</v>
      </c>
      <c r="I422" s="1">
        <v>44165</v>
      </c>
      <c r="J422" s="10">
        <v>54724</v>
      </c>
      <c r="K422" s="10">
        <v>13571</v>
      </c>
      <c r="L422">
        <v>4</v>
      </c>
      <c r="M422" t="s">
        <v>36</v>
      </c>
      <c r="N422" t="s">
        <v>58</v>
      </c>
      <c r="O422" t="s">
        <v>28</v>
      </c>
      <c r="P422" t="s">
        <v>29</v>
      </c>
      <c r="Q422">
        <v>44</v>
      </c>
      <c r="R422">
        <v>5</v>
      </c>
      <c r="S422">
        <v>6</v>
      </c>
      <c r="T422" t="s">
        <v>30</v>
      </c>
      <c r="U422" t="str">
        <f>IF(AND(Employees_Data[[#This Row],[Age]]&gt;=20,Employees_Data[[#This Row],[Age]]&lt;=30),"Young",IF(AND(Employees_Data[[#This Row],[Age]]&gt;=31,Employees_Data[[#This Row],[Age]]&lt;=40),"Mid-Age",IF(Employees_Data[[#This Row],[Age]]&gt;=41,"Senior")))</f>
        <v>Senior</v>
      </c>
      <c r="V422" t="str">
        <f>IF(Employees_Data[[#This Row],[Salary]]&lt;=30000,"Low",IF(AND(Employees_Data[[#This Row],[Salary]]&gt;30000,Employees_Data[[#This Row],[Salary]]&lt;=60000),"Medium",IF(AND(Employees_Data[[#This Row],[Salary]]&gt;60000,Employees_Data[[#This Row],[Salary]]&lt;=90000),"High",IF(Employees_Data[[#This Row],[Salary]]&gt;90000,"Executive"))))</f>
        <v>Medium</v>
      </c>
      <c r="W42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22" s="14" t="str">
        <f>VLOOKUP(Employees_Data[[#This Row],[Department]],Departments!$A$2:$B$7,2,FALSE)</f>
        <v>D05</v>
      </c>
      <c r="Y422" s="14" t="str">
        <f>INDEX(Departments!$B$2:$B$7,MATCH(Employees_Data[[#This Row],[Department]],Departments!$A$2:$A$7,0))</f>
        <v>D05</v>
      </c>
      <c r="Z422" s="14" t="str">
        <f>INDEX(Salary_Bands!$C$2:$C$5,MATCH(Employees_Data[[#This Row],[Salary]],Salary_Bands!$A$2:$A$5,1))</f>
        <v>Medium</v>
      </c>
    </row>
    <row r="423" spans="1:26" hidden="1" x14ac:dyDescent="0.3">
      <c r="A423" t="s">
        <v>907</v>
      </c>
      <c r="B423" t="s">
        <v>908</v>
      </c>
      <c r="C423" t="s">
        <v>40</v>
      </c>
      <c r="D423" s="12">
        <v>40</v>
      </c>
      <c r="E423" t="s">
        <v>23</v>
      </c>
      <c r="F423" t="s">
        <v>109</v>
      </c>
      <c r="G423" t="s">
        <v>25</v>
      </c>
      <c r="H423">
        <v>18</v>
      </c>
      <c r="I423" s="1">
        <v>43819</v>
      </c>
      <c r="J423" s="10">
        <v>135012</v>
      </c>
      <c r="K423" s="10">
        <v>6144</v>
      </c>
      <c r="L423">
        <v>2</v>
      </c>
      <c r="M423" t="s">
        <v>36</v>
      </c>
      <c r="N423" t="s">
        <v>37</v>
      </c>
      <c r="O423" t="s">
        <v>28</v>
      </c>
      <c r="P423" t="s">
        <v>28</v>
      </c>
      <c r="Q423">
        <v>16</v>
      </c>
      <c r="R423">
        <v>6</v>
      </c>
      <c r="S423">
        <v>3</v>
      </c>
      <c r="T423" t="s">
        <v>43</v>
      </c>
      <c r="U423" t="str">
        <f>IF(AND(Employees_Data[[#This Row],[Age]]&gt;=20,Employees_Data[[#This Row],[Age]]&lt;=30),"Young",IF(AND(Employees_Data[[#This Row],[Age]]&gt;=31,Employees_Data[[#This Row],[Age]]&lt;=40),"Mid-Age",IF(Employees_Data[[#This Row],[Age]]&gt;=41,"Senior")))</f>
        <v>Mid-Age</v>
      </c>
      <c r="V423" t="str">
        <f>IF(Employees_Data[[#This Row],[Salary]]&lt;=30000,"Low",IF(AND(Employees_Data[[#This Row],[Salary]]&gt;30000,Employees_Data[[#This Row],[Salary]]&lt;=60000),"Medium",IF(AND(Employees_Data[[#This Row],[Salary]]&gt;60000,Employees_Data[[#This Row],[Salary]]&lt;=90000),"High",IF(Employees_Data[[#This Row],[Salary]]&gt;90000,"Executive"))))</f>
        <v>Executive</v>
      </c>
      <c r="W42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23" s="14" t="str">
        <f>VLOOKUP(Employees_Data[[#This Row],[Department]],Departments!$A$2:$B$7,2,FALSE)</f>
        <v>D06</v>
      </c>
      <c r="Y423" s="14" t="str">
        <f>INDEX(Departments!$B$2:$B$7,MATCH(Employees_Data[[#This Row],[Department]],Departments!$A$2:$A$7,0))</f>
        <v>D06</v>
      </c>
      <c r="Z423" s="14" t="str">
        <f>INDEX(Salary_Bands!$C$2:$C$5,MATCH(Employees_Data[[#This Row],[Salary]],Salary_Bands!$A$2:$A$5,1))</f>
        <v>Executive</v>
      </c>
    </row>
    <row r="424" spans="1:26" hidden="1" x14ac:dyDescent="0.3">
      <c r="A424" t="s">
        <v>909</v>
      </c>
      <c r="B424" t="s">
        <v>910</v>
      </c>
      <c r="C424" t="s">
        <v>40</v>
      </c>
      <c r="D424" s="12">
        <v>24</v>
      </c>
      <c r="E424" t="s">
        <v>33</v>
      </c>
      <c r="F424" t="s">
        <v>34</v>
      </c>
      <c r="G424" t="s">
        <v>80</v>
      </c>
      <c r="H424">
        <v>0</v>
      </c>
      <c r="I424" s="1">
        <v>44399</v>
      </c>
      <c r="J424" s="10">
        <v>70068</v>
      </c>
      <c r="K424" s="10">
        <v>2816</v>
      </c>
      <c r="L424">
        <v>2</v>
      </c>
      <c r="M424" t="s">
        <v>36</v>
      </c>
      <c r="N424" t="s">
        <v>58</v>
      </c>
      <c r="O424" t="s">
        <v>28</v>
      </c>
      <c r="P424" t="s">
        <v>29</v>
      </c>
      <c r="Q424">
        <v>34</v>
      </c>
      <c r="R424">
        <v>10</v>
      </c>
      <c r="S424">
        <v>6</v>
      </c>
      <c r="T424" t="s">
        <v>30</v>
      </c>
      <c r="U424" t="str">
        <f>IF(AND(Employees_Data[[#This Row],[Age]]&gt;=20,Employees_Data[[#This Row],[Age]]&lt;=30),"Young",IF(AND(Employees_Data[[#This Row],[Age]]&gt;=31,Employees_Data[[#This Row],[Age]]&lt;=40),"Mid-Age",IF(Employees_Data[[#This Row],[Age]]&gt;=41,"Senior")))</f>
        <v>Young</v>
      </c>
      <c r="V424" t="str">
        <f>IF(Employees_Data[[#This Row],[Salary]]&lt;=30000,"Low",IF(AND(Employees_Data[[#This Row],[Salary]]&gt;30000,Employees_Data[[#This Row],[Salary]]&lt;=60000),"Medium",IF(AND(Employees_Data[[#This Row],[Salary]]&gt;60000,Employees_Data[[#This Row],[Salary]]&lt;=90000),"High",IF(Employees_Data[[#This Row],[Salary]]&gt;90000,"Executive"))))</f>
        <v>High</v>
      </c>
      <c r="W42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24" s="14" t="str">
        <f>VLOOKUP(Employees_Data[[#This Row],[Department]],Departments!$A$2:$B$7,2,FALSE)</f>
        <v>D05</v>
      </c>
      <c r="Y424" s="14" t="str">
        <f>INDEX(Departments!$B$2:$B$7,MATCH(Employees_Data[[#This Row],[Department]],Departments!$A$2:$A$7,0))</f>
        <v>D05</v>
      </c>
      <c r="Z424" s="14" t="str">
        <f>INDEX(Salary_Bands!$C$2:$C$5,MATCH(Employees_Data[[#This Row],[Salary]],Salary_Bands!$A$2:$A$5,1))</f>
        <v>High</v>
      </c>
    </row>
    <row r="425" spans="1:26" hidden="1" x14ac:dyDescent="0.3">
      <c r="A425" t="s">
        <v>911</v>
      </c>
      <c r="B425" t="s">
        <v>912</v>
      </c>
      <c r="C425" t="s">
        <v>40</v>
      </c>
      <c r="D425" s="12">
        <v>54</v>
      </c>
      <c r="E425" t="s">
        <v>61</v>
      </c>
      <c r="F425" t="s">
        <v>62</v>
      </c>
      <c r="G425" t="s">
        <v>51</v>
      </c>
      <c r="H425">
        <v>31</v>
      </c>
      <c r="I425" s="1">
        <v>44311</v>
      </c>
      <c r="J425" s="10">
        <v>87116</v>
      </c>
      <c r="K425" s="10">
        <v>24581</v>
      </c>
      <c r="L425">
        <v>3</v>
      </c>
      <c r="M425" t="s">
        <v>26</v>
      </c>
      <c r="N425" t="s">
        <v>48</v>
      </c>
      <c r="O425" t="s">
        <v>28</v>
      </c>
      <c r="P425" t="s">
        <v>28</v>
      </c>
      <c r="Q425">
        <v>7</v>
      </c>
      <c r="R425">
        <v>4</v>
      </c>
      <c r="S425">
        <v>10</v>
      </c>
      <c r="T425" t="s">
        <v>30</v>
      </c>
      <c r="U425" t="str">
        <f>IF(AND(Employees_Data[[#This Row],[Age]]&gt;=20,Employees_Data[[#This Row],[Age]]&lt;=30),"Young",IF(AND(Employees_Data[[#This Row],[Age]]&gt;=31,Employees_Data[[#This Row],[Age]]&lt;=40),"Mid-Age",IF(Employees_Data[[#This Row],[Age]]&gt;=41,"Senior")))</f>
        <v>Senior</v>
      </c>
      <c r="V425" t="str">
        <f>IF(Employees_Data[[#This Row],[Salary]]&lt;=30000,"Low",IF(AND(Employees_Data[[#This Row],[Salary]]&gt;30000,Employees_Data[[#This Row],[Salary]]&lt;=60000),"Medium",IF(AND(Employees_Data[[#This Row],[Salary]]&gt;60000,Employees_Data[[#This Row],[Salary]]&lt;=90000),"High",IF(Employees_Data[[#This Row],[Salary]]&gt;90000,"Executive"))))</f>
        <v>High</v>
      </c>
      <c r="W42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25" s="14" t="str">
        <f>VLOOKUP(Employees_Data[[#This Row],[Department]],Departments!$A$2:$B$7,2,FALSE)</f>
        <v>D02</v>
      </c>
      <c r="Y425" s="14" t="str">
        <f>INDEX(Departments!$B$2:$B$7,MATCH(Employees_Data[[#This Row],[Department]],Departments!$A$2:$A$7,0))</f>
        <v>D02</v>
      </c>
      <c r="Z425" s="14" t="str">
        <f>INDEX(Salary_Bands!$C$2:$C$5,MATCH(Employees_Data[[#This Row],[Salary]],Salary_Bands!$A$2:$A$5,1))</f>
        <v>High</v>
      </c>
    </row>
    <row r="426" spans="1:26" hidden="1" x14ac:dyDescent="0.3">
      <c r="A426" t="s">
        <v>913</v>
      </c>
      <c r="B426" t="s">
        <v>914</v>
      </c>
      <c r="C426" t="s">
        <v>22</v>
      </c>
      <c r="D426" s="12">
        <v>29</v>
      </c>
      <c r="E426" t="s">
        <v>23</v>
      </c>
      <c r="F426" t="s">
        <v>109</v>
      </c>
      <c r="G426" t="s">
        <v>25</v>
      </c>
      <c r="H426">
        <v>6</v>
      </c>
      <c r="I426" s="1">
        <v>43202</v>
      </c>
      <c r="J426" s="10">
        <v>77642</v>
      </c>
      <c r="K426" s="10">
        <v>23014</v>
      </c>
      <c r="L426">
        <v>5</v>
      </c>
      <c r="M426" t="s">
        <v>26</v>
      </c>
      <c r="N426" t="s">
        <v>53</v>
      </c>
      <c r="O426" t="s">
        <v>28</v>
      </c>
      <c r="P426" t="s">
        <v>29</v>
      </c>
      <c r="Q426">
        <v>55</v>
      </c>
      <c r="R426">
        <v>8</v>
      </c>
      <c r="S426">
        <v>4</v>
      </c>
      <c r="T426" t="s">
        <v>43</v>
      </c>
      <c r="U426" t="str">
        <f>IF(AND(Employees_Data[[#This Row],[Age]]&gt;=20,Employees_Data[[#This Row],[Age]]&lt;=30),"Young",IF(AND(Employees_Data[[#This Row],[Age]]&gt;=31,Employees_Data[[#This Row],[Age]]&lt;=40),"Mid-Age",IF(Employees_Data[[#This Row],[Age]]&gt;=41,"Senior")))</f>
        <v>Young</v>
      </c>
      <c r="V426" t="str">
        <f>IF(Employees_Data[[#This Row],[Salary]]&lt;=30000,"Low",IF(AND(Employees_Data[[#This Row],[Salary]]&gt;30000,Employees_Data[[#This Row],[Salary]]&lt;=60000),"Medium",IF(AND(Employees_Data[[#This Row],[Salary]]&gt;60000,Employees_Data[[#This Row],[Salary]]&lt;=90000),"High",IF(Employees_Data[[#This Row],[Salary]]&gt;90000,"Executive"))))</f>
        <v>High</v>
      </c>
      <c r="W42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26" s="14" t="str">
        <f>VLOOKUP(Employees_Data[[#This Row],[Department]],Departments!$A$2:$B$7,2,FALSE)</f>
        <v>D06</v>
      </c>
      <c r="Y426" s="14" t="str">
        <f>INDEX(Departments!$B$2:$B$7,MATCH(Employees_Data[[#This Row],[Department]],Departments!$A$2:$A$7,0))</f>
        <v>D06</v>
      </c>
      <c r="Z426" s="14" t="str">
        <f>INDEX(Salary_Bands!$C$2:$C$5,MATCH(Employees_Data[[#This Row],[Salary]],Salary_Bands!$A$2:$A$5,1))</f>
        <v>High</v>
      </c>
    </row>
    <row r="427" spans="1:26" hidden="1" x14ac:dyDescent="0.3">
      <c r="A427" t="s">
        <v>915</v>
      </c>
      <c r="B427" t="s">
        <v>916</v>
      </c>
      <c r="C427" t="s">
        <v>22</v>
      </c>
      <c r="D427" s="12">
        <v>27</v>
      </c>
      <c r="E427" t="s">
        <v>61</v>
      </c>
      <c r="F427" t="s">
        <v>62</v>
      </c>
      <c r="G427" t="s">
        <v>51</v>
      </c>
      <c r="H427">
        <v>2</v>
      </c>
      <c r="I427" s="1">
        <v>44925</v>
      </c>
      <c r="J427" s="10">
        <v>113744</v>
      </c>
      <c r="K427" s="10">
        <v>15027</v>
      </c>
      <c r="L427">
        <v>1</v>
      </c>
      <c r="M427" t="s">
        <v>26</v>
      </c>
      <c r="N427" t="s">
        <v>48</v>
      </c>
      <c r="O427" t="s">
        <v>28</v>
      </c>
      <c r="P427" t="s">
        <v>28</v>
      </c>
      <c r="Q427">
        <v>28</v>
      </c>
      <c r="R427">
        <v>12</v>
      </c>
      <c r="S427">
        <v>9</v>
      </c>
      <c r="T427" t="s">
        <v>30</v>
      </c>
      <c r="U427" t="str">
        <f>IF(AND(Employees_Data[[#This Row],[Age]]&gt;=20,Employees_Data[[#This Row],[Age]]&lt;=30),"Young",IF(AND(Employees_Data[[#This Row],[Age]]&gt;=31,Employees_Data[[#This Row],[Age]]&lt;=40),"Mid-Age",IF(Employees_Data[[#This Row],[Age]]&gt;=41,"Senior")))</f>
        <v>Young</v>
      </c>
      <c r="V427" t="str">
        <f>IF(Employees_Data[[#This Row],[Salary]]&lt;=30000,"Low",IF(AND(Employees_Data[[#This Row],[Salary]]&gt;30000,Employees_Data[[#This Row],[Salary]]&lt;=60000),"Medium",IF(AND(Employees_Data[[#This Row],[Salary]]&gt;60000,Employees_Data[[#This Row],[Salary]]&lt;=90000),"High",IF(Employees_Data[[#This Row],[Salary]]&gt;90000,"Executive"))))</f>
        <v>Executive</v>
      </c>
      <c r="W42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27" s="14" t="str">
        <f>VLOOKUP(Employees_Data[[#This Row],[Department]],Departments!$A$2:$B$7,2,FALSE)</f>
        <v>D02</v>
      </c>
      <c r="Y427" s="14" t="str">
        <f>INDEX(Departments!$B$2:$B$7,MATCH(Employees_Data[[#This Row],[Department]],Departments!$A$2:$A$7,0))</f>
        <v>D02</v>
      </c>
      <c r="Z427" s="14" t="str">
        <f>INDEX(Salary_Bands!$C$2:$C$5,MATCH(Employees_Data[[#This Row],[Salary]],Salary_Bands!$A$2:$A$5,1))</f>
        <v>Executive</v>
      </c>
    </row>
    <row r="428" spans="1:26" x14ac:dyDescent="0.3">
      <c r="A428" t="s">
        <v>917</v>
      </c>
      <c r="B428" t="s">
        <v>918</v>
      </c>
      <c r="C428" t="s">
        <v>40</v>
      </c>
      <c r="D428" s="12">
        <v>40</v>
      </c>
      <c r="E428" t="s">
        <v>41</v>
      </c>
      <c r="F428" t="s">
        <v>42</v>
      </c>
      <c r="G428" t="s">
        <v>47</v>
      </c>
      <c r="H428">
        <v>17</v>
      </c>
      <c r="I428" s="1">
        <v>44540</v>
      </c>
      <c r="J428" s="10">
        <v>65381</v>
      </c>
      <c r="K428" s="10">
        <v>16499</v>
      </c>
      <c r="L428">
        <v>4</v>
      </c>
      <c r="M428" t="s">
        <v>36</v>
      </c>
      <c r="N428" t="s">
        <v>76</v>
      </c>
      <c r="O428" s="5" t="s">
        <v>29</v>
      </c>
      <c r="P428" t="s">
        <v>28</v>
      </c>
      <c r="Q428">
        <v>51</v>
      </c>
      <c r="R428">
        <v>13</v>
      </c>
      <c r="S428">
        <v>9</v>
      </c>
      <c r="T428" t="s">
        <v>30</v>
      </c>
      <c r="U428" t="str">
        <f>IF(AND(Employees_Data[[#This Row],[Age]]&gt;=20,Employees_Data[[#This Row],[Age]]&lt;=30),"Young",IF(AND(Employees_Data[[#This Row],[Age]]&gt;=31,Employees_Data[[#This Row],[Age]]&lt;=40),"Mid-Age",IF(Employees_Data[[#This Row],[Age]]&gt;=41,"Senior")))</f>
        <v>Mid-Age</v>
      </c>
      <c r="V428" t="str">
        <f>IF(Employees_Data[[#This Row],[Salary]]&lt;=30000,"Low",IF(AND(Employees_Data[[#This Row],[Salary]]&gt;30000,Employees_Data[[#This Row],[Salary]]&lt;=60000),"Medium",IF(AND(Employees_Data[[#This Row],[Salary]]&gt;60000,Employees_Data[[#This Row],[Salary]]&lt;=90000),"High",IF(Employees_Data[[#This Row],[Salary]]&gt;90000,"Executive"))))</f>
        <v>High</v>
      </c>
      <c r="W42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28" s="14" t="str">
        <f>VLOOKUP(Employees_Data[[#This Row],[Department]],Departments!$A$2:$B$7,2,FALSE)</f>
        <v>D03</v>
      </c>
      <c r="Y428" s="14" t="str">
        <f>INDEX(Departments!$B$2:$B$7,MATCH(Employees_Data[[#This Row],[Department]],Departments!$A$2:$A$7,0))</f>
        <v>D03</v>
      </c>
      <c r="Z428" s="14" t="str">
        <f>INDEX(Salary_Bands!$C$2:$C$5,MATCH(Employees_Data[[#This Row],[Salary]],Salary_Bands!$A$2:$A$5,1))</f>
        <v>High</v>
      </c>
    </row>
    <row r="429" spans="1:26" hidden="1" x14ac:dyDescent="0.3">
      <c r="A429" t="s">
        <v>919</v>
      </c>
      <c r="B429" t="s">
        <v>920</v>
      </c>
      <c r="C429" t="s">
        <v>40</v>
      </c>
      <c r="D429" s="12">
        <v>27</v>
      </c>
      <c r="E429" t="s">
        <v>61</v>
      </c>
      <c r="F429" t="s">
        <v>66</v>
      </c>
      <c r="G429" t="s">
        <v>80</v>
      </c>
      <c r="H429">
        <v>5</v>
      </c>
      <c r="I429" s="1">
        <v>43952</v>
      </c>
      <c r="J429" s="10">
        <v>64745</v>
      </c>
      <c r="K429" s="10">
        <v>2216</v>
      </c>
      <c r="L429">
        <v>4</v>
      </c>
      <c r="M429" t="s">
        <v>36</v>
      </c>
      <c r="N429" t="s">
        <v>48</v>
      </c>
      <c r="O429" t="s">
        <v>28</v>
      </c>
      <c r="P429" t="s">
        <v>28</v>
      </c>
      <c r="Q429">
        <v>31</v>
      </c>
      <c r="R429">
        <v>5</v>
      </c>
      <c r="S429">
        <v>9</v>
      </c>
      <c r="T429" t="s">
        <v>43</v>
      </c>
      <c r="U429" t="str">
        <f>IF(AND(Employees_Data[[#This Row],[Age]]&gt;=20,Employees_Data[[#This Row],[Age]]&lt;=30),"Young",IF(AND(Employees_Data[[#This Row],[Age]]&gt;=31,Employees_Data[[#This Row],[Age]]&lt;=40),"Mid-Age",IF(Employees_Data[[#This Row],[Age]]&gt;=41,"Senior")))</f>
        <v>Young</v>
      </c>
      <c r="V429" t="str">
        <f>IF(Employees_Data[[#This Row],[Salary]]&lt;=30000,"Low",IF(AND(Employees_Data[[#This Row],[Salary]]&gt;30000,Employees_Data[[#This Row],[Salary]]&lt;=60000),"Medium",IF(AND(Employees_Data[[#This Row],[Salary]]&gt;60000,Employees_Data[[#This Row],[Salary]]&lt;=90000),"High",IF(Employees_Data[[#This Row],[Salary]]&gt;90000,"Executive"))))</f>
        <v>High</v>
      </c>
      <c r="W42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429" s="14" t="str">
        <f>VLOOKUP(Employees_Data[[#This Row],[Department]],Departments!$A$2:$B$7,2,FALSE)</f>
        <v>D02</v>
      </c>
      <c r="Y429" s="14" t="str">
        <f>INDEX(Departments!$B$2:$B$7,MATCH(Employees_Data[[#This Row],[Department]],Departments!$A$2:$A$7,0))</f>
        <v>D02</v>
      </c>
      <c r="Z429" s="14" t="str">
        <f>INDEX(Salary_Bands!$C$2:$C$5,MATCH(Employees_Data[[#This Row],[Salary]],Salary_Bands!$A$2:$A$5,1))</f>
        <v>High</v>
      </c>
    </row>
    <row r="430" spans="1:26" hidden="1" x14ac:dyDescent="0.3">
      <c r="A430" t="s">
        <v>921</v>
      </c>
      <c r="B430" t="s">
        <v>922</v>
      </c>
      <c r="C430" t="s">
        <v>40</v>
      </c>
      <c r="D430" s="12">
        <v>30</v>
      </c>
      <c r="E430" t="s">
        <v>33</v>
      </c>
      <c r="F430" t="s">
        <v>46</v>
      </c>
      <c r="G430" t="s">
        <v>25</v>
      </c>
      <c r="H430">
        <v>8</v>
      </c>
      <c r="I430" s="1">
        <v>43862</v>
      </c>
      <c r="J430" s="10">
        <v>134089</v>
      </c>
      <c r="K430" s="10">
        <v>11958</v>
      </c>
      <c r="L430">
        <v>4</v>
      </c>
      <c r="M430" t="s">
        <v>36</v>
      </c>
      <c r="N430" t="s">
        <v>53</v>
      </c>
      <c r="O430" t="s">
        <v>28</v>
      </c>
      <c r="P430" t="s">
        <v>28</v>
      </c>
      <c r="Q430">
        <v>19</v>
      </c>
      <c r="R430">
        <v>0</v>
      </c>
      <c r="S430">
        <v>5</v>
      </c>
      <c r="T430" t="s">
        <v>43</v>
      </c>
      <c r="U430" t="str">
        <f>IF(AND(Employees_Data[[#This Row],[Age]]&gt;=20,Employees_Data[[#This Row],[Age]]&lt;=30),"Young",IF(AND(Employees_Data[[#This Row],[Age]]&gt;=31,Employees_Data[[#This Row],[Age]]&lt;=40),"Mid-Age",IF(Employees_Data[[#This Row],[Age]]&gt;=41,"Senior")))</f>
        <v>Young</v>
      </c>
      <c r="V430" t="str">
        <f>IF(Employees_Data[[#This Row],[Salary]]&lt;=30000,"Low",IF(AND(Employees_Data[[#This Row],[Salary]]&gt;30000,Employees_Data[[#This Row],[Salary]]&lt;=60000),"Medium",IF(AND(Employees_Data[[#This Row],[Salary]]&gt;60000,Employees_Data[[#This Row],[Salary]]&lt;=90000),"High",IF(Employees_Data[[#This Row],[Salary]]&gt;90000,"Executive"))))</f>
        <v>Executive</v>
      </c>
      <c r="W43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30" s="14" t="str">
        <f>VLOOKUP(Employees_Data[[#This Row],[Department]],Departments!$A$2:$B$7,2,FALSE)</f>
        <v>D05</v>
      </c>
      <c r="Y430" s="14" t="str">
        <f>INDEX(Departments!$B$2:$B$7,MATCH(Employees_Data[[#This Row],[Department]],Departments!$A$2:$A$7,0))</f>
        <v>D05</v>
      </c>
      <c r="Z430" s="14" t="str">
        <f>INDEX(Salary_Bands!$C$2:$C$5,MATCH(Employees_Data[[#This Row],[Salary]],Salary_Bands!$A$2:$A$5,1))</f>
        <v>Executive</v>
      </c>
    </row>
    <row r="431" spans="1:26" hidden="1" x14ac:dyDescent="0.3">
      <c r="A431" t="s">
        <v>923</v>
      </c>
      <c r="B431" t="s">
        <v>924</v>
      </c>
      <c r="C431" t="s">
        <v>22</v>
      </c>
      <c r="D431" s="12">
        <v>38</v>
      </c>
      <c r="E431" t="s">
        <v>56</v>
      </c>
      <c r="F431" t="s">
        <v>57</v>
      </c>
      <c r="G431" t="s">
        <v>80</v>
      </c>
      <c r="H431">
        <v>15</v>
      </c>
      <c r="I431" s="1">
        <v>45036</v>
      </c>
      <c r="J431" s="10">
        <v>41276</v>
      </c>
      <c r="K431" s="10">
        <v>5911</v>
      </c>
      <c r="L431">
        <v>3</v>
      </c>
      <c r="M431" t="s">
        <v>36</v>
      </c>
      <c r="N431" t="s">
        <v>58</v>
      </c>
      <c r="O431" t="s">
        <v>28</v>
      </c>
      <c r="P431" t="s">
        <v>29</v>
      </c>
      <c r="Q431">
        <v>43</v>
      </c>
      <c r="R431">
        <v>11</v>
      </c>
      <c r="S431">
        <v>7</v>
      </c>
      <c r="T431" t="s">
        <v>30</v>
      </c>
      <c r="U431" t="str">
        <f>IF(AND(Employees_Data[[#This Row],[Age]]&gt;=20,Employees_Data[[#This Row],[Age]]&lt;=30),"Young",IF(AND(Employees_Data[[#This Row],[Age]]&gt;=31,Employees_Data[[#This Row],[Age]]&lt;=40),"Mid-Age",IF(Employees_Data[[#This Row],[Age]]&gt;=41,"Senior")))</f>
        <v>Mid-Age</v>
      </c>
      <c r="V431" t="str">
        <f>IF(Employees_Data[[#This Row],[Salary]]&lt;=30000,"Low",IF(AND(Employees_Data[[#This Row],[Salary]]&gt;30000,Employees_Data[[#This Row],[Salary]]&lt;=60000),"Medium",IF(AND(Employees_Data[[#This Row],[Salary]]&gt;60000,Employees_Data[[#This Row],[Salary]]&lt;=90000),"High",IF(Employees_Data[[#This Row],[Salary]]&gt;90000,"Executive"))))</f>
        <v>Medium</v>
      </c>
      <c r="W43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31" s="14" t="str">
        <f>VLOOKUP(Employees_Data[[#This Row],[Department]],Departments!$A$2:$B$7,2,FALSE)</f>
        <v>D01</v>
      </c>
      <c r="Y431" s="14" t="str">
        <f>INDEX(Departments!$B$2:$B$7,MATCH(Employees_Data[[#This Row],[Department]],Departments!$A$2:$A$7,0))</f>
        <v>D01</v>
      </c>
      <c r="Z431" s="14" t="str">
        <f>INDEX(Salary_Bands!$C$2:$C$5,MATCH(Employees_Data[[#This Row],[Salary]],Salary_Bands!$A$2:$A$5,1))</f>
        <v>Medium</v>
      </c>
    </row>
    <row r="432" spans="1:26" hidden="1" x14ac:dyDescent="0.3">
      <c r="A432" t="s">
        <v>925</v>
      </c>
      <c r="B432" t="s">
        <v>926</v>
      </c>
      <c r="C432" t="s">
        <v>40</v>
      </c>
      <c r="D432" s="12">
        <v>49</v>
      </c>
      <c r="E432" t="s">
        <v>33</v>
      </c>
      <c r="F432" t="s">
        <v>46</v>
      </c>
      <c r="G432" t="s">
        <v>35</v>
      </c>
      <c r="H432">
        <v>26</v>
      </c>
      <c r="I432" s="1">
        <v>45050</v>
      </c>
      <c r="J432" s="10">
        <v>115996</v>
      </c>
      <c r="K432" s="10">
        <v>21059</v>
      </c>
      <c r="L432">
        <v>1</v>
      </c>
      <c r="M432" t="s">
        <v>26</v>
      </c>
      <c r="N432" t="s">
        <v>76</v>
      </c>
      <c r="O432" t="s">
        <v>28</v>
      </c>
      <c r="P432" t="s">
        <v>28</v>
      </c>
      <c r="Q432">
        <v>34</v>
      </c>
      <c r="R432">
        <v>4</v>
      </c>
      <c r="S432">
        <v>6</v>
      </c>
      <c r="T432" t="s">
        <v>30</v>
      </c>
      <c r="U432" t="str">
        <f>IF(AND(Employees_Data[[#This Row],[Age]]&gt;=20,Employees_Data[[#This Row],[Age]]&lt;=30),"Young",IF(AND(Employees_Data[[#This Row],[Age]]&gt;=31,Employees_Data[[#This Row],[Age]]&lt;=40),"Mid-Age",IF(Employees_Data[[#This Row],[Age]]&gt;=41,"Senior")))</f>
        <v>Senior</v>
      </c>
      <c r="V432" t="str">
        <f>IF(Employees_Data[[#This Row],[Salary]]&lt;=30000,"Low",IF(AND(Employees_Data[[#This Row],[Salary]]&gt;30000,Employees_Data[[#This Row],[Salary]]&lt;=60000),"Medium",IF(AND(Employees_Data[[#This Row],[Salary]]&gt;60000,Employees_Data[[#This Row],[Salary]]&lt;=90000),"High",IF(Employees_Data[[#This Row],[Salary]]&gt;90000,"Executive"))))</f>
        <v>Executive</v>
      </c>
      <c r="W43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32" s="14" t="str">
        <f>VLOOKUP(Employees_Data[[#This Row],[Department]],Departments!$A$2:$B$7,2,FALSE)</f>
        <v>D05</v>
      </c>
      <c r="Y432" s="14" t="str">
        <f>INDEX(Departments!$B$2:$B$7,MATCH(Employees_Data[[#This Row],[Department]],Departments!$A$2:$A$7,0))</f>
        <v>D05</v>
      </c>
      <c r="Z432" s="14" t="str">
        <f>INDEX(Salary_Bands!$C$2:$C$5,MATCH(Employees_Data[[#This Row],[Salary]],Salary_Bands!$A$2:$A$5,1))</f>
        <v>Executive</v>
      </c>
    </row>
    <row r="433" spans="1:26" hidden="1" x14ac:dyDescent="0.3">
      <c r="A433" t="s">
        <v>927</v>
      </c>
      <c r="B433" t="s">
        <v>928</v>
      </c>
      <c r="C433" t="s">
        <v>22</v>
      </c>
      <c r="D433" s="12">
        <v>25</v>
      </c>
      <c r="E433" t="s">
        <v>41</v>
      </c>
      <c r="F433" t="s">
        <v>42</v>
      </c>
      <c r="G433" t="s">
        <v>25</v>
      </c>
      <c r="H433">
        <v>2</v>
      </c>
      <c r="I433" s="1">
        <v>44580</v>
      </c>
      <c r="J433" s="10">
        <v>79986</v>
      </c>
      <c r="K433" s="10">
        <v>8350</v>
      </c>
      <c r="L433">
        <v>3</v>
      </c>
      <c r="M433" t="s">
        <v>52</v>
      </c>
      <c r="N433" t="s">
        <v>76</v>
      </c>
      <c r="O433" t="s">
        <v>28</v>
      </c>
      <c r="P433" t="s">
        <v>29</v>
      </c>
      <c r="Q433">
        <v>43</v>
      </c>
      <c r="R433">
        <v>5</v>
      </c>
      <c r="S433">
        <v>1</v>
      </c>
      <c r="T433" t="s">
        <v>30</v>
      </c>
      <c r="U433" t="str">
        <f>IF(AND(Employees_Data[[#This Row],[Age]]&gt;=20,Employees_Data[[#This Row],[Age]]&lt;=30),"Young",IF(AND(Employees_Data[[#This Row],[Age]]&gt;=31,Employees_Data[[#This Row],[Age]]&lt;=40),"Mid-Age",IF(Employees_Data[[#This Row],[Age]]&gt;=41,"Senior")))</f>
        <v>Young</v>
      </c>
      <c r="V433" t="str">
        <f>IF(Employees_Data[[#This Row],[Salary]]&lt;=30000,"Low",IF(AND(Employees_Data[[#This Row],[Salary]]&gt;30000,Employees_Data[[#This Row],[Salary]]&lt;=60000),"Medium",IF(AND(Employees_Data[[#This Row],[Salary]]&gt;60000,Employees_Data[[#This Row],[Salary]]&lt;=90000),"High",IF(Employees_Data[[#This Row],[Salary]]&gt;90000,"Executive"))))</f>
        <v>High</v>
      </c>
      <c r="W43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33" s="14" t="str">
        <f>VLOOKUP(Employees_Data[[#This Row],[Department]],Departments!$A$2:$B$7,2,FALSE)</f>
        <v>D03</v>
      </c>
      <c r="Y433" s="14" t="str">
        <f>INDEX(Departments!$B$2:$B$7,MATCH(Employees_Data[[#This Row],[Department]],Departments!$A$2:$A$7,0))</f>
        <v>D03</v>
      </c>
      <c r="Z433" s="14" t="str">
        <f>INDEX(Salary_Bands!$C$2:$C$5,MATCH(Employees_Data[[#This Row],[Salary]],Salary_Bands!$A$2:$A$5,1))</f>
        <v>High</v>
      </c>
    </row>
    <row r="434" spans="1:26" hidden="1" x14ac:dyDescent="0.3">
      <c r="A434" t="s">
        <v>929</v>
      </c>
      <c r="B434" t="s">
        <v>930</v>
      </c>
      <c r="C434" t="s">
        <v>22</v>
      </c>
      <c r="D434" s="12">
        <v>42</v>
      </c>
      <c r="E434" t="s">
        <v>33</v>
      </c>
      <c r="F434" t="s">
        <v>46</v>
      </c>
      <c r="G434" t="s">
        <v>80</v>
      </c>
      <c r="H434">
        <v>16</v>
      </c>
      <c r="I434" s="1">
        <v>44334</v>
      </c>
      <c r="J434" s="10">
        <v>60580</v>
      </c>
      <c r="K434" s="10">
        <v>6487</v>
      </c>
      <c r="L434">
        <v>3</v>
      </c>
      <c r="M434" t="s">
        <v>52</v>
      </c>
      <c r="N434" t="s">
        <v>37</v>
      </c>
      <c r="O434" t="s">
        <v>28</v>
      </c>
      <c r="P434" t="s">
        <v>28</v>
      </c>
      <c r="Q434">
        <v>54</v>
      </c>
      <c r="R434">
        <v>15</v>
      </c>
      <c r="S434">
        <v>2</v>
      </c>
      <c r="T434" t="s">
        <v>30</v>
      </c>
      <c r="U434" t="str">
        <f>IF(AND(Employees_Data[[#This Row],[Age]]&gt;=20,Employees_Data[[#This Row],[Age]]&lt;=30),"Young",IF(AND(Employees_Data[[#This Row],[Age]]&gt;=31,Employees_Data[[#This Row],[Age]]&lt;=40),"Mid-Age",IF(Employees_Data[[#This Row],[Age]]&gt;=41,"Senior")))</f>
        <v>Senior</v>
      </c>
      <c r="V434" t="str">
        <f>IF(Employees_Data[[#This Row],[Salary]]&lt;=30000,"Low",IF(AND(Employees_Data[[#This Row],[Salary]]&gt;30000,Employees_Data[[#This Row],[Salary]]&lt;=60000),"Medium",IF(AND(Employees_Data[[#This Row],[Salary]]&gt;60000,Employees_Data[[#This Row],[Salary]]&lt;=90000),"High",IF(Employees_Data[[#This Row],[Salary]]&gt;90000,"Executive"))))</f>
        <v>High</v>
      </c>
      <c r="W43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34" s="14" t="str">
        <f>VLOOKUP(Employees_Data[[#This Row],[Department]],Departments!$A$2:$B$7,2,FALSE)</f>
        <v>D05</v>
      </c>
      <c r="Y434" s="14" t="str">
        <f>INDEX(Departments!$B$2:$B$7,MATCH(Employees_Data[[#This Row],[Department]],Departments!$A$2:$A$7,0))</f>
        <v>D05</v>
      </c>
      <c r="Z434" s="14" t="str">
        <f>INDEX(Salary_Bands!$C$2:$C$5,MATCH(Employees_Data[[#This Row],[Salary]],Salary_Bands!$A$2:$A$5,1))</f>
        <v>High</v>
      </c>
    </row>
    <row r="435" spans="1:26" hidden="1" x14ac:dyDescent="0.3">
      <c r="A435" t="s">
        <v>931</v>
      </c>
      <c r="B435" t="s">
        <v>932</v>
      </c>
      <c r="C435" t="s">
        <v>22</v>
      </c>
      <c r="D435" s="12">
        <v>32</v>
      </c>
      <c r="E435" t="s">
        <v>87</v>
      </c>
      <c r="F435" t="s">
        <v>220</v>
      </c>
      <c r="G435" t="s">
        <v>47</v>
      </c>
      <c r="H435">
        <v>11</v>
      </c>
      <c r="I435" s="1">
        <v>43993</v>
      </c>
      <c r="J435" s="10">
        <v>45257</v>
      </c>
      <c r="K435" s="10">
        <v>17089</v>
      </c>
      <c r="L435">
        <v>5</v>
      </c>
      <c r="M435" t="s">
        <v>26</v>
      </c>
      <c r="N435" t="s">
        <v>27</v>
      </c>
      <c r="O435" t="s">
        <v>28</v>
      </c>
      <c r="P435" t="s">
        <v>29</v>
      </c>
      <c r="Q435">
        <v>6</v>
      </c>
      <c r="R435">
        <v>15</v>
      </c>
      <c r="S435">
        <v>4</v>
      </c>
      <c r="T435" t="s">
        <v>30</v>
      </c>
      <c r="U435" t="str">
        <f>IF(AND(Employees_Data[[#This Row],[Age]]&gt;=20,Employees_Data[[#This Row],[Age]]&lt;=30),"Young",IF(AND(Employees_Data[[#This Row],[Age]]&gt;=31,Employees_Data[[#This Row],[Age]]&lt;=40),"Mid-Age",IF(Employees_Data[[#This Row],[Age]]&gt;=41,"Senior")))</f>
        <v>Mid-Age</v>
      </c>
      <c r="V435" t="str">
        <f>IF(Employees_Data[[#This Row],[Salary]]&lt;=30000,"Low",IF(AND(Employees_Data[[#This Row],[Salary]]&gt;30000,Employees_Data[[#This Row],[Salary]]&lt;=60000),"Medium",IF(AND(Employees_Data[[#This Row],[Salary]]&gt;60000,Employees_Data[[#This Row],[Salary]]&lt;=90000),"High",IF(Employees_Data[[#This Row],[Salary]]&gt;90000,"Executive"))))</f>
        <v>Medium</v>
      </c>
      <c r="W43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35" s="14" t="str">
        <f>VLOOKUP(Employees_Data[[#This Row],[Department]],Departments!$A$2:$B$7,2,FALSE)</f>
        <v>D04</v>
      </c>
      <c r="Y435" s="14" t="str">
        <f>INDEX(Departments!$B$2:$B$7,MATCH(Employees_Data[[#This Row],[Department]],Departments!$A$2:$A$7,0))</f>
        <v>D04</v>
      </c>
      <c r="Z435" s="14" t="str">
        <f>INDEX(Salary_Bands!$C$2:$C$5,MATCH(Employees_Data[[#This Row],[Salary]],Salary_Bands!$A$2:$A$5,1))</f>
        <v>Medium</v>
      </c>
    </row>
    <row r="436" spans="1:26" hidden="1" x14ac:dyDescent="0.3">
      <c r="A436" t="s">
        <v>933</v>
      </c>
      <c r="B436" t="s">
        <v>934</v>
      </c>
      <c r="C436" t="s">
        <v>40</v>
      </c>
      <c r="D436" s="12">
        <v>45</v>
      </c>
      <c r="E436" t="s">
        <v>41</v>
      </c>
      <c r="F436" t="s">
        <v>232</v>
      </c>
      <c r="G436" t="s">
        <v>80</v>
      </c>
      <c r="H436">
        <v>23</v>
      </c>
      <c r="I436" s="1">
        <v>44911</v>
      </c>
      <c r="J436" s="10">
        <v>141618</v>
      </c>
      <c r="K436" s="10">
        <v>5886</v>
      </c>
      <c r="L436">
        <v>5</v>
      </c>
      <c r="M436" t="s">
        <v>26</v>
      </c>
      <c r="N436" t="s">
        <v>76</v>
      </c>
      <c r="O436" t="s">
        <v>28</v>
      </c>
      <c r="P436" t="s">
        <v>29</v>
      </c>
      <c r="Q436">
        <v>49</v>
      </c>
      <c r="R436">
        <v>7</v>
      </c>
      <c r="S436">
        <v>9</v>
      </c>
      <c r="T436" t="s">
        <v>30</v>
      </c>
      <c r="U436" t="str">
        <f>IF(AND(Employees_Data[[#This Row],[Age]]&gt;=20,Employees_Data[[#This Row],[Age]]&lt;=30),"Young",IF(AND(Employees_Data[[#This Row],[Age]]&gt;=31,Employees_Data[[#This Row],[Age]]&lt;=40),"Mid-Age",IF(Employees_Data[[#This Row],[Age]]&gt;=41,"Senior")))</f>
        <v>Senior</v>
      </c>
      <c r="V436" t="str">
        <f>IF(Employees_Data[[#This Row],[Salary]]&lt;=30000,"Low",IF(AND(Employees_Data[[#This Row],[Salary]]&gt;30000,Employees_Data[[#This Row],[Salary]]&lt;=60000),"Medium",IF(AND(Employees_Data[[#This Row],[Salary]]&gt;60000,Employees_Data[[#This Row],[Salary]]&lt;=90000),"High",IF(Employees_Data[[#This Row],[Salary]]&gt;90000,"Executive"))))</f>
        <v>Executive</v>
      </c>
      <c r="W43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36" s="14" t="str">
        <f>VLOOKUP(Employees_Data[[#This Row],[Department]],Departments!$A$2:$B$7,2,FALSE)</f>
        <v>D03</v>
      </c>
      <c r="Y436" s="14" t="str">
        <f>INDEX(Departments!$B$2:$B$7,MATCH(Employees_Data[[#This Row],[Department]],Departments!$A$2:$A$7,0))</f>
        <v>D03</v>
      </c>
      <c r="Z436" s="14" t="str">
        <f>INDEX(Salary_Bands!$C$2:$C$5,MATCH(Employees_Data[[#This Row],[Salary]],Salary_Bands!$A$2:$A$5,1))</f>
        <v>Executive</v>
      </c>
    </row>
    <row r="437" spans="1:26" x14ac:dyDescent="0.3">
      <c r="A437" t="s">
        <v>935</v>
      </c>
      <c r="B437" t="s">
        <v>936</v>
      </c>
      <c r="C437" t="s">
        <v>40</v>
      </c>
      <c r="D437" s="12">
        <v>35</v>
      </c>
      <c r="E437" t="s">
        <v>41</v>
      </c>
      <c r="F437" t="s">
        <v>42</v>
      </c>
      <c r="G437" t="s">
        <v>80</v>
      </c>
      <c r="H437">
        <v>13</v>
      </c>
      <c r="I437" s="1">
        <v>43422</v>
      </c>
      <c r="J437" s="10">
        <v>80680</v>
      </c>
      <c r="K437" s="10">
        <v>8434</v>
      </c>
      <c r="L437">
        <v>1</v>
      </c>
      <c r="M437" t="s">
        <v>26</v>
      </c>
      <c r="N437" t="s">
        <v>27</v>
      </c>
      <c r="O437" s="5" t="s">
        <v>29</v>
      </c>
      <c r="P437" t="s">
        <v>29</v>
      </c>
      <c r="Q437">
        <v>35</v>
      </c>
      <c r="R437">
        <v>3</v>
      </c>
      <c r="S437">
        <v>2</v>
      </c>
      <c r="T437" t="s">
        <v>30</v>
      </c>
      <c r="U437" t="str">
        <f>IF(AND(Employees_Data[[#This Row],[Age]]&gt;=20,Employees_Data[[#This Row],[Age]]&lt;=30),"Young",IF(AND(Employees_Data[[#This Row],[Age]]&gt;=31,Employees_Data[[#This Row],[Age]]&lt;=40),"Mid-Age",IF(Employees_Data[[#This Row],[Age]]&gt;=41,"Senior")))</f>
        <v>Mid-Age</v>
      </c>
      <c r="V437" t="str">
        <f>IF(Employees_Data[[#This Row],[Salary]]&lt;=30000,"Low",IF(AND(Employees_Data[[#This Row],[Salary]]&gt;30000,Employees_Data[[#This Row],[Salary]]&lt;=60000),"Medium",IF(AND(Employees_Data[[#This Row],[Salary]]&gt;60000,Employees_Data[[#This Row],[Salary]]&lt;=90000),"High",IF(Employees_Data[[#This Row],[Salary]]&gt;90000,"Executive"))))</f>
        <v>High</v>
      </c>
      <c r="W43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37" s="14" t="str">
        <f>VLOOKUP(Employees_Data[[#This Row],[Department]],Departments!$A$2:$B$7,2,FALSE)</f>
        <v>D03</v>
      </c>
      <c r="Y437" s="14" t="str">
        <f>INDEX(Departments!$B$2:$B$7,MATCH(Employees_Data[[#This Row],[Department]],Departments!$A$2:$A$7,0))</f>
        <v>D03</v>
      </c>
      <c r="Z437" s="14" t="str">
        <f>INDEX(Salary_Bands!$C$2:$C$5,MATCH(Employees_Data[[#This Row],[Salary]],Salary_Bands!$A$2:$A$5,1))</f>
        <v>High</v>
      </c>
    </row>
    <row r="438" spans="1:26" hidden="1" x14ac:dyDescent="0.3">
      <c r="A438" t="s">
        <v>937</v>
      </c>
      <c r="B438" t="s">
        <v>938</v>
      </c>
      <c r="C438" t="s">
        <v>22</v>
      </c>
      <c r="D438" s="12">
        <v>26</v>
      </c>
      <c r="E438" t="s">
        <v>41</v>
      </c>
      <c r="F438" t="s">
        <v>42</v>
      </c>
      <c r="G438" t="s">
        <v>35</v>
      </c>
      <c r="H438">
        <v>3</v>
      </c>
      <c r="I438" s="1">
        <v>43143</v>
      </c>
      <c r="J438" s="10">
        <v>123900</v>
      </c>
      <c r="K438" s="10">
        <v>23974</v>
      </c>
      <c r="L438">
        <v>1</v>
      </c>
      <c r="M438" t="s">
        <v>36</v>
      </c>
      <c r="N438" t="s">
        <v>27</v>
      </c>
      <c r="O438" t="s">
        <v>28</v>
      </c>
      <c r="P438" t="s">
        <v>29</v>
      </c>
      <c r="Q438">
        <v>14</v>
      </c>
      <c r="R438">
        <v>8</v>
      </c>
      <c r="S438">
        <v>2</v>
      </c>
      <c r="T438" t="s">
        <v>30</v>
      </c>
      <c r="U438" t="str">
        <f>IF(AND(Employees_Data[[#This Row],[Age]]&gt;=20,Employees_Data[[#This Row],[Age]]&lt;=30),"Young",IF(AND(Employees_Data[[#This Row],[Age]]&gt;=31,Employees_Data[[#This Row],[Age]]&lt;=40),"Mid-Age",IF(Employees_Data[[#This Row],[Age]]&gt;=41,"Senior")))</f>
        <v>Young</v>
      </c>
      <c r="V438" t="str">
        <f>IF(Employees_Data[[#This Row],[Salary]]&lt;=30000,"Low",IF(AND(Employees_Data[[#This Row],[Salary]]&gt;30000,Employees_Data[[#This Row],[Salary]]&lt;=60000),"Medium",IF(AND(Employees_Data[[#This Row],[Salary]]&gt;60000,Employees_Data[[#This Row],[Salary]]&lt;=90000),"High",IF(Employees_Data[[#This Row],[Salary]]&gt;90000,"Executive"))))</f>
        <v>Executive</v>
      </c>
      <c r="W43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438" s="14" t="str">
        <f>VLOOKUP(Employees_Data[[#This Row],[Department]],Departments!$A$2:$B$7,2,FALSE)</f>
        <v>D03</v>
      </c>
      <c r="Y438" s="14" t="str">
        <f>INDEX(Departments!$B$2:$B$7,MATCH(Employees_Data[[#This Row],[Department]],Departments!$A$2:$A$7,0))</f>
        <v>D03</v>
      </c>
      <c r="Z438" s="14" t="str">
        <f>INDEX(Salary_Bands!$C$2:$C$5,MATCH(Employees_Data[[#This Row],[Salary]],Salary_Bands!$A$2:$A$5,1))</f>
        <v>Executive</v>
      </c>
    </row>
    <row r="439" spans="1:26" hidden="1" x14ac:dyDescent="0.3">
      <c r="A439" t="s">
        <v>939</v>
      </c>
      <c r="B439" t="s">
        <v>940</v>
      </c>
      <c r="C439" t="s">
        <v>22</v>
      </c>
      <c r="D439" s="12">
        <v>44</v>
      </c>
      <c r="E439" t="s">
        <v>33</v>
      </c>
      <c r="F439" t="s">
        <v>46</v>
      </c>
      <c r="G439" t="s">
        <v>25</v>
      </c>
      <c r="H439">
        <v>22</v>
      </c>
      <c r="I439" s="1">
        <v>45151</v>
      </c>
      <c r="J439" s="10">
        <v>127341</v>
      </c>
      <c r="K439" s="10">
        <v>9110</v>
      </c>
      <c r="L439">
        <v>5</v>
      </c>
      <c r="M439" t="s">
        <v>52</v>
      </c>
      <c r="N439" t="s">
        <v>76</v>
      </c>
      <c r="O439" t="s">
        <v>28</v>
      </c>
      <c r="P439" t="s">
        <v>28</v>
      </c>
      <c r="Q439">
        <v>15</v>
      </c>
      <c r="R439">
        <v>17</v>
      </c>
      <c r="S439">
        <v>4</v>
      </c>
      <c r="T439" t="s">
        <v>43</v>
      </c>
      <c r="U439" t="str">
        <f>IF(AND(Employees_Data[[#This Row],[Age]]&gt;=20,Employees_Data[[#This Row],[Age]]&lt;=30),"Young",IF(AND(Employees_Data[[#This Row],[Age]]&gt;=31,Employees_Data[[#This Row],[Age]]&lt;=40),"Mid-Age",IF(Employees_Data[[#This Row],[Age]]&gt;=41,"Senior")))</f>
        <v>Senior</v>
      </c>
      <c r="V439" t="str">
        <f>IF(Employees_Data[[#This Row],[Salary]]&lt;=30000,"Low",IF(AND(Employees_Data[[#This Row],[Salary]]&gt;30000,Employees_Data[[#This Row],[Salary]]&lt;=60000),"Medium",IF(AND(Employees_Data[[#This Row],[Salary]]&gt;60000,Employees_Data[[#This Row],[Salary]]&lt;=90000),"High",IF(Employees_Data[[#This Row],[Salary]]&gt;90000,"Executive"))))</f>
        <v>Executive</v>
      </c>
      <c r="W43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39" s="14" t="str">
        <f>VLOOKUP(Employees_Data[[#This Row],[Department]],Departments!$A$2:$B$7,2,FALSE)</f>
        <v>D05</v>
      </c>
      <c r="Y439" s="14" t="str">
        <f>INDEX(Departments!$B$2:$B$7,MATCH(Employees_Data[[#This Row],[Department]],Departments!$A$2:$A$7,0))</f>
        <v>D05</v>
      </c>
      <c r="Z439" s="14" t="str">
        <f>INDEX(Salary_Bands!$C$2:$C$5,MATCH(Employees_Data[[#This Row],[Salary]],Salary_Bands!$A$2:$A$5,1))</f>
        <v>Executive</v>
      </c>
    </row>
    <row r="440" spans="1:26" hidden="1" x14ac:dyDescent="0.3">
      <c r="A440" t="s">
        <v>941</v>
      </c>
      <c r="B440" t="s">
        <v>942</v>
      </c>
      <c r="C440" t="s">
        <v>22</v>
      </c>
      <c r="D440" s="12">
        <v>28</v>
      </c>
      <c r="E440" t="s">
        <v>56</v>
      </c>
      <c r="F440" t="s">
        <v>79</v>
      </c>
      <c r="G440" t="s">
        <v>35</v>
      </c>
      <c r="H440">
        <v>6</v>
      </c>
      <c r="I440" s="1">
        <v>45166</v>
      </c>
      <c r="J440" s="10">
        <v>136581</v>
      </c>
      <c r="K440" s="10">
        <v>13626</v>
      </c>
      <c r="L440">
        <v>4</v>
      </c>
      <c r="M440" t="s">
        <v>36</v>
      </c>
      <c r="N440" t="s">
        <v>58</v>
      </c>
      <c r="O440" t="s">
        <v>28</v>
      </c>
      <c r="P440" t="s">
        <v>29</v>
      </c>
      <c r="Q440">
        <v>37</v>
      </c>
      <c r="R440">
        <v>7</v>
      </c>
      <c r="S440">
        <v>6</v>
      </c>
      <c r="T440" t="s">
        <v>43</v>
      </c>
      <c r="U440" t="str">
        <f>IF(AND(Employees_Data[[#This Row],[Age]]&gt;=20,Employees_Data[[#This Row],[Age]]&lt;=30),"Young",IF(AND(Employees_Data[[#This Row],[Age]]&gt;=31,Employees_Data[[#This Row],[Age]]&lt;=40),"Mid-Age",IF(Employees_Data[[#This Row],[Age]]&gt;=41,"Senior")))</f>
        <v>Young</v>
      </c>
      <c r="V440" t="str">
        <f>IF(Employees_Data[[#This Row],[Salary]]&lt;=30000,"Low",IF(AND(Employees_Data[[#This Row],[Salary]]&gt;30000,Employees_Data[[#This Row],[Salary]]&lt;=60000),"Medium",IF(AND(Employees_Data[[#This Row],[Salary]]&gt;60000,Employees_Data[[#This Row],[Salary]]&lt;=90000),"High",IF(Employees_Data[[#This Row],[Salary]]&gt;90000,"Executive"))))</f>
        <v>Executive</v>
      </c>
      <c r="W44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40" s="14" t="str">
        <f>VLOOKUP(Employees_Data[[#This Row],[Department]],Departments!$A$2:$B$7,2,FALSE)</f>
        <v>D01</v>
      </c>
      <c r="Y440" s="14" t="str">
        <f>INDEX(Departments!$B$2:$B$7,MATCH(Employees_Data[[#This Row],[Department]],Departments!$A$2:$A$7,0))</f>
        <v>D01</v>
      </c>
      <c r="Z440" s="14" t="str">
        <f>INDEX(Salary_Bands!$C$2:$C$5,MATCH(Employees_Data[[#This Row],[Salary]],Salary_Bands!$A$2:$A$5,1))</f>
        <v>Executive</v>
      </c>
    </row>
    <row r="441" spans="1:26" hidden="1" x14ac:dyDescent="0.3">
      <c r="A441" t="s">
        <v>943</v>
      </c>
      <c r="B441" t="s">
        <v>944</v>
      </c>
      <c r="C441" t="s">
        <v>40</v>
      </c>
      <c r="D441" s="12">
        <v>42</v>
      </c>
      <c r="E441" t="s">
        <v>87</v>
      </c>
      <c r="F441" t="s">
        <v>91</v>
      </c>
      <c r="G441" t="s">
        <v>25</v>
      </c>
      <c r="H441">
        <v>21</v>
      </c>
      <c r="I441" s="1">
        <v>45009</v>
      </c>
      <c r="J441" s="10">
        <v>39459</v>
      </c>
      <c r="K441" s="10">
        <v>3330</v>
      </c>
      <c r="L441">
        <v>5</v>
      </c>
      <c r="M441" t="s">
        <v>26</v>
      </c>
      <c r="N441" t="s">
        <v>37</v>
      </c>
      <c r="O441" t="s">
        <v>28</v>
      </c>
      <c r="P441" t="s">
        <v>28</v>
      </c>
      <c r="Q441">
        <v>12</v>
      </c>
      <c r="R441">
        <v>12</v>
      </c>
      <c r="S441">
        <v>3</v>
      </c>
      <c r="T441" t="s">
        <v>30</v>
      </c>
      <c r="U441" t="str">
        <f>IF(AND(Employees_Data[[#This Row],[Age]]&gt;=20,Employees_Data[[#This Row],[Age]]&lt;=30),"Young",IF(AND(Employees_Data[[#This Row],[Age]]&gt;=31,Employees_Data[[#This Row],[Age]]&lt;=40),"Mid-Age",IF(Employees_Data[[#This Row],[Age]]&gt;=41,"Senior")))</f>
        <v>Senior</v>
      </c>
      <c r="V441" t="str">
        <f>IF(Employees_Data[[#This Row],[Salary]]&lt;=30000,"Low",IF(AND(Employees_Data[[#This Row],[Salary]]&gt;30000,Employees_Data[[#This Row],[Salary]]&lt;=60000),"Medium",IF(AND(Employees_Data[[#This Row],[Salary]]&gt;60000,Employees_Data[[#This Row],[Salary]]&lt;=90000),"High",IF(Employees_Data[[#This Row],[Salary]]&gt;90000,"Executive"))))</f>
        <v>Medium</v>
      </c>
      <c r="W44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41" s="14" t="str">
        <f>VLOOKUP(Employees_Data[[#This Row],[Department]],Departments!$A$2:$B$7,2,FALSE)</f>
        <v>D04</v>
      </c>
      <c r="Y441" s="14" t="str">
        <f>INDEX(Departments!$B$2:$B$7,MATCH(Employees_Data[[#This Row],[Department]],Departments!$A$2:$A$7,0))</f>
        <v>D04</v>
      </c>
      <c r="Z441" s="14" t="str">
        <f>INDEX(Salary_Bands!$C$2:$C$5,MATCH(Employees_Data[[#This Row],[Salary]],Salary_Bands!$A$2:$A$5,1))</f>
        <v>Medium</v>
      </c>
    </row>
    <row r="442" spans="1:26" hidden="1" x14ac:dyDescent="0.3">
      <c r="A442" t="s">
        <v>945</v>
      </c>
      <c r="B442" t="s">
        <v>946</v>
      </c>
      <c r="C442" t="s">
        <v>22</v>
      </c>
      <c r="D442" s="12">
        <v>41</v>
      </c>
      <c r="E442" t="s">
        <v>41</v>
      </c>
      <c r="F442" t="s">
        <v>232</v>
      </c>
      <c r="G442" t="s">
        <v>80</v>
      </c>
      <c r="H442">
        <v>15</v>
      </c>
      <c r="I442" s="1">
        <v>44919</v>
      </c>
      <c r="J442" s="10">
        <v>54605</v>
      </c>
      <c r="K442" s="10">
        <v>17586</v>
      </c>
      <c r="L442">
        <v>5</v>
      </c>
      <c r="M442" t="s">
        <v>52</v>
      </c>
      <c r="N442" t="s">
        <v>37</v>
      </c>
      <c r="O442" t="s">
        <v>28</v>
      </c>
      <c r="P442" t="s">
        <v>29</v>
      </c>
      <c r="Q442">
        <v>5</v>
      </c>
      <c r="R442">
        <v>15</v>
      </c>
      <c r="S442">
        <v>7</v>
      </c>
      <c r="T442" t="s">
        <v>30</v>
      </c>
      <c r="U442" t="str">
        <f>IF(AND(Employees_Data[[#This Row],[Age]]&gt;=20,Employees_Data[[#This Row],[Age]]&lt;=30),"Young",IF(AND(Employees_Data[[#This Row],[Age]]&gt;=31,Employees_Data[[#This Row],[Age]]&lt;=40),"Mid-Age",IF(Employees_Data[[#This Row],[Age]]&gt;=41,"Senior")))</f>
        <v>Senior</v>
      </c>
      <c r="V442" t="str">
        <f>IF(Employees_Data[[#This Row],[Salary]]&lt;=30000,"Low",IF(AND(Employees_Data[[#This Row],[Salary]]&gt;30000,Employees_Data[[#This Row],[Salary]]&lt;=60000),"Medium",IF(AND(Employees_Data[[#This Row],[Salary]]&gt;60000,Employees_Data[[#This Row],[Salary]]&lt;=90000),"High",IF(Employees_Data[[#This Row],[Salary]]&gt;90000,"Executive"))))</f>
        <v>Medium</v>
      </c>
      <c r="W44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42" s="14" t="str">
        <f>VLOOKUP(Employees_Data[[#This Row],[Department]],Departments!$A$2:$B$7,2,FALSE)</f>
        <v>D03</v>
      </c>
      <c r="Y442" s="14" t="str">
        <f>INDEX(Departments!$B$2:$B$7,MATCH(Employees_Data[[#This Row],[Department]],Departments!$A$2:$A$7,0))</f>
        <v>D03</v>
      </c>
      <c r="Z442" s="14" t="str">
        <f>INDEX(Salary_Bands!$C$2:$C$5,MATCH(Employees_Data[[#This Row],[Salary]],Salary_Bands!$A$2:$A$5,1))</f>
        <v>Medium</v>
      </c>
    </row>
    <row r="443" spans="1:26" x14ac:dyDescent="0.3">
      <c r="A443" t="s">
        <v>947</v>
      </c>
      <c r="B443" t="s">
        <v>948</v>
      </c>
      <c r="C443" t="s">
        <v>22</v>
      </c>
      <c r="D443" s="12">
        <v>47</v>
      </c>
      <c r="E443" t="s">
        <v>23</v>
      </c>
      <c r="F443" t="s">
        <v>24</v>
      </c>
      <c r="G443" t="s">
        <v>35</v>
      </c>
      <c r="H443">
        <v>23</v>
      </c>
      <c r="I443" s="1">
        <v>45241</v>
      </c>
      <c r="J443" s="10">
        <v>111317</v>
      </c>
      <c r="K443" s="10">
        <v>4120</v>
      </c>
      <c r="L443">
        <v>1</v>
      </c>
      <c r="M443" t="s">
        <v>36</v>
      </c>
      <c r="N443" t="s">
        <v>76</v>
      </c>
      <c r="O443" s="5" t="s">
        <v>29</v>
      </c>
      <c r="P443" t="s">
        <v>28</v>
      </c>
      <c r="Q443">
        <v>17</v>
      </c>
      <c r="R443">
        <v>19</v>
      </c>
      <c r="S443">
        <v>2</v>
      </c>
      <c r="T443" t="s">
        <v>30</v>
      </c>
      <c r="U443" t="str">
        <f>IF(AND(Employees_Data[[#This Row],[Age]]&gt;=20,Employees_Data[[#This Row],[Age]]&lt;=30),"Young",IF(AND(Employees_Data[[#This Row],[Age]]&gt;=31,Employees_Data[[#This Row],[Age]]&lt;=40),"Mid-Age",IF(Employees_Data[[#This Row],[Age]]&gt;=41,"Senior")))</f>
        <v>Senior</v>
      </c>
      <c r="V443" t="str">
        <f>IF(Employees_Data[[#This Row],[Salary]]&lt;=30000,"Low",IF(AND(Employees_Data[[#This Row],[Salary]]&gt;30000,Employees_Data[[#This Row],[Salary]]&lt;=60000),"Medium",IF(AND(Employees_Data[[#This Row],[Salary]]&gt;60000,Employees_Data[[#This Row],[Salary]]&lt;=90000),"High",IF(Employees_Data[[#This Row],[Salary]]&gt;90000,"Executive"))))</f>
        <v>Executive</v>
      </c>
      <c r="W44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43" s="14" t="str">
        <f>VLOOKUP(Employees_Data[[#This Row],[Department]],Departments!$A$2:$B$7,2,FALSE)</f>
        <v>D06</v>
      </c>
      <c r="Y443" s="14" t="str">
        <f>INDEX(Departments!$B$2:$B$7,MATCH(Employees_Data[[#This Row],[Department]],Departments!$A$2:$A$7,0))</f>
        <v>D06</v>
      </c>
      <c r="Z443" s="14" t="str">
        <f>INDEX(Salary_Bands!$C$2:$C$5,MATCH(Employees_Data[[#This Row],[Salary]],Salary_Bands!$A$2:$A$5,1))</f>
        <v>Executive</v>
      </c>
    </row>
    <row r="444" spans="1:26" hidden="1" x14ac:dyDescent="0.3">
      <c r="A444" t="s">
        <v>949</v>
      </c>
      <c r="B444" t="s">
        <v>950</v>
      </c>
      <c r="C444" t="s">
        <v>40</v>
      </c>
      <c r="D444" s="12">
        <v>36</v>
      </c>
      <c r="E444" t="s">
        <v>87</v>
      </c>
      <c r="F444" t="s">
        <v>91</v>
      </c>
      <c r="G444" t="s">
        <v>51</v>
      </c>
      <c r="H444">
        <v>12</v>
      </c>
      <c r="I444" s="1">
        <v>45145</v>
      </c>
      <c r="J444" s="10">
        <v>61505</v>
      </c>
      <c r="K444" s="10">
        <v>17591</v>
      </c>
      <c r="L444">
        <v>5</v>
      </c>
      <c r="M444" t="s">
        <v>52</v>
      </c>
      <c r="N444" t="s">
        <v>53</v>
      </c>
      <c r="O444" t="s">
        <v>28</v>
      </c>
      <c r="P444" t="s">
        <v>28</v>
      </c>
      <c r="Q444">
        <v>36</v>
      </c>
      <c r="R444">
        <v>16</v>
      </c>
      <c r="S444">
        <v>10</v>
      </c>
      <c r="T444" t="s">
        <v>30</v>
      </c>
      <c r="U444" t="str">
        <f>IF(AND(Employees_Data[[#This Row],[Age]]&gt;=20,Employees_Data[[#This Row],[Age]]&lt;=30),"Young",IF(AND(Employees_Data[[#This Row],[Age]]&gt;=31,Employees_Data[[#This Row],[Age]]&lt;=40),"Mid-Age",IF(Employees_Data[[#This Row],[Age]]&gt;=41,"Senior")))</f>
        <v>Mid-Age</v>
      </c>
      <c r="V444" t="str">
        <f>IF(Employees_Data[[#This Row],[Salary]]&lt;=30000,"Low",IF(AND(Employees_Data[[#This Row],[Salary]]&gt;30000,Employees_Data[[#This Row],[Salary]]&lt;=60000),"Medium",IF(AND(Employees_Data[[#This Row],[Salary]]&gt;60000,Employees_Data[[#This Row],[Salary]]&lt;=90000),"High",IF(Employees_Data[[#This Row],[Salary]]&gt;90000,"Executive"))))</f>
        <v>High</v>
      </c>
      <c r="W44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44" s="14" t="str">
        <f>VLOOKUP(Employees_Data[[#This Row],[Department]],Departments!$A$2:$B$7,2,FALSE)</f>
        <v>D04</v>
      </c>
      <c r="Y444" s="14" t="str">
        <f>INDEX(Departments!$B$2:$B$7,MATCH(Employees_Data[[#This Row],[Department]],Departments!$A$2:$A$7,0))</f>
        <v>D04</v>
      </c>
      <c r="Z444" s="14" t="str">
        <f>INDEX(Salary_Bands!$C$2:$C$5,MATCH(Employees_Data[[#This Row],[Salary]],Salary_Bands!$A$2:$A$5,1))</f>
        <v>High</v>
      </c>
    </row>
    <row r="445" spans="1:26" hidden="1" x14ac:dyDescent="0.3">
      <c r="A445" t="s">
        <v>951</v>
      </c>
      <c r="B445" t="s">
        <v>952</v>
      </c>
      <c r="C445" t="s">
        <v>22</v>
      </c>
      <c r="D445" s="12">
        <v>51</v>
      </c>
      <c r="E445" t="s">
        <v>41</v>
      </c>
      <c r="F445" t="s">
        <v>42</v>
      </c>
      <c r="G445" t="s">
        <v>80</v>
      </c>
      <c r="H445">
        <v>30</v>
      </c>
      <c r="I445" s="1">
        <v>43601</v>
      </c>
      <c r="J445" s="10">
        <v>57858</v>
      </c>
      <c r="K445" s="10">
        <v>3731</v>
      </c>
      <c r="L445">
        <v>4</v>
      </c>
      <c r="M445" t="s">
        <v>26</v>
      </c>
      <c r="N445" t="s">
        <v>58</v>
      </c>
      <c r="O445" t="s">
        <v>28</v>
      </c>
      <c r="P445" t="s">
        <v>29</v>
      </c>
      <c r="Q445">
        <v>16</v>
      </c>
      <c r="R445">
        <v>12</v>
      </c>
      <c r="S445">
        <v>8</v>
      </c>
      <c r="T445" t="s">
        <v>30</v>
      </c>
      <c r="U445" t="str">
        <f>IF(AND(Employees_Data[[#This Row],[Age]]&gt;=20,Employees_Data[[#This Row],[Age]]&lt;=30),"Young",IF(AND(Employees_Data[[#This Row],[Age]]&gt;=31,Employees_Data[[#This Row],[Age]]&lt;=40),"Mid-Age",IF(Employees_Data[[#This Row],[Age]]&gt;=41,"Senior")))</f>
        <v>Senior</v>
      </c>
      <c r="V445" t="str">
        <f>IF(Employees_Data[[#This Row],[Salary]]&lt;=30000,"Low",IF(AND(Employees_Data[[#This Row],[Salary]]&gt;30000,Employees_Data[[#This Row],[Salary]]&lt;=60000),"Medium",IF(AND(Employees_Data[[#This Row],[Salary]]&gt;60000,Employees_Data[[#This Row],[Salary]]&lt;=90000),"High",IF(Employees_Data[[#This Row],[Salary]]&gt;90000,"Executive"))))</f>
        <v>Medium</v>
      </c>
      <c r="W44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45" s="14" t="str">
        <f>VLOOKUP(Employees_Data[[#This Row],[Department]],Departments!$A$2:$B$7,2,FALSE)</f>
        <v>D03</v>
      </c>
      <c r="Y445" s="14" t="str">
        <f>INDEX(Departments!$B$2:$B$7,MATCH(Employees_Data[[#This Row],[Department]],Departments!$A$2:$A$7,0))</f>
        <v>D03</v>
      </c>
      <c r="Z445" s="14" t="str">
        <f>INDEX(Salary_Bands!$C$2:$C$5,MATCH(Employees_Data[[#This Row],[Salary]],Salary_Bands!$A$2:$A$5,1))</f>
        <v>Medium</v>
      </c>
    </row>
    <row r="446" spans="1:26" hidden="1" x14ac:dyDescent="0.3">
      <c r="A446" t="s">
        <v>953</v>
      </c>
      <c r="B446" t="s">
        <v>954</v>
      </c>
      <c r="C446" t="s">
        <v>40</v>
      </c>
      <c r="D446" s="12">
        <v>42</v>
      </c>
      <c r="E446" t="s">
        <v>33</v>
      </c>
      <c r="F446" t="s">
        <v>34</v>
      </c>
      <c r="G446" t="s">
        <v>47</v>
      </c>
      <c r="H446">
        <v>20</v>
      </c>
      <c r="I446" s="1">
        <v>44341</v>
      </c>
      <c r="J446" s="10">
        <v>106522</v>
      </c>
      <c r="K446" s="10">
        <v>8616</v>
      </c>
      <c r="L446">
        <v>5</v>
      </c>
      <c r="M446" t="s">
        <v>36</v>
      </c>
      <c r="N446" t="s">
        <v>48</v>
      </c>
      <c r="O446" t="s">
        <v>28</v>
      </c>
      <c r="P446" t="s">
        <v>28</v>
      </c>
      <c r="Q446">
        <v>36</v>
      </c>
      <c r="R446">
        <v>16</v>
      </c>
      <c r="S446">
        <v>2</v>
      </c>
      <c r="T446" t="s">
        <v>30</v>
      </c>
      <c r="U446" t="str">
        <f>IF(AND(Employees_Data[[#This Row],[Age]]&gt;=20,Employees_Data[[#This Row],[Age]]&lt;=30),"Young",IF(AND(Employees_Data[[#This Row],[Age]]&gt;=31,Employees_Data[[#This Row],[Age]]&lt;=40),"Mid-Age",IF(Employees_Data[[#This Row],[Age]]&gt;=41,"Senior")))</f>
        <v>Senior</v>
      </c>
      <c r="V446" t="str">
        <f>IF(Employees_Data[[#This Row],[Salary]]&lt;=30000,"Low",IF(AND(Employees_Data[[#This Row],[Salary]]&gt;30000,Employees_Data[[#This Row],[Salary]]&lt;=60000),"Medium",IF(AND(Employees_Data[[#This Row],[Salary]]&gt;60000,Employees_Data[[#This Row],[Salary]]&lt;=90000),"High",IF(Employees_Data[[#This Row],[Salary]]&gt;90000,"Executive"))))</f>
        <v>Executive</v>
      </c>
      <c r="W44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46" s="14" t="str">
        <f>VLOOKUP(Employees_Data[[#This Row],[Department]],Departments!$A$2:$B$7,2,FALSE)</f>
        <v>D05</v>
      </c>
      <c r="Y446" s="14" t="str">
        <f>INDEX(Departments!$B$2:$B$7,MATCH(Employees_Data[[#This Row],[Department]],Departments!$A$2:$A$7,0))</f>
        <v>D05</v>
      </c>
      <c r="Z446" s="14" t="str">
        <f>INDEX(Salary_Bands!$C$2:$C$5,MATCH(Employees_Data[[#This Row],[Salary]],Salary_Bands!$A$2:$A$5,1))</f>
        <v>Executive</v>
      </c>
    </row>
    <row r="447" spans="1:26" hidden="1" x14ac:dyDescent="0.3">
      <c r="A447" t="s">
        <v>955</v>
      </c>
      <c r="B447" t="s">
        <v>956</v>
      </c>
      <c r="C447" t="s">
        <v>40</v>
      </c>
      <c r="D447" s="12">
        <v>43</v>
      </c>
      <c r="E447" t="s">
        <v>41</v>
      </c>
      <c r="F447" t="s">
        <v>69</v>
      </c>
      <c r="G447" t="s">
        <v>51</v>
      </c>
      <c r="H447">
        <v>18</v>
      </c>
      <c r="I447" s="1">
        <v>45339</v>
      </c>
      <c r="J447" s="10">
        <v>27316</v>
      </c>
      <c r="K447" s="10">
        <v>14331</v>
      </c>
      <c r="L447">
        <v>1</v>
      </c>
      <c r="M447" t="s">
        <v>36</v>
      </c>
      <c r="N447" t="s">
        <v>58</v>
      </c>
      <c r="O447" t="s">
        <v>28</v>
      </c>
      <c r="P447" t="s">
        <v>29</v>
      </c>
      <c r="Q447">
        <v>7</v>
      </c>
      <c r="R447">
        <v>5</v>
      </c>
      <c r="S447">
        <v>7</v>
      </c>
      <c r="T447" t="s">
        <v>43</v>
      </c>
      <c r="U447" t="str">
        <f>IF(AND(Employees_Data[[#This Row],[Age]]&gt;=20,Employees_Data[[#This Row],[Age]]&lt;=30),"Young",IF(AND(Employees_Data[[#This Row],[Age]]&gt;=31,Employees_Data[[#This Row],[Age]]&lt;=40),"Mid-Age",IF(Employees_Data[[#This Row],[Age]]&gt;=41,"Senior")))</f>
        <v>Senior</v>
      </c>
      <c r="V447" t="str">
        <f>IF(Employees_Data[[#This Row],[Salary]]&lt;=30000,"Low",IF(AND(Employees_Data[[#This Row],[Salary]]&gt;30000,Employees_Data[[#This Row],[Salary]]&lt;=60000),"Medium",IF(AND(Employees_Data[[#This Row],[Salary]]&gt;60000,Employees_Data[[#This Row],[Salary]]&lt;=90000),"High",IF(Employees_Data[[#This Row],[Salary]]&gt;90000,"Executive"))))</f>
        <v>Low</v>
      </c>
      <c r="W44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47" s="14" t="str">
        <f>VLOOKUP(Employees_Data[[#This Row],[Department]],Departments!$A$2:$B$7,2,FALSE)</f>
        <v>D03</v>
      </c>
      <c r="Y447" s="14" t="str">
        <f>INDEX(Departments!$B$2:$B$7,MATCH(Employees_Data[[#This Row],[Department]],Departments!$A$2:$A$7,0))</f>
        <v>D03</v>
      </c>
      <c r="Z447" s="14" t="str">
        <f>INDEX(Salary_Bands!$C$2:$C$5,MATCH(Employees_Data[[#This Row],[Salary]],Salary_Bands!$A$2:$A$5,1))</f>
        <v>Low</v>
      </c>
    </row>
    <row r="448" spans="1:26" hidden="1" x14ac:dyDescent="0.3">
      <c r="A448" t="s">
        <v>957</v>
      </c>
      <c r="B448" t="s">
        <v>958</v>
      </c>
      <c r="C448" t="s">
        <v>22</v>
      </c>
      <c r="D448" s="12">
        <v>41</v>
      </c>
      <c r="E448" t="s">
        <v>33</v>
      </c>
      <c r="F448" t="s">
        <v>34</v>
      </c>
      <c r="G448" t="s">
        <v>25</v>
      </c>
      <c r="H448">
        <v>15</v>
      </c>
      <c r="I448" s="1">
        <v>43773</v>
      </c>
      <c r="J448" s="10">
        <v>89419</v>
      </c>
      <c r="K448" s="10">
        <v>24119</v>
      </c>
      <c r="L448">
        <v>4</v>
      </c>
      <c r="M448" t="s">
        <v>36</v>
      </c>
      <c r="N448" t="s">
        <v>48</v>
      </c>
      <c r="O448" t="s">
        <v>28</v>
      </c>
      <c r="P448" t="s">
        <v>28</v>
      </c>
      <c r="Q448">
        <v>35</v>
      </c>
      <c r="R448">
        <v>17</v>
      </c>
      <c r="S448">
        <v>3</v>
      </c>
      <c r="T448" t="s">
        <v>30</v>
      </c>
      <c r="U448" t="str">
        <f>IF(AND(Employees_Data[[#This Row],[Age]]&gt;=20,Employees_Data[[#This Row],[Age]]&lt;=30),"Young",IF(AND(Employees_Data[[#This Row],[Age]]&gt;=31,Employees_Data[[#This Row],[Age]]&lt;=40),"Mid-Age",IF(Employees_Data[[#This Row],[Age]]&gt;=41,"Senior")))</f>
        <v>Senior</v>
      </c>
      <c r="V448" t="str">
        <f>IF(Employees_Data[[#This Row],[Salary]]&lt;=30000,"Low",IF(AND(Employees_Data[[#This Row],[Salary]]&gt;30000,Employees_Data[[#This Row],[Salary]]&lt;=60000),"Medium",IF(AND(Employees_Data[[#This Row],[Salary]]&gt;60000,Employees_Data[[#This Row],[Salary]]&lt;=90000),"High",IF(Employees_Data[[#This Row],[Salary]]&gt;90000,"Executive"))))</f>
        <v>High</v>
      </c>
      <c r="W44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48" s="14" t="str">
        <f>VLOOKUP(Employees_Data[[#This Row],[Department]],Departments!$A$2:$B$7,2,FALSE)</f>
        <v>D05</v>
      </c>
      <c r="Y448" s="14" t="str">
        <f>INDEX(Departments!$B$2:$B$7,MATCH(Employees_Data[[#This Row],[Department]],Departments!$A$2:$A$7,0))</f>
        <v>D05</v>
      </c>
      <c r="Z448" s="14" t="str">
        <f>INDEX(Salary_Bands!$C$2:$C$5,MATCH(Employees_Data[[#This Row],[Salary]],Salary_Bands!$A$2:$A$5,1))</f>
        <v>High</v>
      </c>
    </row>
    <row r="449" spans="1:26" hidden="1" x14ac:dyDescent="0.3">
      <c r="A449" t="s">
        <v>959</v>
      </c>
      <c r="B449" t="s">
        <v>960</v>
      </c>
      <c r="C449" t="s">
        <v>40</v>
      </c>
      <c r="D449" s="12">
        <v>25</v>
      </c>
      <c r="E449" t="s">
        <v>61</v>
      </c>
      <c r="F449" t="s">
        <v>66</v>
      </c>
      <c r="G449" t="s">
        <v>51</v>
      </c>
      <c r="H449">
        <v>1</v>
      </c>
      <c r="I449" s="1">
        <v>44179</v>
      </c>
      <c r="J449" s="10">
        <v>89840</v>
      </c>
      <c r="K449" s="10">
        <v>4012</v>
      </c>
      <c r="L449">
        <v>5</v>
      </c>
      <c r="M449" t="s">
        <v>26</v>
      </c>
      <c r="N449" t="s">
        <v>53</v>
      </c>
      <c r="O449" t="s">
        <v>28</v>
      </c>
      <c r="P449" t="s">
        <v>29</v>
      </c>
      <c r="Q449">
        <v>13</v>
      </c>
      <c r="R449">
        <v>11</v>
      </c>
      <c r="S449">
        <v>7</v>
      </c>
      <c r="T449" t="s">
        <v>30</v>
      </c>
      <c r="U449" t="str">
        <f>IF(AND(Employees_Data[[#This Row],[Age]]&gt;=20,Employees_Data[[#This Row],[Age]]&lt;=30),"Young",IF(AND(Employees_Data[[#This Row],[Age]]&gt;=31,Employees_Data[[#This Row],[Age]]&lt;=40),"Mid-Age",IF(Employees_Data[[#This Row],[Age]]&gt;=41,"Senior")))</f>
        <v>Young</v>
      </c>
      <c r="V449" t="str">
        <f>IF(Employees_Data[[#This Row],[Salary]]&lt;=30000,"Low",IF(AND(Employees_Data[[#This Row],[Salary]]&gt;30000,Employees_Data[[#This Row],[Salary]]&lt;=60000),"Medium",IF(AND(Employees_Data[[#This Row],[Salary]]&gt;60000,Employees_Data[[#This Row],[Salary]]&lt;=90000),"High",IF(Employees_Data[[#This Row],[Salary]]&gt;90000,"Executive"))))</f>
        <v>High</v>
      </c>
      <c r="W44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49" s="14" t="str">
        <f>VLOOKUP(Employees_Data[[#This Row],[Department]],Departments!$A$2:$B$7,2,FALSE)</f>
        <v>D02</v>
      </c>
      <c r="Y449" s="14" t="str">
        <f>INDEX(Departments!$B$2:$B$7,MATCH(Employees_Data[[#This Row],[Department]],Departments!$A$2:$A$7,0))</f>
        <v>D02</v>
      </c>
      <c r="Z449" s="14" t="str">
        <f>INDEX(Salary_Bands!$C$2:$C$5,MATCH(Employees_Data[[#This Row],[Salary]],Salary_Bands!$A$2:$A$5,1))</f>
        <v>High</v>
      </c>
    </row>
    <row r="450" spans="1:26" hidden="1" x14ac:dyDescent="0.3">
      <c r="A450" t="s">
        <v>961</v>
      </c>
      <c r="B450" t="s">
        <v>962</v>
      </c>
      <c r="C450" t="s">
        <v>40</v>
      </c>
      <c r="D450" s="12">
        <v>23</v>
      </c>
      <c r="E450" t="s">
        <v>41</v>
      </c>
      <c r="F450" t="s">
        <v>69</v>
      </c>
      <c r="G450" t="s">
        <v>80</v>
      </c>
      <c r="H450">
        <v>0</v>
      </c>
      <c r="I450" s="1">
        <v>44498</v>
      </c>
      <c r="J450" s="10">
        <v>74882</v>
      </c>
      <c r="K450" s="10">
        <v>23667</v>
      </c>
      <c r="L450">
        <v>1</v>
      </c>
      <c r="M450" t="s">
        <v>26</v>
      </c>
      <c r="N450" t="s">
        <v>76</v>
      </c>
      <c r="O450" t="s">
        <v>28</v>
      </c>
      <c r="P450" t="s">
        <v>29</v>
      </c>
      <c r="Q450">
        <v>46</v>
      </c>
      <c r="R450">
        <v>9</v>
      </c>
      <c r="S450">
        <v>7</v>
      </c>
      <c r="T450" t="s">
        <v>30</v>
      </c>
      <c r="U450" t="str">
        <f>IF(AND(Employees_Data[[#This Row],[Age]]&gt;=20,Employees_Data[[#This Row],[Age]]&lt;=30),"Young",IF(AND(Employees_Data[[#This Row],[Age]]&gt;=31,Employees_Data[[#This Row],[Age]]&lt;=40),"Mid-Age",IF(Employees_Data[[#This Row],[Age]]&gt;=41,"Senior")))</f>
        <v>Young</v>
      </c>
      <c r="V450" t="str">
        <f>IF(Employees_Data[[#This Row],[Salary]]&lt;=30000,"Low",IF(AND(Employees_Data[[#This Row],[Salary]]&gt;30000,Employees_Data[[#This Row],[Salary]]&lt;=60000),"Medium",IF(AND(Employees_Data[[#This Row],[Salary]]&gt;60000,Employees_Data[[#This Row],[Salary]]&lt;=90000),"High",IF(Employees_Data[[#This Row],[Salary]]&gt;90000,"Executive"))))</f>
        <v>High</v>
      </c>
      <c r="W45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50" s="14" t="str">
        <f>VLOOKUP(Employees_Data[[#This Row],[Department]],Departments!$A$2:$B$7,2,FALSE)</f>
        <v>D03</v>
      </c>
      <c r="Y450" s="14" t="str">
        <f>INDEX(Departments!$B$2:$B$7,MATCH(Employees_Data[[#This Row],[Department]],Departments!$A$2:$A$7,0))</f>
        <v>D03</v>
      </c>
      <c r="Z450" s="14" t="str">
        <f>INDEX(Salary_Bands!$C$2:$C$5,MATCH(Employees_Data[[#This Row],[Salary]],Salary_Bands!$A$2:$A$5,1))</f>
        <v>High</v>
      </c>
    </row>
    <row r="451" spans="1:26" hidden="1" x14ac:dyDescent="0.3">
      <c r="A451" t="s">
        <v>963</v>
      </c>
      <c r="B451" t="s">
        <v>964</v>
      </c>
      <c r="C451" t="s">
        <v>40</v>
      </c>
      <c r="D451" s="12">
        <v>26</v>
      </c>
      <c r="E451" t="s">
        <v>33</v>
      </c>
      <c r="F451" t="s">
        <v>118</v>
      </c>
      <c r="G451" t="s">
        <v>25</v>
      </c>
      <c r="H451">
        <v>3</v>
      </c>
      <c r="I451" s="1">
        <v>43569</v>
      </c>
      <c r="J451" s="10">
        <v>69249</v>
      </c>
      <c r="K451" s="10">
        <v>18867</v>
      </c>
      <c r="L451">
        <v>2</v>
      </c>
      <c r="M451" t="s">
        <v>36</v>
      </c>
      <c r="N451" t="s">
        <v>37</v>
      </c>
      <c r="O451" t="s">
        <v>28</v>
      </c>
      <c r="P451" t="s">
        <v>29</v>
      </c>
      <c r="Q451">
        <v>49</v>
      </c>
      <c r="R451">
        <v>15</v>
      </c>
      <c r="S451">
        <v>1</v>
      </c>
      <c r="T451" t="s">
        <v>43</v>
      </c>
      <c r="U451" t="str">
        <f>IF(AND(Employees_Data[[#This Row],[Age]]&gt;=20,Employees_Data[[#This Row],[Age]]&lt;=30),"Young",IF(AND(Employees_Data[[#This Row],[Age]]&gt;=31,Employees_Data[[#This Row],[Age]]&lt;=40),"Mid-Age",IF(Employees_Data[[#This Row],[Age]]&gt;=41,"Senior")))</f>
        <v>Young</v>
      </c>
      <c r="V451" t="str">
        <f>IF(Employees_Data[[#This Row],[Salary]]&lt;=30000,"Low",IF(AND(Employees_Data[[#This Row],[Salary]]&gt;30000,Employees_Data[[#This Row],[Salary]]&lt;=60000),"Medium",IF(AND(Employees_Data[[#This Row],[Salary]]&gt;60000,Employees_Data[[#This Row],[Salary]]&lt;=90000),"High",IF(Employees_Data[[#This Row],[Salary]]&gt;90000,"Executive"))))</f>
        <v>High</v>
      </c>
      <c r="W45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451" s="14" t="str">
        <f>VLOOKUP(Employees_Data[[#This Row],[Department]],Departments!$A$2:$B$7,2,FALSE)</f>
        <v>D05</v>
      </c>
      <c r="Y451" s="14" t="str">
        <f>INDEX(Departments!$B$2:$B$7,MATCH(Employees_Data[[#This Row],[Department]],Departments!$A$2:$A$7,0))</f>
        <v>D05</v>
      </c>
      <c r="Z451" s="14" t="str">
        <f>INDEX(Salary_Bands!$C$2:$C$5,MATCH(Employees_Data[[#This Row],[Salary]],Salary_Bands!$A$2:$A$5,1))</f>
        <v>High</v>
      </c>
    </row>
    <row r="452" spans="1:26" x14ac:dyDescent="0.3">
      <c r="A452" t="s">
        <v>965</v>
      </c>
      <c r="B452" t="s">
        <v>966</v>
      </c>
      <c r="C452" t="s">
        <v>22</v>
      </c>
      <c r="D452" s="12">
        <v>42</v>
      </c>
      <c r="E452" t="s">
        <v>33</v>
      </c>
      <c r="F452" t="s">
        <v>118</v>
      </c>
      <c r="G452" t="s">
        <v>51</v>
      </c>
      <c r="H452">
        <v>18</v>
      </c>
      <c r="I452" s="1">
        <v>45437</v>
      </c>
      <c r="J452" s="10">
        <v>76157</v>
      </c>
      <c r="K452" s="10">
        <v>18276</v>
      </c>
      <c r="L452">
        <v>3</v>
      </c>
      <c r="M452" t="s">
        <v>52</v>
      </c>
      <c r="N452" t="s">
        <v>63</v>
      </c>
      <c r="O452" s="5" t="s">
        <v>29</v>
      </c>
      <c r="P452" t="s">
        <v>28</v>
      </c>
      <c r="Q452">
        <v>15</v>
      </c>
      <c r="R452">
        <v>19</v>
      </c>
      <c r="S452">
        <v>10</v>
      </c>
      <c r="T452" t="s">
        <v>30</v>
      </c>
      <c r="U452" t="str">
        <f>IF(AND(Employees_Data[[#This Row],[Age]]&gt;=20,Employees_Data[[#This Row],[Age]]&lt;=30),"Young",IF(AND(Employees_Data[[#This Row],[Age]]&gt;=31,Employees_Data[[#This Row],[Age]]&lt;=40),"Mid-Age",IF(Employees_Data[[#This Row],[Age]]&gt;=41,"Senior")))</f>
        <v>Senior</v>
      </c>
      <c r="V452" t="str">
        <f>IF(Employees_Data[[#This Row],[Salary]]&lt;=30000,"Low",IF(AND(Employees_Data[[#This Row],[Salary]]&gt;30000,Employees_Data[[#This Row],[Salary]]&lt;=60000),"Medium",IF(AND(Employees_Data[[#This Row],[Salary]]&gt;60000,Employees_Data[[#This Row],[Salary]]&lt;=90000),"High",IF(Employees_Data[[#This Row],[Salary]]&gt;90000,"Executive"))))</f>
        <v>High</v>
      </c>
      <c r="W45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52" s="14" t="str">
        <f>VLOOKUP(Employees_Data[[#This Row],[Department]],Departments!$A$2:$B$7,2,FALSE)</f>
        <v>D05</v>
      </c>
      <c r="Y452" s="14" t="str">
        <f>INDEX(Departments!$B$2:$B$7,MATCH(Employees_Data[[#This Row],[Department]],Departments!$A$2:$A$7,0))</f>
        <v>D05</v>
      </c>
      <c r="Z452" s="14" t="str">
        <f>INDEX(Salary_Bands!$C$2:$C$5,MATCH(Employees_Data[[#This Row],[Salary]],Salary_Bands!$A$2:$A$5,1))</f>
        <v>High</v>
      </c>
    </row>
    <row r="453" spans="1:26" hidden="1" x14ac:dyDescent="0.3">
      <c r="A453" t="s">
        <v>967</v>
      </c>
      <c r="B453" t="s">
        <v>968</v>
      </c>
      <c r="C453" t="s">
        <v>40</v>
      </c>
      <c r="D453" s="12">
        <v>49</v>
      </c>
      <c r="E453" t="s">
        <v>41</v>
      </c>
      <c r="F453" t="s">
        <v>232</v>
      </c>
      <c r="G453" t="s">
        <v>25</v>
      </c>
      <c r="H453">
        <v>27</v>
      </c>
      <c r="I453" s="1">
        <v>45136</v>
      </c>
      <c r="J453" s="10">
        <v>108288</v>
      </c>
      <c r="K453" s="10">
        <v>15173</v>
      </c>
      <c r="L453">
        <v>1</v>
      </c>
      <c r="M453" t="s">
        <v>26</v>
      </c>
      <c r="N453" t="s">
        <v>53</v>
      </c>
      <c r="O453" t="s">
        <v>28</v>
      </c>
      <c r="P453" t="s">
        <v>29</v>
      </c>
      <c r="Q453">
        <v>50</v>
      </c>
      <c r="R453">
        <v>18</v>
      </c>
      <c r="S453">
        <v>9</v>
      </c>
      <c r="T453" t="s">
        <v>30</v>
      </c>
      <c r="U453" t="str">
        <f>IF(AND(Employees_Data[[#This Row],[Age]]&gt;=20,Employees_Data[[#This Row],[Age]]&lt;=30),"Young",IF(AND(Employees_Data[[#This Row],[Age]]&gt;=31,Employees_Data[[#This Row],[Age]]&lt;=40),"Mid-Age",IF(Employees_Data[[#This Row],[Age]]&gt;=41,"Senior")))</f>
        <v>Senior</v>
      </c>
      <c r="V453" t="str">
        <f>IF(Employees_Data[[#This Row],[Salary]]&lt;=30000,"Low",IF(AND(Employees_Data[[#This Row],[Salary]]&gt;30000,Employees_Data[[#This Row],[Salary]]&lt;=60000),"Medium",IF(AND(Employees_Data[[#This Row],[Salary]]&gt;60000,Employees_Data[[#This Row],[Salary]]&lt;=90000),"High",IF(Employees_Data[[#This Row],[Salary]]&gt;90000,"Executive"))))</f>
        <v>Executive</v>
      </c>
      <c r="W45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53" s="14" t="str">
        <f>VLOOKUP(Employees_Data[[#This Row],[Department]],Departments!$A$2:$B$7,2,FALSE)</f>
        <v>D03</v>
      </c>
      <c r="Y453" s="14" t="str">
        <f>INDEX(Departments!$B$2:$B$7,MATCH(Employees_Data[[#This Row],[Department]],Departments!$A$2:$A$7,0))</f>
        <v>D03</v>
      </c>
      <c r="Z453" s="14" t="str">
        <f>INDEX(Salary_Bands!$C$2:$C$5,MATCH(Employees_Data[[#This Row],[Salary]],Salary_Bands!$A$2:$A$5,1))</f>
        <v>Executive</v>
      </c>
    </row>
    <row r="454" spans="1:26" hidden="1" x14ac:dyDescent="0.3">
      <c r="A454" t="s">
        <v>969</v>
      </c>
      <c r="B454" t="s">
        <v>970</v>
      </c>
      <c r="C454" t="s">
        <v>22</v>
      </c>
      <c r="D454" s="12">
        <v>43</v>
      </c>
      <c r="E454" t="s">
        <v>56</v>
      </c>
      <c r="F454" t="s">
        <v>79</v>
      </c>
      <c r="G454" t="s">
        <v>51</v>
      </c>
      <c r="H454">
        <v>20</v>
      </c>
      <c r="I454" s="1">
        <v>43376</v>
      </c>
      <c r="J454" s="10">
        <v>99242</v>
      </c>
      <c r="K454" s="10">
        <v>18536</v>
      </c>
      <c r="L454">
        <v>5</v>
      </c>
      <c r="M454" t="s">
        <v>36</v>
      </c>
      <c r="N454" t="s">
        <v>58</v>
      </c>
      <c r="O454" t="s">
        <v>28</v>
      </c>
      <c r="P454" t="s">
        <v>28</v>
      </c>
      <c r="Q454">
        <v>17</v>
      </c>
      <c r="R454">
        <v>13</v>
      </c>
      <c r="S454">
        <v>8</v>
      </c>
      <c r="T454" t="s">
        <v>30</v>
      </c>
      <c r="U454" t="str">
        <f>IF(AND(Employees_Data[[#This Row],[Age]]&gt;=20,Employees_Data[[#This Row],[Age]]&lt;=30),"Young",IF(AND(Employees_Data[[#This Row],[Age]]&gt;=31,Employees_Data[[#This Row],[Age]]&lt;=40),"Mid-Age",IF(Employees_Data[[#This Row],[Age]]&gt;=41,"Senior")))</f>
        <v>Senior</v>
      </c>
      <c r="V454" t="str">
        <f>IF(Employees_Data[[#This Row],[Salary]]&lt;=30000,"Low",IF(AND(Employees_Data[[#This Row],[Salary]]&gt;30000,Employees_Data[[#This Row],[Salary]]&lt;=60000),"Medium",IF(AND(Employees_Data[[#This Row],[Salary]]&gt;60000,Employees_Data[[#This Row],[Salary]]&lt;=90000),"High",IF(Employees_Data[[#This Row],[Salary]]&gt;90000,"Executive"))))</f>
        <v>Executive</v>
      </c>
      <c r="W45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54" s="14" t="str">
        <f>VLOOKUP(Employees_Data[[#This Row],[Department]],Departments!$A$2:$B$7,2,FALSE)</f>
        <v>D01</v>
      </c>
      <c r="Y454" s="14" t="str">
        <f>INDEX(Departments!$B$2:$B$7,MATCH(Employees_Data[[#This Row],[Department]],Departments!$A$2:$A$7,0))</f>
        <v>D01</v>
      </c>
      <c r="Z454" s="14" t="str">
        <f>INDEX(Salary_Bands!$C$2:$C$5,MATCH(Employees_Data[[#This Row],[Salary]],Salary_Bands!$A$2:$A$5,1))</f>
        <v>Executive</v>
      </c>
    </row>
    <row r="455" spans="1:26" hidden="1" x14ac:dyDescent="0.3">
      <c r="A455" t="s">
        <v>971</v>
      </c>
      <c r="B455" t="s">
        <v>972</v>
      </c>
      <c r="C455" t="s">
        <v>22</v>
      </c>
      <c r="D455" s="12">
        <v>54</v>
      </c>
      <c r="E455" t="s">
        <v>87</v>
      </c>
      <c r="F455" t="s">
        <v>220</v>
      </c>
      <c r="G455" t="s">
        <v>47</v>
      </c>
      <c r="H455">
        <v>30</v>
      </c>
      <c r="I455" s="1">
        <v>45343</v>
      </c>
      <c r="J455" s="10">
        <v>48671</v>
      </c>
      <c r="K455" s="10">
        <v>10779</v>
      </c>
      <c r="L455">
        <v>1</v>
      </c>
      <c r="M455" t="s">
        <v>52</v>
      </c>
      <c r="N455" t="s">
        <v>53</v>
      </c>
      <c r="O455" t="s">
        <v>28</v>
      </c>
      <c r="P455" t="s">
        <v>28</v>
      </c>
      <c r="Q455">
        <v>41</v>
      </c>
      <c r="R455">
        <v>20</v>
      </c>
      <c r="S455">
        <v>9</v>
      </c>
      <c r="T455" t="s">
        <v>30</v>
      </c>
      <c r="U455" t="str">
        <f>IF(AND(Employees_Data[[#This Row],[Age]]&gt;=20,Employees_Data[[#This Row],[Age]]&lt;=30),"Young",IF(AND(Employees_Data[[#This Row],[Age]]&gt;=31,Employees_Data[[#This Row],[Age]]&lt;=40),"Mid-Age",IF(Employees_Data[[#This Row],[Age]]&gt;=41,"Senior")))</f>
        <v>Senior</v>
      </c>
      <c r="V455" t="str">
        <f>IF(Employees_Data[[#This Row],[Salary]]&lt;=30000,"Low",IF(AND(Employees_Data[[#This Row],[Salary]]&gt;30000,Employees_Data[[#This Row],[Salary]]&lt;=60000),"Medium",IF(AND(Employees_Data[[#This Row],[Salary]]&gt;60000,Employees_Data[[#This Row],[Salary]]&lt;=90000),"High",IF(Employees_Data[[#This Row],[Salary]]&gt;90000,"Executive"))))</f>
        <v>Medium</v>
      </c>
      <c r="W45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55" s="14" t="str">
        <f>VLOOKUP(Employees_Data[[#This Row],[Department]],Departments!$A$2:$B$7,2,FALSE)</f>
        <v>D04</v>
      </c>
      <c r="Y455" s="14" t="str">
        <f>INDEX(Departments!$B$2:$B$7,MATCH(Employees_Data[[#This Row],[Department]],Departments!$A$2:$A$7,0))</f>
        <v>D04</v>
      </c>
      <c r="Z455" s="14" t="str">
        <f>INDEX(Salary_Bands!$C$2:$C$5,MATCH(Employees_Data[[#This Row],[Salary]],Salary_Bands!$A$2:$A$5,1))</f>
        <v>Medium</v>
      </c>
    </row>
    <row r="456" spans="1:26" hidden="1" x14ac:dyDescent="0.3">
      <c r="A456" t="s">
        <v>973</v>
      </c>
      <c r="B456" t="s">
        <v>974</v>
      </c>
      <c r="C456" t="s">
        <v>40</v>
      </c>
      <c r="D456" s="12">
        <v>34</v>
      </c>
      <c r="E456" t="s">
        <v>56</v>
      </c>
      <c r="F456" t="s">
        <v>79</v>
      </c>
      <c r="G456" t="s">
        <v>47</v>
      </c>
      <c r="H456">
        <v>11</v>
      </c>
      <c r="I456" s="1">
        <v>44995</v>
      </c>
      <c r="J456" s="10">
        <v>44365</v>
      </c>
      <c r="K456" s="10">
        <v>12441</v>
      </c>
      <c r="L456">
        <v>2</v>
      </c>
      <c r="M456" t="s">
        <v>26</v>
      </c>
      <c r="N456" t="s">
        <v>48</v>
      </c>
      <c r="O456" t="s">
        <v>28</v>
      </c>
      <c r="P456" t="s">
        <v>29</v>
      </c>
      <c r="Q456">
        <v>59</v>
      </c>
      <c r="R456">
        <v>13</v>
      </c>
      <c r="S456">
        <v>3</v>
      </c>
      <c r="T456" t="s">
        <v>30</v>
      </c>
      <c r="U456" t="str">
        <f>IF(AND(Employees_Data[[#This Row],[Age]]&gt;=20,Employees_Data[[#This Row],[Age]]&lt;=30),"Young",IF(AND(Employees_Data[[#This Row],[Age]]&gt;=31,Employees_Data[[#This Row],[Age]]&lt;=40),"Mid-Age",IF(Employees_Data[[#This Row],[Age]]&gt;=41,"Senior")))</f>
        <v>Mid-Age</v>
      </c>
      <c r="V456" t="str">
        <f>IF(Employees_Data[[#This Row],[Salary]]&lt;=30000,"Low",IF(AND(Employees_Data[[#This Row],[Salary]]&gt;30000,Employees_Data[[#This Row],[Salary]]&lt;=60000),"Medium",IF(AND(Employees_Data[[#This Row],[Salary]]&gt;60000,Employees_Data[[#This Row],[Salary]]&lt;=90000),"High",IF(Employees_Data[[#This Row],[Salary]]&gt;90000,"Executive"))))</f>
        <v>Medium</v>
      </c>
      <c r="W45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56" s="14" t="str">
        <f>VLOOKUP(Employees_Data[[#This Row],[Department]],Departments!$A$2:$B$7,2,FALSE)</f>
        <v>D01</v>
      </c>
      <c r="Y456" s="14" t="str">
        <f>INDEX(Departments!$B$2:$B$7,MATCH(Employees_Data[[#This Row],[Department]],Departments!$A$2:$A$7,0))</f>
        <v>D01</v>
      </c>
      <c r="Z456" s="14" t="str">
        <f>INDEX(Salary_Bands!$C$2:$C$5,MATCH(Employees_Data[[#This Row],[Salary]],Salary_Bands!$A$2:$A$5,1))</f>
        <v>Medium</v>
      </c>
    </row>
    <row r="457" spans="1:26" x14ac:dyDescent="0.3">
      <c r="A457" t="s">
        <v>975</v>
      </c>
      <c r="B457" t="s">
        <v>976</v>
      </c>
      <c r="C457" t="s">
        <v>22</v>
      </c>
      <c r="D457" s="12">
        <v>32</v>
      </c>
      <c r="E457" t="s">
        <v>41</v>
      </c>
      <c r="F457" t="s">
        <v>232</v>
      </c>
      <c r="G457" t="s">
        <v>51</v>
      </c>
      <c r="H457">
        <v>9</v>
      </c>
      <c r="I457" s="1">
        <v>45563</v>
      </c>
      <c r="J457" s="10">
        <v>55950</v>
      </c>
      <c r="K457" s="10">
        <v>17209</v>
      </c>
      <c r="L457">
        <v>4</v>
      </c>
      <c r="M457" t="s">
        <v>36</v>
      </c>
      <c r="N457" t="s">
        <v>53</v>
      </c>
      <c r="O457" s="5" t="s">
        <v>29</v>
      </c>
      <c r="P457" t="s">
        <v>28</v>
      </c>
      <c r="Q457">
        <v>32</v>
      </c>
      <c r="R457">
        <v>20</v>
      </c>
      <c r="S457">
        <v>4</v>
      </c>
      <c r="T457" t="s">
        <v>43</v>
      </c>
      <c r="U457" t="str">
        <f>IF(AND(Employees_Data[[#This Row],[Age]]&gt;=20,Employees_Data[[#This Row],[Age]]&lt;=30),"Young",IF(AND(Employees_Data[[#This Row],[Age]]&gt;=31,Employees_Data[[#This Row],[Age]]&lt;=40),"Mid-Age",IF(Employees_Data[[#This Row],[Age]]&gt;=41,"Senior")))</f>
        <v>Mid-Age</v>
      </c>
      <c r="V457" t="str">
        <f>IF(Employees_Data[[#This Row],[Salary]]&lt;=30000,"Low",IF(AND(Employees_Data[[#This Row],[Salary]]&gt;30000,Employees_Data[[#This Row],[Salary]]&lt;=60000),"Medium",IF(AND(Employees_Data[[#This Row],[Salary]]&gt;60000,Employees_Data[[#This Row],[Salary]]&lt;=90000),"High",IF(Employees_Data[[#This Row],[Salary]]&gt;90000,"Executive"))))</f>
        <v>Medium</v>
      </c>
      <c r="W45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57" s="14" t="str">
        <f>VLOOKUP(Employees_Data[[#This Row],[Department]],Departments!$A$2:$B$7,2,FALSE)</f>
        <v>D03</v>
      </c>
      <c r="Y457" s="14" t="str">
        <f>INDEX(Departments!$B$2:$B$7,MATCH(Employees_Data[[#This Row],[Department]],Departments!$A$2:$A$7,0))</f>
        <v>D03</v>
      </c>
      <c r="Z457" s="14" t="str">
        <f>INDEX(Salary_Bands!$C$2:$C$5,MATCH(Employees_Data[[#This Row],[Salary]],Salary_Bands!$A$2:$A$5,1))</f>
        <v>Medium</v>
      </c>
    </row>
    <row r="458" spans="1:26" hidden="1" x14ac:dyDescent="0.3">
      <c r="A458" t="s">
        <v>977</v>
      </c>
      <c r="B458" t="s">
        <v>978</v>
      </c>
      <c r="C458" t="s">
        <v>22</v>
      </c>
      <c r="D458" s="12">
        <v>32</v>
      </c>
      <c r="E458" t="s">
        <v>56</v>
      </c>
      <c r="F458" t="s">
        <v>57</v>
      </c>
      <c r="G458" t="s">
        <v>47</v>
      </c>
      <c r="H458">
        <v>9</v>
      </c>
      <c r="I458" s="1">
        <v>43659</v>
      </c>
      <c r="J458" s="10">
        <v>28819</v>
      </c>
      <c r="K458" s="10">
        <v>2652</v>
      </c>
      <c r="L458">
        <v>3</v>
      </c>
      <c r="M458" t="s">
        <v>26</v>
      </c>
      <c r="N458" t="s">
        <v>63</v>
      </c>
      <c r="O458" t="s">
        <v>28</v>
      </c>
      <c r="P458" t="s">
        <v>29</v>
      </c>
      <c r="Q458">
        <v>25</v>
      </c>
      <c r="R458">
        <v>19</v>
      </c>
      <c r="S458">
        <v>5</v>
      </c>
      <c r="T458" t="s">
        <v>43</v>
      </c>
      <c r="U458" t="str">
        <f>IF(AND(Employees_Data[[#This Row],[Age]]&gt;=20,Employees_Data[[#This Row],[Age]]&lt;=30),"Young",IF(AND(Employees_Data[[#This Row],[Age]]&gt;=31,Employees_Data[[#This Row],[Age]]&lt;=40),"Mid-Age",IF(Employees_Data[[#This Row],[Age]]&gt;=41,"Senior")))</f>
        <v>Mid-Age</v>
      </c>
      <c r="V458" t="str">
        <f>IF(Employees_Data[[#This Row],[Salary]]&lt;=30000,"Low",IF(AND(Employees_Data[[#This Row],[Salary]]&gt;30000,Employees_Data[[#This Row],[Salary]]&lt;=60000),"Medium",IF(AND(Employees_Data[[#This Row],[Salary]]&gt;60000,Employees_Data[[#This Row],[Salary]]&lt;=90000),"High",IF(Employees_Data[[#This Row],[Salary]]&gt;90000,"Executive"))))</f>
        <v>Low</v>
      </c>
      <c r="W45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58" s="14" t="str">
        <f>VLOOKUP(Employees_Data[[#This Row],[Department]],Departments!$A$2:$B$7,2,FALSE)</f>
        <v>D01</v>
      </c>
      <c r="Y458" s="14" t="str">
        <f>INDEX(Departments!$B$2:$B$7,MATCH(Employees_Data[[#This Row],[Department]],Departments!$A$2:$A$7,0))</f>
        <v>D01</v>
      </c>
      <c r="Z458" s="14" t="str">
        <f>INDEX(Salary_Bands!$C$2:$C$5,MATCH(Employees_Data[[#This Row],[Salary]],Salary_Bands!$A$2:$A$5,1))</f>
        <v>Low</v>
      </c>
    </row>
    <row r="459" spans="1:26" x14ac:dyDescent="0.3">
      <c r="A459" t="s">
        <v>979</v>
      </c>
      <c r="B459" t="s">
        <v>980</v>
      </c>
      <c r="C459" t="s">
        <v>22</v>
      </c>
      <c r="D459" s="12">
        <v>48</v>
      </c>
      <c r="E459" t="s">
        <v>41</v>
      </c>
      <c r="F459" t="s">
        <v>42</v>
      </c>
      <c r="G459" t="s">
        <v>25</v>
      </c>
      <c r="H459">
        <v>25</v>
      </c>
      <c r="I459" s="1">
        <v>43470</v>
      </c>
      <c r="J459" s="10">
        <v>77021</v>
      </c>
      <c r="K459" s="10">
        <v>23765</v>
      </c>
      <c r="L459">
        <v>2</v>
      </c>
      <c r="M459" t="s">
        <v>52</v>
      </c>
      <c r="N459" t="s">
        <v>63</v>
      </c>
      <c r="O459" s="5" t="s">
        <v>29</v>
      </c>
      <c r="P459" t="s">
        <v>28</v>
      </c>
      <c r="Q459">
        <v>36</v>
      </c>
      <c r="R459">
        <v>2</v>
      </c>
      <c r="S459">
        <v>4</v>
      </c>
      <c r="T459" t="s">
        <v>30</v>
      </c>
      <c r="U459" t="str">
        <f>IF(AND(Employees_Data[[#This Row],[Age]]&gt;=20,Employees_Data[[#This Row],[Age]]&lt;=30),"Young",IF(AND(Employees_Data[[#This Row],[Age]]&gt;=31,Employees_Data[[#This Row],[Age]]&lt;=40),"Mid-Age",IF(Employees_Data[[#This Row],[Age]]&gt;=41,"Senior")))</f>
        <v>Senior</v>
      </c>
      <c r="V459" t="str">
        <f>IF(Employees_Data[[#This Row],[Salary]]&lt;=30000,"Low",IF(AND(Employees_Data[[#This Row],[Salary]]&gt;30000,Employees_Data[[#This Row],[Salary]]&lt;=60000),"Medium",IF(AND(Employees_Data[[#This Row],[Salary]]&gt;60000,Employees_Data[[#This Row],[Salary]]&lt;=90000),"High",IF(Employees_Data[[#This Row],[Salary]]&gt;90000,"Executive"))))</f>
        <v>High</v>
      </c>
      <c r="W45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59" s="14" t="str">
        <f>VLOOKUP(Employees_Data[[#This Row],[Department]],Departments!$A$2:$B$7,2,FALSE)</f>
        <v>D03</v>
      </c>
      <c r="Y459" s="14" t="str">
        <f>INDEX(Departments!$B$2:$B$7,MATCH(Employees_Data[[#This Row],[Department]],Departments!$A$2:$A$7,0))</f>
        <v>D03</v>
      </c>
      <c r="Z459" s="14" t="str">
        <f>INDEX(Salary_Bands!$C$2:$C$5,MATCH(Employees_Data[[#This Row],[Salary]],Salary_Bands!$A$2:$A$5,1))</f>
        <v>High</v>
      </c>
    </row>
    <row r="460" spans="1:26" hidden="1" x14ac:dyDescent="0.3">
      <c r="A460" t="s">
        <v>981</v>
      </c>
      <c r="B460" t="s">
        <v>982</v>
      </c>
      <c r="C460" t="s">
        <v>40</v>
      </c>
      <c r="D460" s="12">
        <v>29</v>
      </c>
      <c r="E460" t="s">
        <v>61</v>
      </c>
      <c r="F460" t="s">
        <v>66</v>
      </c>
      <c r="G460" t="s">
        <v>35</v>
      </c>
      <c r="H460">
        <v>6</v>
      </c>
      <c r="I460" s="1">
        <v>44449</v>
      </c>
      <c r="J460" s="10">
        <v>134095</v>
      </c>
      <c r="K460" s="10">
        <v>6727</v>
      </c>
      <c r="L460">
        <v>5</v>
      </c>
      <c r="M460" t="s">
        <v>26</v>
      </c>
      <c r="N460" t="s">
        <v>76</v>
      </c>
      <c r="O460" t="s">
        <v>28</v>
      </c>
      <c r="P460" t="s">
        <v>29</v>
      </c>
      <c r="Q460">
        <v>22</v>
      </c>
      <c r="R460">
        <v>14</v>
      </c>
      <c r="S460">
        <v>7</v>
      </c>
      <c r="T460" t="s">
        <v>30</v>
      </c>
      <c r="U460" t="str">
        <f>IF(AND(Employees_Data[[#This Row],[Age]]&gt;=20,Employees_Data[[#This Row],[Age]]&lt;=30),"Young",IF(AND(Employees_Data[[#This Row],[Age]]&gt;=31,Employees_Data[[#This Row],[Age]]&lt;=40),"Mid-Age",IF(Employees_Data[[#This Row],[Age]]&gt;=41,"Senior")))</f>
        <v>Young</v>
      </c>
      <c r="V460" t="str">
        <f>IF(Employees_Data[[#This Row],[Salary]]&lt;=30000,"Low",IF(AND(Employees_Data[[#This Row],[Salary]]&gt;30000,Employees_Data[[#This Row],[Salary]]&lt;=60000),"Medium",IF(AND(Employees_Data[[#This Row],[Salary]]&gt;60000,Employees_Data[[#This Row],[Salary]]&lt;=90000),"High",IF(Employees_Data[[#This Row],[Salary]]&gt;90000,"Executive"))))</f>
        <v>Executive</v>
      </c>
      <c r="W46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60" s="14" t="str">
        <f>VLOOKUP(Employees_Data[[#This Row],[Department]],Departments!$A$2:$B$7,2,FALSE)</f>
        <v>D02</v>
      </c>
      <c r="Y460" s="14" t="str">
        <f>INDEX(Departments!$B$2:$B$7,MATCH(Employees_Data[[#This Row],[Department]],Departments!$A$2:$A$7,0))</f>
        <v>D02</v>
      </c>
      <c r="Z460" s="14" t="str">
        <f>INDEX(Salary_Bands!$C$2:$C$5,MATCH(Employees_Data[[#This Row],[Salary]],Salary_Bands!$A$2:$A$5,1))</f>
        <v>Executive</v>
      </c>
    </row>
    <row r="461" spans="1:26" hidden="1" x14ac:dyDescent="0.3">
      <c r="A461" t="s">
        <v>983</v>
      </c>
      <c r="B461" t="s">
        <v>984</v>
      </c>
      <c r="C461" t="s">
        <v>22</v>
      </c>
      <c r="D461" s="12">
        <v>25</v>
      </c>
      <c r="E461" t="s">
        <v>87</v>
      </c>
      <c r="F461" t="s">
        <v>220</v>
      </c>
      <c r="G461" t="s">
        <v>51</v>
      </c>
      <c r="H461">
        <v>1</v>
      </c>
      <c r="I461" s="1">
        <v>45286</v>
      </c>
      <c r="J461" s="10">
        <v>74113</v>
      </c>
      <c r="K461" s="10">
        <v>6748</v>
      </c>
      <c r="L461">
        <v>1</v>
      </c>
      <c r="M461" t="s">
        <v>36</v>
      </c>
      <c r="N461" t="s">
        <v>58</v>
      </c>
      <c r="O461" t="s">
        <v>28</v>
      </c>
      <c r="P461" t="s">
        <v>28</v>
      </c>
      <c r="Q461">
        <v>57</v>
      </c>
      <c r="R461">
        <v>9</v>
      </c>
      <c r="S461">
        <v>6</v>
      </c>
      <c r="T461" t="s">
        <v>30</v>
      </c>
      <c r="U461" t="str">
        <f>IF(AND(Employees_Data[[#This Row],[Age]]&gt;=20,Employees_Data[[#This Row],[Age]]&lt;=30),"Young",IF(AND(Employees_Data[[#This Row],[Age]]&gt;=31,Employees_Data[[#This Row],[Age]]&lt;=40),"Mid-Age",IF(Employees_Data[[#This Row],[Age]]&gt;=41,"Senior")))</f>
        <v>Young</v>
      </c>
      <c r="V461" t="str">
        <f>IF(Employees_Data[[#This Row],[Salary]]&lt;=30000,"Low",IF(AND(Employees_Data[[#This Row],[Salary]]&gt;30000,Employees_Data[[#This Row],[Salary]]&lt;=60000),"Medium",IF(AND(Employees_Data[[#This Row],[Salary]]&gt;60000,Employees_Data[[#This Row],[Salary]]&lt;=90000),"High",IF(Employees_Data[[#This Row],[Salary]]&gt;90000,"Executive"))))</f>
        <v>High</v>
      </c>
      <c r="W46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61" s="14" t="str">
        <f>VLOOKUP(Employees_Data[[#This Row],[Department]],Departments!$A$2:$B$7,2,FALSE)</f>
        <v>D04</v>
      </c>
      <c r="Y461" s="14" t="str">
        <f>INDEX(Departments!$B$2:$B$7,MATCH(Employees_Data[[#This Row],[Department]],Departments!$A$2:$A$7,0))</f>
        <v>D04</v>
      </c>
      <c r="Z461" s="14" t="str">
        <f>INDEX(Salary_Bands!$C$2:$C$5,MATCH(Employees_Data[[#This Row],[Salary]],Salary_Bands!$A$2:$A$5,1))</f>
        <v>High</v>
      </c>
    </row>
    <row r="462" spans="1:26" hidden="1" x14ac:dyDescent="0.3">
      <c r="A462" t="s">
        <v>985</v>
      </c>
      <c r="B462" t="s">
        <v>986</v>
      </c>
      <c r="C462" t="s">
        <v>40</v>
      </c>
      <c r="D462" s="12">
        <v>24</v>
      </c>
      <c r="E462" t="s">
        <v>56</v>
      </c>
      <c r="F462" t="s">
        <v>79</v>
      </c>
      <c r="G462" t="s">
        <v>80</v>
      </c>
      <c r="H462">
        <v>0</v>
      </c>
      <c r="I462" s="1">
        <v>43324</v>
      </c>
      <c r="J462" s="10">
        <v>115529</v>
      </c>
      <c r="K462" s="10">
        <v>19527</v>
      </c>
      <c r="L462">
        <v>2</v>
      </c>
      <c r="M462" t="s">
        <v>26</v>
      </c>
      <c r="N462" t="s">
        <v>63</v>
      </c>
      <c r="O462" t="s">
        <v>28</v>
      </c>
      <c r="P462" t="s">
        <v>28</v>
      </c>
      <c r="Q462">
        <v>29</v>
      </c>
      <c r="R462">
        <v>0</v>
      </c>
      <c r="S462">
        <v>5</v>
      </c>
      <c r="T462" t="s">
        <v>30</v>
      </c>
      <c r="U462" t="str">
        <f>IF(AND(Employees_Data[[#This Row],[Age]]&gt;=20,Employees_Data[[#This Row],[Age]]&lt;=30),"Young",IF(AND(Employees_Data[[#This Row],[Age]]&gt;=31,Employees_Data[[#This Row],[Age]]&lt;=40),"Mid-Age",IF(Employees_Data[[#This Row],[Age]]&gt;=41,"Senior")))</f>
        <v>Young</v>
      </c>
      <c r="V462" t="str">
        <f>IF(Employees_Data[[#This Row],[Salary]]&lt;=30000,"Low",IF(AND(Employees_Data[[#This Row],[Salary]]&gt;30000,Employees_Data[[#This Row],[Salary]]&lt;=60000),"Medium",IF(AND(Employees_Data[[#This Row],[Salary]]&gt;60000,Employees_Data[[#This Row],[Salary]]&lt;=90000),"High",IF(Employees_Data[[#This Row],[Salary]]&gt;90000,"Executive"))))</f>
        <v>Executive</v>
      </c>
      <c r="W46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62" s="14" t="str">
        <f>VLOOKUP(Employees_Data[[#This Row],[Department]],Departments!$A$2:$B$7,2,FALSE)</f>
        <v>D01</v>
      </c>
      <c r="Y462" s="14" t="str">
        <f>INDEX(Departments!$B$2:$B$7,MATCH(Employees_Data[[#This Row],[Department]],Departments!$A$2:$A$7,0))</f>
        <v>D01</v>
      </c>
      <c r="Z462" s="14" t="str">
        <f>INDEX(Salary_Bands!$C$2:$C$5,MATCH(Employees_Data[[#This Row],[Salary]],Salary_Bands!$A$2:$A$5,1))</f>
        <v>Executive</v>
      </c>
    </row>
    <row r="463" spans="1:26" hidden="1" x14ac:dyDescent="0.3">
      <c r="A463" t="s">
        <v>987</v>
      </c>
      <c r="B463" t="s">
        <v>988</v>
      </c>
      <c r="C463" t="s">
        <v>40</v>
      </c>
      <c r="D463" s="12">
        <v>41</v>
      </c>
      <c r="E463" t="s">
        <v>87</v>
      </c>
      <c r="F463" t="s">
        <v>220</v>
      </c>
      <c r="G463" t="s">
        <v>80</v>
      </c>
      <c r="H463">
        <v>20</v>
      </c>
      <c r="I463" s="1">
        <v>44065</v>
      </c>
      <c r="J463" s="10">
        <v>63983</v>
      </c>
      <c r="K463" s="10">
        <v>10979</v>
      </c>
      <c r="L463">
        <v>2</v>
      </c>
      <c r="M463" t="s">
        <v>26</v>
      </c>
      <c r="N463" t="s">
        <v>63</v>
      </c>
      <c r="O463" t="s">
        <v>28</v>
      </c>
      <c r="P463" t="s">
        <v>28</v>
      </c>
      <c r="Q463">
        <v>35</v>
      </c>
      <c r="R463">
        <v>13</v>
      </c>
      <c r="S463">
        <v>3</v>
      </c>
      <c r="T463" t="s">
        <v>30</v>
      </c>
      <c r="U463" t="str">
        <f>IF(AND(Employees_Data[[#This Row],[Age]]&gt;=20,Employees_Data[[#This Row],[Age]]&lt;=30),"Young",IF(AND(Employees_Data[[#This Row],[Age]]&gt;=31,Employees_Data[[#This Row],[Age]]&lt;=40),"Mid-Age",IF(Employees_Data[[#This Row],[Age]]&gt;=41,"Senior")))</f>
        <v>Senior</v>
      </c>
      <c r="V463" t="str">
        <f>IF(Employees_Data[[#This Row],[Salary]]&lt;=30000,"Low",IF(AND(Employees_Data[[#This Row],[Salary]]&gt;30000,Employees_Data[[#This Row],[Salary]]&lt;=60000),"Medium",IF(AND(Employees_Data[[#This Row],[Salary]]&gt;60000,Employees_Data[[#This Row],[Salary]]&lt;=90000),"High",IF(Employees_Data[[#This Row],[Salary]]&gt;90000,"Executive"))))</f>
        <v>High</v>
      </c>
      <c r="W46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63" s="14" t="str">
        <f>VLOOKUP(Employees_Data[[#This Row],[Department]],Departments!$A$2:$B$7,2,FALSE)</f>
        <v>D04</v>
      </c>
      <c r="Y463" s="14" t="str">
        <f>INDEX(Departments!$B$2:$B$7,MATCH(Employees_Data[[#This Row],[Department]],Departments!$A$2:$A$7,0))</f>
        <v>D04</v>
      </c>
      <c r="Z463" s="14" t="str">
        <f>INDEX(Salary_Bands!$C$2:$C$5,MATCH(Employees_Data[[#This Row],[Salary]],Salary_Bands!$A$2:$A$5,1))</f>
        <v>High</v>
      </c>
    </row>
    <row r="464" spans="1:26" x14ac:dyDescent="0.3">
      <c r="A464" t="s">
        <v>989</v>
      </c>
      <c r="B464" t="s">
        <v>990</v>
      </c>
      <c r="C464" t="s">
        <v>40</v>
      </c>
      <c r="D464" s="12">
        <v>49</v>
      </c>
      <c r="E464" t="s">
        <v>41</v>
      </c>
      <c r="F464" t="s">
        <v>69</v>
      </c>
      <c r="G464" t="s">
        <v>47</v>
      </c>
      <c r="H464">
        <v>28</v>
      </c>
      <c r="I464" s="1">
        <v>43757</v>
      </c>
      <c r="J464" s="10">
        <v>116551</v>
      </c>
      <c r="K464" s="10">
        <v>24780</v>
      </c>
      <c r="L464">
        <v>3</v>
      </c>
      <c r="M464" t="s">
        <v>26</v>
      </c>
      <c r="N464" t="s">
        <v>63</v>
      </c>
      <c r="O464" s="5" t="s">
        <v>29</v>
      </c>
      <c r="P464" t="s">
        <v>29</v>
      </c>
      <c r="Q464">
        <v>46</v>
      </c>
      <c r="R464">
        <v>20</v>
      </c>
      <c r="S464">
        <v>9</v>
      </c>
      <c r="T464" t="s">
        <v>30</v>
      </c>
      <c r="U464" t="str">
        <f>IF(AND(Employees_Data[[#This Row],[Age]]&gt;=20,Employees_Data[[#This Row],[Age]]&lt;=30),"Young",IF(AND(Employees_Data[[#This Row],[Age]]&gt;=31,Employees_Data[[#This Row],[Age]]&lt;=40),"Mid-Age",IF(Employees_Data[[#This Row],[Age]]&gt;=41,"Senior")))</f>
        <v>Senior</v>
      </c>
      <c r="V464" t="str">
        <f>IF(Employees_Data[[#This Row],[Salary]]&lt;=30000,"Low",IF(AND(Employees_Data[[#This Row],[Salary]]&gt;30000,Employees_Data[[#This Row],[Salary]]&lt;=60000),"Medium",IF(AND(Employees_Data[[#This Row],[Salary]]&gt;60000,Employees_Data[[#This Row],[Salary]]&lt;=90000),"High",IF(Employees_Data[[#This Row],[Salary]]&gt;90000,"Executive"))))</f>
        <v>Executive</v>
      </c>
      <c r="W46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64" s="14" t="str">
        <f>VLOOKUP(Employees_Data[[#This Row],[Department]],Departments!$A$2:$B$7,2,FALSE)</f>
        <v>D03</v>
      </c>
      <c r="Y464" s="14" t="str">
        <f>INDEX(Departments!$B$2:$B$7,MATCH(Employees_Data[[#This Row],[Department]],Departments!$A$2:$A$7,0))</f>
        <v>D03</v>
      </c>
      <c r="Z464" s="14" t="str">
        <f>INDEX(Salary_Bands!$C$2:$C$5,MATCH(Employees_Data[[#This Row],[Salary]],Salary_Bands!$A$2:$A$5,1))</f>
        <v>Executive</v>
      </c>
    </row>
    <row r="465" spans="1:26" hidden="1" x14ac:dyDescent="0.3">
      <c r="A465" t="s">
        <v>991</v>
      </c>
      <c r="B465" t="s">
        <v>992</v>
      </c>
      <c r="C465" t="s">
        <v>22</v>
      </c>
      <c r="D465" s="12">
        <v>50</v>
      </c>
      <c r="E465" t="s">
        <v>61</v>
      </c>
      <c r="F465" t="s">
        <v>66</v>
      </c>
      <c r="G465" t="s">
        <v>80</v>
      </c>
      <c r="H465">
        <v>24</v>
      </c>
      <c r="I465" s="1">
        <v>43658</v>
      </c>
      <c r="J465" s="10">
        <v>25403</v>
      </c>
      <c r="K465" s="10">
        <v>7171</v>
      </c>
      <c r="L465">
        <v>4</v>
      </c>
      <c r="M465" t="s">
        <v>26</v>
      </c>
      <c r="N465" t="s">
        <v>53</v>
      </c>
      <c r="O465" t="s">
        <v>28</v>
      </c>
      <c r="P465" t="s">
        <v>29</v>
      </c>
      <c r="Q465">
        <v>59</v>
      </c>
      <c r="R465">
        <v>19</v>
      </c>
      <c r="S465">
        <v>4</v>
      </c>
      <c r="T465" t="s">
        <v>30</v>
      </c>
      <c r="U465" t="str">
        <f>IF(AND(Employees_Data[[#This Row],[Age]]&gt;=20,Employees_Data[[#This Row],[Age]]&lt;=30),"Young",IF(AND(Employees_Data[[#This Row],[Age]]&gt;=31,Employees_Data[[#This Row],[Age]]&lt;=40),"Mid-Age",IF(Employees_Data[[#This Row],[Age]]&gt;=41,"Senior")))</f>
        <v>Senior</v>
      </c>
      <c r="V465" t="str">
        <f>IF(Employees_Data[[#This Row],[Salary]]&lt;=30000,"Low",IF(AND(Employees_Data[[#This Row],[Salary]]&gt;30000,Employees_Data[[#This Row],[Salary]]&lt;=60000),"Medium",IF(AND(Employees_Data[[#This Row],[Salary]]&gt;60000,Employees_Data[[#This Row],[Salary]]&lt;=90000),"High",IF(Employees_Data[[#This Row],[Salary]]&gt;90000,"Executive"))))</f>
        <v>Low</v>
      </c>
      <c r="W46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65" s="14" t="str">
        <f>VLOOKUP(Employees_Data[[#This Row],[Department]],Departments!$A$2:$B$7,2,FALSE)</f>
        <v>D02</v>
      </c>
      <c r="Y465" s="14" t="str">
        <f>INDEX(Departments!$B$2:$B$7,MATCH(Employees_Data[[#This Row],[Department]],Departments!$A$2:$A$7,0))</f>
        <v>D02</v>
      </c>
      <c r="Z465" s="14" t="str">
        <f>INDEX(Salary_Bands!$C$2:$C$5,MATCH(Employees_Data[[#This Row],[Salary]],Salary_Bands!$A$2:$A$5,1))</f>
        <v>Low</v>
      </c>
    </row>
    <row r="466" spans="1:26" hidden="1" x14ac:dyDescent="0.3">
      <c r="A466" t="s">
        <v>993</v>
      </c>
      <c r="B466" t="s">
        <v>994</v>
      </c>
      <c r="C466" t="s">
        <v>40</v>
      </c>
      <c r="D466" s="12">
        <v>42</v>
      </c>
      <c r="E466" t="s">
        <v>23</v>
      </c>
      <c r="F466" t="s">
        <v>100</v>
      </c>
      <c r="G466" t="s">
        <v>51</v>
      </c>
      <c r="H466">
        <v>18</v>
      </c>
      <c r="I466" s="1">
        <v>45060</v>
      </c>
      <c r="J466" s="10">
        <v>139492</v>
      </c>
      <c r="K466" s="10">
        <v>8509</v>
      </c>
      <c r="L466">
        <v>2</v>
      </c>
      <c r="M466" t="s">
        <v>26</v>
      </c>
      <c r="N466" t="s">
        <v>58</v>
      </c>
      <c r="O466" t="s">
        <v>28</v>
      </c>
      <c r="P466" t="s">
        <v>28</v>
      </c>
      <c r="Q466">
        <v>16</v>
      </c>
      <c r="R466">
        <v>12</v>
      </c>
      <c r="S466">
        <v>5</v>
      </c>
      <c r="T466" t="s">
        <v>30</v>
      </c>
      <c r="U466" t="str">
        <f>IF(AND(Employees_Data[[#This Row],[Age]]&gt;=20,Employees_Data[[#This Row],[Age]]&lt;=30),"Young",IF(AND(Employees_Data[[#This Row],[Age]]&gt;=31,Employees_Data[[#This Row],[Age]]&lt;=40),"Mid-Age",IF(Employees_Data[[#This Row],[Age]]&gt;=41,"Senior")))</f>
        <v>Senior</v>
      </c>
      <c r="V466" t="str">
        <f>IF(Employees_Data[[#This Row],[Salary]]&lt;=30000,"Low",IF(AND(Employees_Data[[#This Row],[Salary]]&gt;30000,Employees_Data[[#This Row],[Salary]]&lt;=60000),"Medium",IF(AND(Employees_Data[[#This Row],[Salary]]&gt;60000,Employees_Data[[#This Row],[Salary]]&lt;=90000),"High",IF(Employees_Data[[#This Row],[Salary]]&gt;90000,"Executive"))))</f>
        <v>Executive</v>
      </c>
      <c r="W46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66" s="14" t="str">
        <f>VLOOKUP(Employees_Data[[#This Row],[Department]],Departments!$A$2:$B$7,2,FALSE)</f>
        <v>D06</v>
      </c>
      <c r="Y466" s="14" t="str">
        <f>INDEX(Departments!$B$2:$B$7,MATCH(Employees_Data[[#This Row],[Department]],Departments!$A$2:$A$7,0))</f>
        <v>D06</v>
      </c>
      <c r="Z466" s="14" t="str">
        <f>INDEX(Salary_Bands!$C$2:$C$5,MATCH(Employees_Data[[#This Row],[Salary]],Salary_Bands!$A$2:$A$5,1))</f>
        <v>Executive</v>
      </c>
    </row>
    <row r="467" spans="1:26" hidden="1" x14ac:dyDescent="0.3">
      <c r="A467" t="s">
        <v>995</v>
      </c>
      <c r="B467" t="s">
        <v>996</v>
      </c>
      <c r="C467" t="s">
        <v>40</v>
      </c>
      <c r="D467" s="12">
        <v>36</v>
      </c>
      <c r="E467" t="s">
        <v>87</v>
      </c>
      <c r="F467" t="s">
        <v>88</v>
      </c>
      <c r="G467" t="s">
        <v>35</v>
      </c>
      <c r="H467">
        <v>15</v>
      </c>
      <c r="I467" s="1">
        <v>43195</v>
      </c>
      <c r="J467" s="10">
        <v>145994</v>
      </c>
      <c r="K467" s="10">
        <v>10578</v>
      </c>
      <c r="L467">
        <v>5</v>
      </c>
      <c r="M467" t="s">
        <v>52</v>
      </c>
      <c r="N467" t="s">
        <v>63</v>
      </c>
      <c r="O467" t="s">
        <v>28</v>
      </c>
      <c r="P467" t="s">
        <v>29</v>
      </c>
      <c r="Q467">
        <v>8</v>
      </c>
      <c r="R467">
        <v>12</v>
      </c>
      <c r="S467">
        <v>10</v>
      </c>
      <c r="T467" t="s">
        <v>30</v>
      </c>
      <c r="U467" t="str">
        <f>IF(AND(Employees_Data[[#This Row],[Age]]&gt;=20,Employees_Data[[#This Row],[Age]]&lt;=30),"Young",IF(AND(Employees_Data[[#This Row],[Age]]&gt;=31,Employees_Data[[#This Row],[Age]]&lt;=40),"Mid-Age",IF(Employees_Data[[#This Row],[Age]]&gt;=41,"Senior")))</f>
        <v>Mid-Age</v>
      </c>
      <c r="V467" t="str">
        <f>IF(Employees_Data[[#This Row],[Salary]]&lt;=30000,"Low",IF(AND(Employees_Data[[#This Row],[Salary]]&gt;30000,Employees_Data[[#This Row],[Salary]]&lt;=60000),"Medium",IF(AND(Employees_Data[[#This Row],[Salary]]&gt;60000,Employees_Data[[#This Row],[Salary]]&lt;=90000),"High",IF(Employees_Data[[#This Row],[Salary]]&gt;90000,"Executive"))))</f>
        <v>Executive</v>
      </c>
      <c r="W46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67" s="14" t="str">
        <f>VLOOKUP(Employees_Data[[#This Row],[Department]],Departments!$A$2:$B$7,2,FALSE)</f>
        <v>D04</v>
      </c>
      <c r="Y467" s="14" t="str">
        <f>INDEX(Departments!$B$2:$B$7,MATCH(Employees_Data[[#This Row],[Department]],Departments!$A$2:$A$7,0))</f>
        <v>D04</v>
      </c>
      <c r="Z467" s="14" t="str">
        <f>INDEX(Salary_Bands!$C$2:$C$5,MATCH(Employees_Data[[#This Row],[Salary]],Salary_Bands!$A$2:$A$5,1))</f>
        <v>Executive</v>
      </c>
    </row>
    <row r="468" spans="1:26" x14ac:dyDescent="0.3">
      <c r="A468" t="s">
        <v>997</v>
      </c>
      <c r="B468" t="s">
        <v>998</v>
      </c>
      <c r="C468" t="s">
        <v>40</v>
      </c>
      <c r="D468" s="12">
        <v>38</v>
      </c>
      <c r="E468" t="s">
        <v>33</v>
      </c>
      <c r="F468" t="s">
        <v>46</v>
      </c>
      <c r="G468" t="s">
        <v>47</v>
      </c>
      <c r="H468">
        <v>16</v>
      </c>
      <c r="I468" s="1">
        <v>43465</v>
      </c>
      <c r="J468" s="10">
        <v>73224</v>
      </c>
      <c r="K468" s="10">
        <v>24072</v>
      </c>
      <c r="L468">
        <v>2</v>
      </c>
      <c r="M468" t="s">
        <v>36</v>
      </c>
      <c r="N468" t="s">
        <v>27</v>
      </c>
      <c r="O468" s="5" t="s">
        <v>29</v>
      </c>
      <c r="P468" t="s">
        <v>29</v>
      </c>
      <c r="Q468">
        <v>50</v>
      </c>
      <c r="R468">
        <v>6</v>
      </c>
      <c r="S468">
        <v>10</v>
      </c>
      <c r="T468" t="s">
        <v>30</v>
      </c>
      <c r="U468" t="str">
        <f>IF(AND(Employees_Data[[#This Row],[Age]]&gt;=20,Employees_Data[[#This Row],[Age]]&lt;=30),"Young",IF(AND(Employees_Data[[#This Row],[Age]]&gt;=31,Employees_Data[[#This Row],[Age]]&lt;=40),"Mid-Age",IF(Employees_Data[[#This Row],[Age]]&gt;=41,"Senior")))</f>
        <v>Mid-Age</v>
      </c>
      <c r="V468" t="str">
        <f>IF(Employees_Data[[#This Row],[Salary]]&lt;=30000,"Low",IF(AND(Employees_Data[[#This Row],[Salary]]&gt;30000,Employees_Data[[#This Row],[Salary]]&lt;=60000),"Medium",IF(AND(Employees_Data[[#This Row],[Salary]]&gt;60000,Employees_Data[[#This Row],[Salary]]&lt;=90000),"High",IF(Employees_Data[[#This Row],[Salary]]&gt;90000,"Executive"))))</f>
        <v>High</v>
      </c>
      <c r="W46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68" s="14" t="str">
        <f>VLOOKUP(Employees_Data[[#This Row],[Department]],Departments!$A$2:$B$7,2,FALSE)</f>
        <v>D05</v>
      </c>
      <c r="Y468" s="14" t="str">
        <f>INDEX(Departments!$B$2:$B$7,MATCH(Employees_Data[[#This Row],[Department]],Departments!$A$2:$A$7,0))</f>
        <v>D05</v>
      </c>
      <c r="Z468" s="14" t="str">
        <f>INDEX(Salary_Bands!$C$2:$C$5,MATCH(Employees_Data[[#This Row],[Salary]],Salary_Bands!$A$2:$A$5,1))</f>
        <v>High</v>
      </c>
    </row>
    <row r="469" spans="1:26" hidden="1" x14ac:dyDescent="0.3">
      <c r="A469" t="s">
        <v>999</v>
      </c>
      <c r="B469" t="s">
        <v>1000</v>
      </c>
      <c r="C469" t="s">
        <v>40</v>
      </c>
      <c r="D469" s="12">
        <v>40</v>
      </c>
      <c r="E469" t="s">
        <v>61</v>
      </c>
      <c r="F469" t="s">
        <v>229</v>
      </c>
      <c r="G469" t="s">
        <v>35</v>
      </c>
      <c r="H469">
        <v>14</v>
      </c>
      <c r="I469" s="1">
        <v>45125</v>
      </c>
      <c r="J469" s="10">
        <v>75079</v>
      </c>
      <c r="K469" s="10">
        <v>15707</v>
      </c>
      <c r="L469">
        <v>2</v>
      </c>
      <c r="M469" t="s">
        <v>26</v>
      </c>
      <c r="N469" t="s">
        <v>58</v>
      </c>
      <c r="O469" t="s">
        <v>28</v>
      </c>
      <c r="P469" t="s">
        <v>29</v>
      </c>
      <c r="Q469">
        <v>6</v>
      </c>
      <c r="R469">
        <v>9</v>
      </c>
      <c r="S469">
        <v>7</v>
      </c>
      <c r="T469" t="s">
        <v>30</v>
      </c>
      <c r="U469" t="str">
        <f>IF(AND(Employees_Data[[#This Row],[Age]]&gt;=20,Employees_Data[[#This Row],[Age]]&lt;=30),"Young",IF(AND(Employees_Data[[#This Row],[Age]]&gt;=31,Employees_Data[[#This Row],[Age]]&lt;=40),"Mid-Age",IF(Employees_Data[[#This Row],[Age]]&gt;=41,"Senior")))</f>
        <v>Mid-Age</v>
      </c>
      <c r="V469" t="str">
        <f>IF(Employees_Data[[#This Row],[Salary]]&lt;=30000,"Low",IF(AND(Employees_Data[[#This Row],[Salary]]&gt;30000,Employees_Data[[#This Row],[Salary]]&lt;=60000),"Medium",IF(AND(Employees_Data[[#This Row],[Salary]]&gt;60000,Employees_Data[[#This Row],[Salary]]&lt;=90000),"High",IF(Employees_Data[[#This Row],[Salary]]&gt;90000,"Executive"))))</f>
        <v>High</v>
      </c>
      <c r="W46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69" s="14" t="str">
        <f>VLOOKUP(Employees_Data[[#This Row],[Department]],Departments!$A$2:$B$7,2,FALSE)</f>
        <v>D02</v>
      </c>
      <c r="Y469" s="14" t="str">
        <f>INDEX(Departments!$B$2:$B$7,MATCH(Employees_Data[[#This Row],[Department]],Departments!$A$2:$A$7,0))</f>
        <v>D02</v>
      </c>
      <c r="Z469" s="14" t="str">
        <f>INDEX(Salary_Bands!$C$2:$C$5,MATCH(Employees_Data[[#This Row],[Salary]],Salary_Bands!$A$2:$A$5,1))</f>
        <v>High</v>
      </c>
    </row>
    <row r="470" spans="1:26" x14ac:dyDescent="0.3">
      <c r="A470" t="s">
        <v>1001</v>
      </c>
      <c r="B470" t="s">
        <v>1002</v>
      </c>
      <c r="C470" t="s">
        <v>40</v>
      </c>
      <c r="D470" s="12">
        <v>50</v>
      </c>
      <c r="E470" t="s">
        <v>41</v>
      </c>
      <c r="F470" t="s">
        <v>42</v>
      </c>
      <c r="G470" t="s">
        <v>47</v>
      </c>
      <c r="H470">
        <v>28</v>
      </c>
      <c r="I470" s="1">
        <v>44615</v>
      </c>
      <c r="J470" s="10">
        <v>101402</v>
      </c>
      <c r="K470" s="10">
        <v>24506</v>
      </c>
      <c r="L470">
        <v>4</v>
      </c>
      <c r="M470" t="s">
        <v>26</v>
      </c>
      <c r="N470" t="s">
        <v>48</v>
      </c>
      <c r="O470" s="5" t="s">
        <v>29</v>
      </c>
      <c r="P470" t="s">
        <v>28</v>
      </c>
      <c r="Q470">
        <v>50</v>
      </c>
      <c r="R470">
        <v>13</v>
      </c>
      <c r="S470">
        <v>2</v>
      </c>
      <c r="T470" t="s">
        <v>43</v>
      </c>
      <c r="U470" t="str">
        <f>IF(AND(Employees_Data[[#This Row],[Age]]&gt;=20,Employees_Data[[#This Row],[Age]]&lt;=30),"Young",IF(AND(Employees_Data[[#This Row],[Age]]&gt;=31,Employees_Data[[#This Row],[Age]]&lt;=40),"Mid-Age",IF(Employees_Data[[#This Row],[Age]]&gt;=41,"Senior")))</f>
        <v>Senior</v>
      </c>
      <c r="V470" t="str">
        <f>IF(Employees_Data[[#This Row],[Salary]]&lt;=30000,"Low",IF(AND(Employees_Data[[#This Row],[Salary]]&gt;30000,Employees_Data[[#This Row],[Salary]]&lt;=60000),"Medium",IF(AND(Employees_Data[[#This Row],[Salary]]&gt;60000,Employees_Data[[#This Row],[Salary]]&lt;=90000),"High",IF(Employees_Data[[#This Row],[Salary]]&gt;90000,"Executive"))))</f>
        <v>Executive</v>
      </c>
      <c r="W47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70" s="14" t="str">
        <f>VLOOKUP(Employees_Data[[#This Row],[Department]],Departments!$A$2:$B$7,2,FALSE)</f>
        <v>D03</v>
      </c>
      <c r="Y470" s="14" t="str">
        <f>INDEX(Departments!$B$2:$B$7,MATCH(Employees_Data[[#This Row],[Department]],Departments!$A$2:$A$7,0))</f>
        <v>D03</v>
      </c>
      <c r="Z470" s="14" t="str">
        <f>INDEX(Salary_Bands!$C$2:$C$5,MATCH(Employees_Data[[#This Row],[Salary]],Salary_Bands!$A$2:$A$5,1))</f>
        <v>Executive</v>
      </c>
    </row>
    <row r="471" spans="1:26" hidden="1" x14ac:dyDescent="0.3">
      <c r="A471" t="s">
        <v>1003</v>
      </c>
      <c r="B471" t="s">
        <v>1004</v>
      </c>
      <c r="C471" t="s">
        <v>40</v>
      </c>
      <c r="D471" s="12">
        <v>38</v>
      </c>
      <c r="E471" t="s">
        <v>23</v>
      </c>
      <c r="F471" t="s">
        <v>109</v>
      </c>
      <c r="G471" t="s">
        <v>25</v>
      </c>
      <c r="H471">
        <v>17</v>
      </c>
      <c r="I471" s="1">
        <v>43491</v>
      </c>
      <c r="J471" s="10">
        <v>98007</v>
      </c>
      <c r="K471" s="10">
        <v>23980</v>
      </c>
      <c r="L471">
        <v>1</v>
      </c>
      <c r="M471" t="s">
        <v>52</v>
      </c>
      <c r="N471" t="s">
        <v>48</v>
      </c>
      <c r="O471" t="s">
        <v>28</v>
      </c>
      <c r="P471" t="s">
        <v>29</v>
      </c>
      <c r="Q471">
        <v>5</v>
      </c>
      <c r="R471">
        <v>8</v>
      </c>
      <c r="S471">
        <v>1</v>
      </c>
      <c r="T471" t="s">
        <v>30</v>
      </c>
      <c r="U471" t="str">
        <f>IF(AND(Employees_Data[[#This Row],[Age]]&gt;=20,Employees_Data[[#This Row],[Age]]&lt;=30),"Young",IF(AND(Employees_Data[[#This Row],[Age]]&gt;=31,Employees_Data[[#This Row],[Age]]&lt;=40),"Mid-Age",IF(Employees_Data[[#This Row],[Age]]&gt;=41,"Senior")))</f>
        <v>Mid-Age</v>
      </c>
      <c r="V471" t="str">
        <f>IF(Employees_Data[[#This Row],[Salary]]&lt;=30000,"Low",IF(AND(Employees_Data[[#This Row],[Salary]]&gt;30000,Employees_Data[[#This Row],[Salary]]&lt;=60000),"Medium",IF(AND(Employees_Data[[#This Row],[Salary]]&gt;60000,Employees_Data[[#This Row],[Salary]]&lt;=90000),"High",IF(Employees_Data[[#This Row],[Salary]]&gt;90000,"Executive"))))</f>
        <v>Executive</v>
      </c>
      <c r="W47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71" s="14" t="str">
        <f>VLOOKUP(Employees_Data[[#This Row],[Department]],Departments!$A$2:$B$7,2,FALSE)</f>
        <v>D06</v>
      </c>
      <c r="Y471" s="14" t="str">
        <f>INDEX(Departments!$B$2:$B$7,MATCH(Employees_Data[[#This Row],[Department]],Departments!$A$2:$A$7,0))</f>
        <v>D06</v>
      </c>
      <c r="Z471" s="14" t="str">
        <f>INDEX(Salary_Bands!$C$2:$C$5,MATCH(Employees_Data[[#This Row],[Salary]],Salary_Bands!$A$2:$A$5,1))</f>
        <v>Executive</v>
      </c>
    </row>
    <row r="472" spans="1:26" hidden="1" x14ac:dyDescent="0.3">
      <c r="A472" t="s">
        <v>1005</v>
      </c>
      <c r="B472" t="s">
        <v>1006</v>
      </c>
      <c r="C472" t="s">
        <v>22</v>
      </c>
      <c r="D472" s="12">
        <v>46</v>
      </c>
      <c r="E472" t="s">
        <v>33</v>
      </c>
      <c r="F472" t="s">
        <v>34</v>
      </c>
      <c r="G472" t="s">
        <v>51</v>
      </c>
      <c r="H472">
        <v>23</v>
      </c>
      <c r="I472" s="1">
        <v>44717</v>
      </c>
      <c r="J472" s="10">
        <v>112983</v>
      </c>
      <c r="K472" s="10">
        <v>7566</v>
      </c>
      <c r="L472">
        <v>3</v>
      </c>
      <c r="M472" t="s">
        <v>52</v>
      </c>
      <c r="N472" t="s">
        <v>58</v>
      </c>
      <c r="O472" t="s">
        <v>28</v>
      </c>
      <c r="P472" t="s">
        <v>28</v>
      </c>
      <c r="Q472">
        <v>34</v>
      </c>
      <c r="R472">
        <v>4</v>
      </c>
      <c r="S472">
        <v>3</v>
      </c>
      <c r="T472" t="s">
        <v>30</v>
      </c>
      <c r="U472" t="str">
        <f>IF(AND(Employees_Data[[#This Row],[Age]]&gt;=20,Employees_Data[[#This Row],[Age]]&lt;=30),"Young",IF(AND(Employees_Data[[#This Row],[Age]]&gt;=31,Employees_Data[[#This Row],[Age]]&lt;=40),"Mid-Age",IF(Employees_Data[[#This Row],[Age]]&gt;=41,"Senior")))</f>
        <v>Senior</v>
      </c>
      <c r="V472" t="str">
        <f>IF(Employees_Data[[#This Row],[Salary]]&lt;=30000,"Low",IF(AND(Employees_Data[[#This Row],[Salary]]&gt;30000,Employees_Data[[#This Row],[Salary]]&lt;=60000),"Medium",IF(AND(Employees_Data[[#This Row],[Salary]]&gt;60000,Employees_Data[[#This Row],[Salary]]&lt;=90000),"High",IF(Employees_Data[[#This Row],[Salary]]&gt;90000,"Executive"))))</f>
        <v>Executive</v>
      </c>
      <c r="W47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72" s="14" t="str">
        <f>VLOOKUP(Employees_Data[[#This Row],[Department]],Departments!$A$2:$B$7,2,FALSE)</f>
        <v>D05</v>
      </c>
      <c r="Y472" s="14" t="str">
        <f>INDEX(Departments!$B$2:$B$7,MATCH(Employees_Data[[#This Row],[Department]],Departments!$A$2:$A$7,0))</f>
        <v>D05</v>
      </c>
      <c r="Z472" s="14" t="str">
        <f>INDEX(Salary_Bands!$C$2:$C$5,MATCH(Employees_Data[[#This Row],[Salary]],Salary_Bands!$A$2:$A$5,1))</f>
        <v>Executive</v>
      </c>
    </row>
    <row r="473" spans="1:26" x14ac:dyDescent="0.3">
      <c r="A473" t="s">
        <v>1007</v>
      </c>
      <c r="B473" t="s">
        <v>1008</v>
      </c>
      <c r="C473" t="s">
        <v>40</v>
      </c>
      <c r="D473" s="12">
        <v>55</v>
      </c>
      <c r="E473" t="s">
        <v>56</v>
      </c>
      <c r="F473" t="s">
        <v>125</v>
      </c>
      <c r="G473" t="s">
        <v>51</v>
      </c>
      <c r="H473">
        <v>31</v>
      </c>
      <c r="I473" s="1">
        <v>43681</v>
      </c>
      <c r="J473" s="10">
        <v>59131</v>
      </c>
      <c r="K473" s="10">
        <v>16093</v>
      </c>
      <c r="L473">
        <v>1</v>
      </c>
      <c r="M473" t="s">
        <v>36</v>
      </c>
      <c r="N473" t="s">
        <v>37</v>
      </c>
      <c r="O473" s="5" t="s">
        <v>29</v>
      </c>
      <c r="P473" t="s">
        <v>28</v>
      </c>
      <c r="Q473">
        <v>38</v>
      </c>
      <c r="R473">
        <v>10</v>
      </c>
      <c r="S473">
        <v>6</v>
      </c>
      <c r="T473" t="s">
        <v>43</v>
      </c>
      <c r="U473" t="str">
        <f>IF(AND(Employees_Data[[#This Row],[Age]]&gt;=20,Employees_Data[[#This Row],[Age]]&lt;=30),"Young",IF(AND(Employees_Data[[#This Row],[Age]]&gt;=31,Employees_Data[[#This Row],[Age]]&lt;=40),"Mid-Age",IF(Employees_Data[[#This Row],[Age]]&gt;=41,"Senior")))</f>
        <v>Senior</v>
      </c>
      <c r="V473" t="str">
        <f>IF(Employees_Data[[#This Row],[Salary]]&lt;=30000,"Low",IF(AND(Employees_Data[[#This Row],[Salary]]&gt;30000,Employees_Data[[#This Row],[Salary]]&lt;=60000),"Medium",IF(AND(Employees_Data[[#This Row],[Salary]]&gt;60000,Employees_Data[[#This Row],[Salary]]&lt;=90000),"High",IF(Employees_Data[[#This Row],[Salary]]&gt;90000,"Executive"))))</f>
        <v>Medium</v>
      </c>
      <c r="W47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73" s="14" t="str">
        <f>VLOOKUP(Employees_Data[[#This Row],[Department]],Departments!$A$2:$B$7,2,FALSE)</f>
        <v>D01</v>
      </c>
      <c r="Y473" s="14" t="str">
        <f>INDEX(Departments!$B$2:$B$7,MATCH(Employees_Data[[#This Row],[Department]],Departments!$A$2:$A$7,0))</f>
        <v>D01</v>
      </c>
      <c r="Z473" s="14" t="str">
        <f>INDEX(Salary_Bands!$C$2:$C$5,MATCH(Employees_Data[[#This Row],[Salary]],Salary_Bands!$A$2:$A$5,1))</f>
        <v>Medium</v>
      </c>
    </row>
    <row r="474" spans="1:26" hidden="1" x14ac:dyDescent="0.3">
      <c r="A474" t="s">
        <v>1009</v>
      </c>
      <c r="B474" t="s">
        <v>1010</v>
      </c>
      <c r="C474" t="s">
        <v>40</v>
      </c>
      <c r="D474" s="12">
        <v>42</v>
      </c>
      <c r="E474" t="s">
        <v>87</v>
      </c>
      <c r="F474" t="s">
        <v>91</v>
      </c>
      <c r="G474" t="s">
        <v>80</v>
      </c>
      <c r="H474">
        <v>16</v>
      </c>
      <c r="I474" s="1">
        <v>45113</v>
      </c>
      <c r="J474" s="10">
        <v>125096</v>
      </c>
      <c r="K474" s="10">
        <v>8190</v>
      </c>
      <c r="L474">
        <v>2</v>
      </c>
      <c r="M474" t="s">
        <v>26</v>
      </c>
      <c r="N474" t="s">
        <v>27</v>
      </c>
      <c r="O474" t="s">
        <v>28</v>
      </c>
      <c r="P474" t="s">
        <v>29</v>
      </c>
      <c r="Q474">
        <v>16</v>
      </c>
      <c r="R474">
        <v>1</v>
      </c>
      <c r="S474">
        <v>9</v>
      </c>
      <c r="T474" t="s">
        <v>30</v>
      </c>
      <c r="U474" t="str">
        <f>IF(AND(Employees_Data[[#This Row],[Age]]&gt;=20,Employees_Data[[#This Row],[Age]]&lt;=30),"Young",IF(AND(Employees_Data[[#This Row],[Age]]&gt;=31,Employees_Data[[#This Row],[Age]]&lt;=40),"Mid-Age",IF(Employees_Data[[#This Row],[Age]]&gt;=41,"Senior")))</f>
        <v>Senior</v>
      </c>
      <c r="V474" t="str">
        <f>IF(Employees_Data[[#This Row],[Salary]]&lt;=30000,"Low",IF(AND(Employees_Data[[#This Row],[Salary]]&gt;30000,Employees_Data[[#This Row],[Salary]]&lt;=60000),"Medium",IF(AND(Employees_Data[[#This Row],[Salary]]&gt;60000,Employees_Data[[#This Row],[Salary]]&lt;=90000),"High",IF(Employees_Data[[#This Row],[Salary]]&gt;90000,"Executive"))))</f>
        <v>Executive</v>
      </c>
      <c r="W47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74" s="14" t="str">
        <f>VLOOKUP(Employees_Data[[#This Row],[Department]],Departments!$A$2:$B$7,2,FALSE)</f>
        <v>D04</v>
      </c>
      <c r="Y474" s="14" t="str">
        <f>INDEX(Departments!$B$2:$B$7,MATCH(Employees_Data[[#This Row],[Department]],Departments!$A$2:$A$7,0))</f>
        <v>D04</v>
      </c>
      <c r="Z474" s="14" t="str">
        <f>INDEX(Salary_Bands!$C$2:$C$5,MATCH(Employees_Data[[#This Row],[Salary]],Salary_Bands!$A$2:$A$5,1))</f>
        <v>Executive</v>
      </c>
    </row>
    <row r="475" spans="1:26" x14ac:dyDescent="0.3">
      <c r="A475" t="s">
        <v>1011</v>
      </c>
      <c r="B475" t="s">
        <v>1012</v>
      </c>
      <c r="C475" t="s">
        <v>40</v>
      </c>
      <c r="D475" s="12">
        <v>32</v>
      </c>
      <c r="E475" t="s">
        <v>87</v>
      </c>
      <c r="F475" t="s">
        <v>220</v>
      </c>
      <c r="G475" t="s">
        <v>47</v>
      </c>
      <c r="H475">
        <v>6</v>
      </c>
      <c r="I475" s="1">
        <v>45014</v>
      </c>
      <c r="J475" s="10">
        <v>82203</v>
      </c>
      <c r="K475" s="10">
        <v>18154</v>
      </c>
      <c r="L475">
        <v>1</v>
      </c>
      <c r="M475" t="s">
        <v>26</v>
      </c>
      <c r="N475" t="s">
        <v>63</v>
      </c>
      <c r="O475" s="5" t="s">
        <v>29</v>
      </c>
      <c r="P475" t="s">
        <v>29</v>
      </c>
      <c r="Q475">
        <v>12</v>
      </c>
      <c r="R475">
        <v>11</v>
      </c>
      <c r="S475">
        <v>8</v>
      </c>
      <c r="T475" t="s">
        <v>30</v>
      </c>
      <c r="U475" t="str">
        <f>IF(AND(Employees_Data[[#This Row],[Age]]&gt;=20,Employees_Data[[#This Row],[Age]]&lt;=30),"Young",IF(AND(Employees_Data[[#This Row],[Age]]&gt;=31,Employees_Data[[#This Row],[Age]]&lt;=40),"Mid-Age",IF(Employees_Data[[#This Row],[Age]]&gt;=41,"Senior")))</f>
        <v>Mid-Age</v>
      </c>
      <c r="V475" t="str">
        <f>IF(Employees_Data[[#This Row],[Salary]]&lt;=30000,"Low",IF(AND(Employees_Data[[#This Row],[Salary]]&gt;30000,Employees_Data[[#This Row],[Salary]]&lt;=60000),"Medium",IF(AND(Employees_Data[[#This Row],[Salary]]&gt;60000,Employees_Data[[#This Row],[Salary]]&lt;=90000),"High",IF(Employees_Data[[#This Row],[Salary]]&gt;90000,"Executive"))))</f>
        <v>High</v>
      </c>
      <c r="W47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75" s="14" t="str">
        <f>VLOOKUP(Employees_Data[[#This Row],[Department]],Departments!$A$2:$B$7,2,FALSE)</f>
        <v>D04</v>
      </c>
      <c r="Y475" s="14" t="str">
        <f>INDEX(Departments!$B$2:$B$7,MATCH(Employees_Data[[#This Row],[Department]],Departments!$A$2:$A$7,0))</f>
        <v>D04</v>
      </c>
      <c r="Z475" s="14" t="str">
        <f>INDEX(Salary_Bands!$C$2:$C$5,MATCH(Employees_Data[[#This Row],[Salary]],Salary_Bands!$A$2:$A$5,1))</f>
        <v>High</v>
      </c>
    </row>
    <row r="476" spans="1:26" hidden="1" x14ac:dyDescent="0.3">
      <c r="A476" t="s">
        <v>1013</v>
      </c>
      <c r="B476" t="s">
        <v>1014</v>
      </c>
      <c r="C476" t="s">
        <v>22</v>
      </c>
      <c r="D476" s="12">
        <v>40</v>
      </c>
      <c r="E476" t="s">
        <v>56</v>
      </c>
      <c r="F476" t="s">
        <v>57</v>
      </c>
      <c r="G476" t="s">
        <v>25</v>
      </c>
      <c r="H476">
        <v>18</v>
      </c>
      <c r="I476" s="1">
        <v>43790</v>
      </c>
      <c r="J476" s="10">
        <v>123295</v>
      </c>
      <c r="K476" s="10">
        <v>2135</v>
      </c>
      <c r="L476">
        <v>5</v>
      </c>
      <c r="M476" t="s">
        <v>52</v>
      </c>
      <c r="N476" t="s">
        <v>63</v>
      </c>
      <c r="O476" t="s">
        <v>28</v>
      </c>
      <c r="P476" t="s">
        <v>29</v>
      </c>
      <c r="Q476">
        <v>31</v>
      </c>
      <c r="R476">
        <v>2</v>
      </c>
      <c r="S476">
        <v>5</v>
      </c>
      <c r="T476" t="s">
        <v>30</v>
      </c>
      <c r="U476" t="str">
        <f>IF(AND(Employees_Data[[#This Row],[Age]]&gt;=20,Employees_Data[[#This Row],[Age]]&lt;=30),"Young",IF(AND(Employees_Data[[#This Row],[Age]]&gt;=31,Employees_Data[[#This Row],[Age]]&lt;=40),"Mid-Age",IF(Employees_Data[[#This Row],[Age]]&gt;=41,"Senior")))</f>
        <v>Mid-Age</v>
      </c>
      <c r="V476" t="str">
        <f>IF(Employees_Data[[#This Row],[Salary]]&lt;=30000,"Low",IF(AND(Employees_Data[[#This Row],[Salary]]&gt;30000,Employees_Data[[#This Row],[Salary]]&lt;=60000),"Medium",IF(AND(Employees_Data[[#This Row],[Salary]]&gt;60000,Employees_Data[[#This Row],[Salary]]&lt;=90000),"High",IF(Employees_Data[[#This Row],[Salary]]&gt;90000,"Executive"))))</f>
        <v>Executive</v>
      </c>
      <c r="W47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76" s="14" t="str">
        <f>VLOOKUP(Employees_Data[[#This Row],[Department]],Departments!$A$2:$B$7,2,FALSE)</f>
        <v>D01</v>
      </c>
      <c r="Y476" s="14" t="str">
        <f>INDEX(Departments!$B$2:$B$7,MATCH(Employees_Data[[#This Row],[Department]],Departments!$A$2:$A$7,0))</f>
        <v>D01</v>
      </c>
      <c r="Z476" s="14" t="str">
        <f>INDEX(Salary_Bands!$C$2:$C$5,MATCH(Employees_Data[[#This Row],[Salary]],Salary_Bands!$A$2:$A$5,1))</f>
        <v>Executive</v>
      </c>
    </row>
    <row r="477" spans="1:26" hidden="1" x14ac:dyDescent="0.3">
      <c r="A477" t="s">
        <v>1015</v>
      </c>
      <c r="B477" t="s">
        <v>1016</v>
      </c>
      <c r="C477" t="s">
        <v>22</v>
      </c>
      <c r="D477" s="12">
        <v>28</v>
      </c>
      <c r="E477" t="s">
        <v>61</v>
      </c>
      <c r="F477" t="s">
        <v>229</v>
      </c>
      <c r="G477" t="s">
        <v>51</v>
      </c>
      <c r="H477">
        <v>5</v>
      </c>
      <c r="I477" s="1">
        <v>43207</v>
      </c>
      <c r="J477" s="10">
        <v>62261</v>
      </c>
      <c r="K477" s="10">
        <v>7038</v>
      </c>
      <c r="L477">
        <v>1</v>
      </c>
      <c r="M477" t="s">
        <v>26</v>
      </c>
      <c r="N477" t="s">
        <v>27</v>
      </c>
      <c r="O477" t="s">
        <v>28</v>
      </c>
      <c r="P477" t="s">
        <v>28</v>
      </c>
      <c r="Q477">
        <v>58</v>
      </c>
      <c r="R477">
        <v>15</v>
      </c>
      <c r="S477">
        <v>7</v>
      </c>
      <c r="T477" t="s">
        <v>30</v>
      </c>
      <c r="U477" t="str">
        <f>IF(AND(Employees_Data[[#This Row],[Age]]&gt;=20,Employees_Data[[#This Row],[Age]]&lt;=30),"Young",IF(AND(Employees_Data[[#This Row],[Age]]&gt;=31,Employees_Data[[#This Row],[Age]]&lt;=40),"Mid-Age",IF(Employees_Data[[#This Row],[Age]]&gt;=41,"Senior")))</f>
        <v>Young</v>
      </c>
      <c r="V477" t="str">
        <f>IF(Employees_Data[[#This Row],[Salary]]&lt;=30000,"Low",IF(AND(Employees_Data[[#This Row],[Salary]]&gt;30000,Employees_Data[[#This Row],[Salary]]&lt;=60000),"Medium",IF(AND(Employees_Data[[#This Row],[Salary]]&gt;60000,Employees_Data[[#This Row],[Salary]]&lt;=90000),"High",IF(Employees_Data[[#This Row],[Salary]]&gt;90000,"Executive"))))</f>
        <v>High</v>
      </c>
      <c r="W47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477" s="14" t="str">
        <f>VLOOKUP(Employees_Data[[#This Row],[Department]],Departments!$A$2:$B$7,2,FALSE)</f>
        <v>D02</v>
      </c>
      <c r="Y477" s="14" t="str">
        <f>INDEX(Departments!$B$2:$B$7,MATCH(Employees_Data[[#This Row],[Department]],Departments!$A$2:$A$7,0))</f>
        <v>D02</v>
      </c>
      <c r="Z477" s="14" t="str">
        <f>INDEX(Salary_Bands!$C$2:$C$5,MATCH(Employees_Data[[#This Row],[Salary]],Salary_Bands!$A$2:$A$5,1))</f>
        <v>High</v>
      </c>
    </row>
    <row r="478" spans="1:26" hidden="1" x14ac:dyDescent="0.3">
      <c r="A478" t="s">
        <v>1017</v>
      </c>
      <c r="B478" t="s">
        <v>1018</v>
      </c>
      <c r="C478" t="s">
        <v>22</v>
      </c>
      <c r="D478" s="12">
        <v>39</v>
      </c>
      <c r="E478" t="s">
        <v>87</v>
      </c>
      <c r="F478" t="s">
        <v>88</v>
      </c>
      <c r="G478" t="s">
        <v>35</v>
      </c>
      <c r="H478">
        <v>14</v>
      </c>
      <c r="I478" s="1">
        <v>43124</v>
      </c>
      <c r="J478" s="10">
        <v>68178</v>
      </c>
      <c r="K478" s="10">
        <v>3595</v>
      </c>
      <c r="L478">
        <v>1</v>
      </c>
      <c r="M478" t="s">
        <v>52</v>
      </c>
      <c r="N478" t="s">
        <v>37</v>
      </c>
      <c r="O478" t="s">
        <v>28</v>
      </c>
      <c r="P478" t="s">
        <v>28</v>
      </c>
      <c r="Q478">
        <v>56</v>
      </c>
      <c r="R478">
        <v>1</v>
      </c>
      <c r="S478">
        <v>10</v>
      </c>
      <c r="T478" t="s">
        <v>30</v>
      </c>
      <c r="U478" t="str">
        <f>IF(AND(Employees_Data[[#This Row],[Age]]&gt;=20,Employees_Data[[#This Row],[Age]]&lt;=30),"Young",IF(AND(Employees_Data[[#This Row],[Age]]&gt;=31,Employees_Data[[#This Row],[Age]]&lt;=40),"Mid-Age",IF(Employees_Data[[#This Row],[Age]]&gt;=41,"Senior")))</f>
        <v>Mid-Age</v>
      </c>
      <c r="V478" t="str">
        <f>IF(Employees_Data[[#This Row],[Salary]]&lt;=30000,"Low",IF(AND(Employees_Data[[#This Row],[Salary]]&gt;30000,Employees_Data[[#This Row],[Salary]]&lt;=60000),"Medium",IF(AND(Employees_Data[[#This Row],[Salary]]&gt;60000,Employees_Data[[#This Row],[Salary]]&lt;=90000),"High",IF(Employees_Data[[#This Row],[Salary]]&gt;90000,"Executive"))))</f>
        <v>High</v>
      </c>
      <c r="W47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78" s="14" t="str">
        <f>VLOOKUP(Employees_Data[[#This Row],[Department]],Departments!$A$2:$B$7,2,FALSE)</f>
        <v>D04</v>
      </c>
      <c r="Y478" s="14" t="str">
        <f>INDEX(Departments!$B$2:$B$7,MATCH(Employees_Data[[#This Row],[Department]],Departments!$A$2:$A$7,0))</f>
        <v>D04</v>
      </c>
      <c r="Z478" s="14" t="str">
        <f>INDEX(Salary_Bands!$C$2:$C$5,MATCH(Employees_Data[[#This Row],[Salary]],Salary_Bands!$A$2:$A$5,1))</f>
        <v>High</v>
      </c>
    </row>
    <row r="479" spans="1:26" hidden="1" x14ac:dyDescent="0.3">
      <c r="A479" t="s">
        <v>1019</v>
      </c>
      <c r="B479" t="s">
        <v>1020</v>
      </c>
      <c r="C479" t="s">
        <v>22</v>
      </c>
      <c r="D479" s="12">
        <v>46</v>
      </c>
      <c r="E479" t="s">
        <v>23</v>
      </c>
      <c r="F479" t="s">
        <v>24</v>
      </c>
      <c r="G479" t="s">
        <v>80</v>
      </c>
      <c r="H479">
        <v>25</v>
      </c>
      <c r="I479" s="1">
        <v>44734</v>
      </c>
      <c r="J479" s="10">
        <v>58444</v>
      </c>
      <c r="K479" s="10">
        <v>8823</v>
      </c>
      <c r="L479">
        <v>2</v>
      </c>
      <c r="M479" t="s">
        <v>26</v>
      </c>
      <c r="N479" t="s">
        <v>58</v>
      </c>
      <c r="O479" t="s">
        <v>28</v>
      </c>
      <c r="P479" t="s">
        <v>28</v>
      </c>
      <c r="Q479">
        <v>23</v>
      </c>
      <c r="R479">
        <v>20</v>
      </c>
      <c r="S479">
        <v>4</v>
      </c>
      <c r="T479" t="s">
        <v>30</v>
      </c>
      <c r="U479" t="str">
        <f>IF(AND(Employees_Data[[#This Row],[Age]]&gt;=20,Employees_Data[[#This Row],[Age]]&lt;=30),"Young",IF(AND(Employees_Data[[#This Row],[Age]]&gt;=31,Employees_Data[[#This Row],[Age]]&lt;=40),"Mid-Age",IF(Employees_Data[[#This Row],[Age]]&gt;=41,"Senior")))</f>
        <v>Senior</v>
      </c>
      <c r="V479" t="str">
        <f>IF(Employees_Data[[#This Row],[Salary]]&lt;=30000,"Low",IF(AND(Employees_Data[[#This Row],[Salary]]&gt;30000,Employees_Data[[#This Row],[Salary]]&lt;=60000),"Medium",IF(AND(Employees_Data[[#This Row],[Salary]]&gt;60000,Employees_Data[[#This Row],[Salary]]&lt;=90000),"High",IF(Employees_Data[[#This Row],[Salary]]&gt;90000,"Executive"))))</f>
        <v>Medium</v>
      </c>
      <c r="W47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79" s="14" t="str">
        <f>VLOOKUP(Employees_Data[[#This Row],[Department]],Departments!$A$2:$B$7,2,FALSE)</f>
        <v>D06</v>
      </c>
      <c r="Y479" s="14" t="str">
        <f>INDEX(Departments!$B$2:$B$7,MATCH(Employees_Data[[#This Row],[Department]],Departments!$A$2:$A$7,0))</f>
        <v>D06</v>
      </c>
      <c r="Z479" s="14" t="str">
        <f>INDEX(Salary_Bands!$C$2:$C$5,MATCH(Employees_Data[[#This Row],[Salary]],Salary_Bands!$A$2:$A$5,1))</f>
        <v>Medium</v>
      </c>
    </row>
    <row r="480" spans="1:26" hidden="1" x14ac:dyDescent="0.3">
      <c r="A480" t="s">
        <v>1021</v>
      </c>
      <c r="B480" t="s">
        <v>1022</v>
      </c>
      <c r="C480" t="s">
        <v>40</v>
      </c>
      <c r="D480" s="12">
        <v>29</v>
      </c>
      <c r="E480" t="s">
        <v>23</v>
      </c>
      <c r="F480" t="s">
        <v>24</v>
      </c>
      <c r="G480" t="s">
        <v>80</v>
      </c>
      <c r="H480">
        <v>6</v>
      </c>
      <c r="I480" s="1">
        <v>45111</v>
      </c>
      <c r="J480" s="10">
        <v>130001</v>
      </c>
      <c r="K480" s="10">
        <v>14040</v>
      </c>
      <c r="L480">
        <v>4</v>
      </c>
      <c r="M480" t="s">
        <v>52</v>
      </c>
      <c r="N480" t="s">
        <v>76</v>
      </c>
      <c r="O480" t="s">
        <v>28</v>
      </c>
      <c r="P480" t="s">
        <v>28</v>
      </c>
      <c r="Q480">
        <v>33</v>
      </c>
      <c r="R480">
        <v>12</v>
      </c>
      <c r="S480">
        <v>5</v>
      </c>
      <c r="T480" t="s">
        <v>30</v>
      </c>
      <c r="U480" t="str">
        <f>IF(AND(Employees_Data[[#This Row],[Age]]&gt;=20,Employees_Data[[#This Row],[Age]]&lt;=30),"Young",IF(AND(Employees_Data[[#This Row],[Age]]&gt;=31,Employees_Data[[#This Row],[Age]]&lt;=40),"Mid-Age",IF(Employees_Data[[#This Row],[Age]]&gt;=41,"Senior")))</f>
        <v>Young</v>
      </c>
      <c r="V480" t="str">
        <f>IF(Employees_Data[[#This Row],[Salary]]&lt;=30000,"Low",IF(AND(Employees_Data[[#This Row],[Salary]]&gt;30000,Employees_Data[[#This Row],[Salary]]&lt;=60000),"Medium",IF(AND(Employees_Data[[#This Row],[Salary]]&gt;60000,Employees_Data[[#This Row],[Salary]]&lt;=90000),"High",IF(Employees_Data[[#This Row],[Salary]]&gt;90000,"Executive"))))</f>
        <v>Executive</v>
      </c>
      <c r="W48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80" s="14" t="str">
        <f>VLOOKUP(Employees_Data[[#This Row],[Department]],Departments!$A$2:$B$7,2,FALSE)</f>
        <v>D06</v>
      </c>
      <c r="Y480" s="14" t="str">
        <f>INDEX(Departments!$B$2:$B$7,MATCH(Employees_Data[[#This Row],[Department]],Departments!$A$2:$A$7,0))</f>
        <v>D06</v>
      </c>
      <c r="Z480" s="14" t="str">
        <f>INDEX(Salary_Bands!$C$2:$C$5,MATCH(Employees_Data[[#This Row],[Salary]],Salary_Bands!$A$2:$A$5,1))</f>
        <v>Executive</v>
      </c>
    </row>
    <row r="481" spans="1:26" hidden="1" x14ac:dyDescent="0.3">
      <c r="A481" t="s">
        <v>1023</v>
      </c>
      <c r="B481" t="s">
        <v>1024</v>
      </c>
      <c r="C481" t="s">
        <v>22</v>
      </c>
      <c r="D481" s="12">
        <v>49</v>
      </c>
      <c r="E481" t="s">
        <v>87</v>
      </c>
      <c r="F481" t="s">
        <v>220</v>
      </c>
      <c r="G481" t="s">
        <v>80</v>
      </c>
      <c r="H481">
        <v>28</v>
      </c>
      <c r="I481" s="1">
        <v>44831</v>
      </c>
      <c r="J481" s="10">
        <v>131298</v>
      </c>
      <c r="K481" s="10">
        <v>18821</v>
      </c>
      <c r="L481">
        <v>3</v>
      </c>
      <c r="M481" t="s">
        <v>36</v>
      </c>
      <c r="N481" t="s">
        <v>58</v>
      </c>
      <c r="O481" t="s">
        <v>28</v>
      </c>
      <c r="P481" t="s">
        <v>29</v>
      </c>
      <c r="Q481">
        <v>46</v>
      </c>
      <c r="R481">
        <v>4</v>
      </c>
      <c r="S481">
        <v>10</v>
      </c>
      <c r="T481" t="s">
        <v>30</v>
      </c>
      <c r="U481" t="str">
        <f>IF(AND(Employees_Data[[#This Row],[Age]]&gt;=20,Employees_Data[[#This Row],[Age]]&lt;=30),"Young",IF(AND(Employees_Data[[#This Row],[Age]]&gt;=31,Employees_Data[[#This Row],[Age]]&lt;=40),"Mid-Age",IF(Employees_Data[[#This Row],[Age]]&gt;=41,"Senior")))</f>
        <v>Senior</v>
      </c>
      <c r="V481" t="str">
        <f>IF(Employees_Data[[#This Row],[Salary]]&lt;=30000,"Low",IF(AND(Employees_Data[[#This Row],[Salary]]&gt;30000,Employees_Data[[#This Row],[Salary]]&lt;=60000),"Medium",IF(AND(Employees_Data[[#This Row],[Salary]]&gt;60000,Employees_Data[[#This Row],[Salary]]&lt;=90000),"High",IF(Employees_Data[[#This Row],[Salary]]&gt;90000,"Executive"))))</f>
        <v>Executive</v>
      </c>
      <c r="W48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81" s="14" t="str">
        <f>VLOOKUP(Employees_Data[[#This Row],[Department]],Departments!$A$2:$B$7,2,FALSE)</f>
        <v>D04</v>
      </c>
      <c r="Y481" s="14" t="str">
        <f>INDEX(Departments!$B$2:$B$7,MATCH(Employees_Data[[#This Row],[Department]],Departments!$A$2:$A$7,0))</f>
        <v>D04</v>
      </c>
      <c r="Z481" s="14" t="str">
        <f>INDEX(Salary_Bands!$C$2:$C$5,MATCH(Employees_Data[[#This Row],[Salary]],Salary_Bands!$A$2:$A$5,1))</f>
        <v>Executive</v>
      </c>
    </row>
    <row r="482" spans="1:26" hidden="1" x14ac:dyDescent="0.3">
      <c r="A482" t="s">
        <v>1025</v>
      </c>
      <c r="B482" t="s">
        <v>1026</v>
      </c>
      <c r="C482" t="s">
        <v>22</v>
      </c>
      <c r="D482" s="12">
        <v>55</v>
      </c>
      <c r="E482" t="s">
        <v>87</v>
      </c>
      <c r="F482" t="s">
        <v>88</v>
      </c>
      <c r="G482" t="s">
        <v>35</v>
      </c>
      <c r="H482">
        <v>34</v>
      </c>
      <c r="I482" s="1">
        <v>44291</v>
      </c>
      <c r="J482" s="10">
        <v>86370</v>
      </c>
      <c r="K482" s="10">
        <v>24423</v>
      </c>
      <c r="L482">
        <v>4</v>
      </c>
      <c r="M482" t="s">
        <v>36</v>
      </c>
      <c r="N482" t="s">
        <v>63</v>
      </c>
      <c r="O482" t="s">
        <v>28</v>
      </c>
      <c r="P482" t="s">
        <v>29</v>
      </c>
      <c r="Q482">
        <v>38</v>
      </c>
      <c r="R482">
        <v>13</v>
      </c>
      <c r="S482">
        <v>2</v>
      </c>
      <c r="T482" t="s">
        <v>30</v>
      </c>
      <c r="U482" t="str">
        <f>IF(AND(Employees_Data[[#This Row],[Age]]&gt;=20,Employees_Data[[#This Row],[Age]]&lt;=30),"Young",IF(AND(Employees_Data[[#This Row],[Age]]&gt;=31,Employees_Data[[#This Row],[Age]]&lt;=40),"Mid-Age",IF(Employees_Data[[#This Row],[Age]]&gt;=41,"Senior")))</f>
        <v>Senior</v>
      </c>
      <c r="V482" t="str">
        <f>IF(Employees_Data[[#This Row],[Salary]]&lt;=30000,"Low",IF(AND(Employees_Data[[#This Row],[Salary]]&gt;30000,Employees_Data[[#This Row],[Salary]]&lt;=60000),"Medium",IF(AND(Employees_Data[[#This Row],[Salary]]&gt;60000,Employees_Data[[#This Row],[Salary]]&lt;=90000),"High",IF(Employees_Data[[#This Row],[Salary]]&gt;90000,"Executive"))))</f>
        <v>High</v>
      </c>
      <c r="W48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82" s="14" t="str">
        <f>VLOOKUP(Employees_Data[[#This Row],[Department]],Departments!$A$2:$B$7,2,FALSE)</f>
        <v>D04</v>
      </c>
      <c r="Y482" s="14" t="str">
        <f>INDEX(Departments!$B$2:$B$7,MATCH(Employees_Data[[#This Row],[Department]],Departments!$A$2:$A$7,0))</f>
        <v>D04</v>
      </c>
      <c r="Z482" s="14" t="str">
        <f>INDEX(Salary_Bands!$C$2:$C$5,MATCH(Employees_Data[[#This Row],[Salary]],Salary_Bands!$A$2:$A$5,1))</f>
        <v>High</v>
      </c>
    </row>
    <row r="483" spans="1:26" x14ac:dyDescent="0.3">
      <c r="A483" t="s">
        <v>1027</v>
      </c>
      <c r="B483" t="s">
        <v>1028</v>
      </c>
      <c r="C483" t="s">
        <v>22</v>
      </c>
      <c r="D483" s="12">
        <v>25</v>
      </c>
      <c r="E483" t="s">
        <v>41</v>
      </c>
      <c r="F483" t="s">
        <v>69</v>
      </c>
      <c r="G483" t="s">
        <v>47</v>
      </c>
      <c r="H483">
        <v>0</v>
      </c>
      <c r="I483" s="1">
        <v>43414</v>
      </c>
      <c r="J483" s="10">
        <v>145232</v>
      </c>
      <c r="K483" s="10">
        <v>23654</v>
      </c>
      <c r="L483">
        <v>1</v>
      </c>
      <c r="M483" t="s">
        <v>52</v>
      </c>
      <c r="N483" t="s">
        <v>53</v>
      </c>
      <c r="O483" s="5" t="s">
        <v>29</v>
      </c>
      <c r="P483" t="s">
        <v>28</v>
      </c>
      <c r="Q483">
        <v>27</v>
      </c>
      <c r="R483">
        <v>8</v>
      </c>
      <c r="S483">
        <v>9</v>
      </c>
      <c r="T483" t="s">
        <v>30</v>
      </c>
      <c r="U483" t="str">
        <f>IF(AND(Employees_Data[[#This Row],[Age]]&gt;=20,Employees_Data[[#This Row],[Age]]&lt;=30),"Young",IF(AND(Employees_Data[[#This Row],[Age]]&gt;=31,Employees_Data[[#This Row],[Age]]&lt;=40),"Mid-Age",IF(Employees_Data[[#This Row],[Age]]&gt;=41,"Senior")))</f>
        <v>Young</v>
      </c>
      <c r="V483" t="str">
        <f>IF(Employees_Data[[#This Row],[Salary]]&lt;=30000,"Low",IF(AND(Employees_Data[[#This Row],[Salary]]&gt;30000,Employees_Data[[#This Row],[Salary]]&lt;=60000),"Medium",IF(AND(Employees_Data[[#This Row],[Salary]]&gt;60000,Employees_Data[[#This Row],[Salary]]&lt;=90000),"High",IF(Employees_Data[[#This Row],[Salary]]&gt;90000,"Executive"))))</f>
        <v>Executive</v>
      </c>
      <c r="W48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83" s="14" t="str">
        <f>VLOOKUP(Employees_Data[[#This Row],[Department]],Departments!$A$2:$B$7,2,FALSE)</f>
        <v>D03</v>
      </c>
      <c r="Y483" s="14" t="str">
        <f>INDEX(Departments!$B$2:$B$7,MATCH(Employees_Data[[#This Row],[Department]],Departments!$A$2:$A$7,0))</f>
        <v>D03</v>
      </c>
      <c r="Z483" s="14" t="str">
        <f>INDEX(Salary_Bands!$C$2:$C$5,MATCH(Employees_Data[[#This Row],[Salary]],Salary_Bands!$A$2:$A$5,1))</f>
        <v>Executive</v>
      </c>
    </row>
    <row r="484" spans="1:26" hidden="1" x14ac:dyDescent="0.3">
      <c r="A484" t="s">
        <v>1029</v>
      </c>
      <c r="B484" t="s">
        <v>1030</v>
      </c>
      <c r="C484" t="s">
        <v>22</v>
      </c>
      <c r="D484" s="12">
        <v>54</v>
      </c>
      <c r="E484" t="s">
        <v>33</v>
      </c>
      <c r="F484" t="s">
        <v>118</v>
      </c>
      <c r="G484" t="s">
        <v>80</v>
      </c>
      <c r="H484">
        <v>33</v>
      </c>
      <c r="I484" s="1">
        <v>43567</v>
      </c>
      <c r="J484" s="10">
        <v>122060</v>
      </c>
      <c r="K484" s="10">
        <v>15639</v>
      </c>
      <c r="L484">
        <v>4</v>
      </c>
      <c r="M484" t="s">
        <v>52</v>
      </c>
      <c r="N484" t="s">
        <v>37</v>
      </c>
      <c r="O484" t="s">
        <v>28</v>
      </c>
      <c r="P484" t="s">
        <v>28</v>
      </c>
      <c r="Q484">
        <v>42</v>
      </c>
      <c r="R484">
        <v>14</v>
      </c>
      <c r="S484">
        <v>3</v>
      </c>
      <c r="T484" t="s">
        <v>30</v>
      </c>
      <c r="U484" t="str">
        <f>IF(AND(Employees_Data[[#This Row],[Age]]&gt;=20,Employees_Data[[#This Row],[Age]]&lt;=30),"Young",IF(AND(Employees_Data[[#This Row],[Age]]&gt;=31,Employees_Data[[#This Row],[Age]]&lt;=40),"Mid-Age",IF(Employees_Data[[#This Row],[Age]]&gt;=41,"Senior")))</f>
        <v>Senior</v>
      </c>
      <c r="V484" t="str">
        <f>IF(Employees_Data[[#This Row],[Salary]]&lt;=30000,"Low",IF(AND(Employees_Data[[#This Row],[Salary]]&gt;30000,Employees_Data[[#This Row],[Salary]]&lt;=60000),"Medium",IF(AND(Employees_Data[[#This Row],[Salary]]&gt;60000,Employees_Data[[#This Row],[Salary]]&lt;=90000),"High",IF(Employees_Data[[#This Row],[Salary]]&gt;90000,"Executive"))))</f>
        <v>Executive</v>
      </c>
      <c r="W48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84" s="14" t="str">
        <f>VLOOKUP(Employees_Data[[#This Row],[Department]],Departments!$A$2:$B$7,2,FALSE)</f>
        <v>D05</v>
      </c>
      <c r="Y484" s="14" t="str">
        <f>INDEX(Departments!$B$2:$B$7,MATCH(Employees_Data[[#This Row],[Department]],Departments!$A$2:$A$7,0))</f>
        <v>D05</v>
      </c>
      <c r="Z484" s="14" t="str">
        <f>INDEX(Salary_Bands!$C$2:$C$5,MATCH(Employees_Data[[#This Row],[Salary]],Salary_Bands!$A$2:$A$5,1))</f>
        <v>Executive</v>
      </c>
    </row>
    <row r="485" spans="1:26" hidden="1" x14ac:dyDescent="0.3">
      <c r="A485" t="s">
        <v>1031</v>
      </c>
      <c r="B485" t="s">
        <v>1032</v>
      </c>
      <c r="C485" t="s">
        <v>22</v>
      </c>
      <c r="D485" s="12">
        <v>38</v>
      </c>
      <c r="E485" t="s">
        <v>23</v>
      </c>
      <c r="F485" t="s">
        <v>100</v>
      </c>
      <c r="G485" t="s">
        <v>47</v>
      </c>
      <c r="H485">
        <v>15</v>
      </c>
      <c r="I485" s="1">
        <v>43867</v>
      </c>
      <c r="J485" s="10">
        <v>52665</v>
      </c>
      <c r="K485" s="10">
        <v>19510</v>
      </c>
      <c r="L485">
        <v>2</v>
      </c>
      <c r="M485" t="s">
        <v>26</v>
      </c>
      <c r="N485" t="s">
        <v>27</v>
      </c>
      <c r="O485" t="s">
        <v>28</v>
      </c>
      <c r="P485" t="s">
        <v>28</v>
      </c>
      <c r="Q485">
        <v>12</v>
      </c>
      <c r="R485">
        <v>0</v>
      </c>
      <c r="S485">
        <v>2</v>
      </c>
      <c r="T485" t="s">
        <v>30</v>
      </c>
      <c r="U485" t="str">
        <f>IF(AND(Employees_Data[[#This Row],[Age]]&gt;=20,Employees_Data[[#This Row],[Age]]&lt;=30),"Young",IF(AND(Employees_Data[[#This Row],[Age]]&gt;=31,Employees_Data[[#This Row],[Age]]&lt;=40),"Mid-Age",IF(Employees_Data[[#This Row],[Age]]&gt;=41,"Senior")))</f>
        <v>Mid-Age</v>
      </c>
      <c r="V485" t="str">
        <f>IF(Employees_Data[[#This Row],[Salary]]&lt;=30000,"Low",IF(AND(Employees_Data[[#This Row],[Salary]]&gt;30000,Employees_Data[[#This Row],[Salary]]&lt;=60000),"Medium",IF(AND(Employees_Data[[#This Row],[Salary]]&gt;60000,Employees_Data[[#This Row],[Salary]]&lt;=90000),"High",IF(Employees_Data[[#This Row],[Salary]]&gt;90000,"Executive"))))</f>
        <v>Medium</v>
      </c>
      <c r="W48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85" s="14" t="str">
        <f>VLOOKUP(Employees_Data[[#This Row],[Department]],Departments!$A$2:$B$7,2,FALSE)</f>
        <v>D06</v>
      </c>
      <c r="Y485" s="14" t="str">
        <f>INDEX(Departments!$B$2:$B$7,MATCH(Employees_Data[[#This Row],[Department]],Departments!$A$2:$A$7,0))</f>
        <v>D06</v>
      </c>
      <c r="Z485" s="14" t="str">
        <f>INDEX(Salary_Bands!$C$2:$C$5,MATCH(Employees_Data[[#This Row],[Salary]],Salary_Bands!$A$2:$A$5,1))</f>
        <v>Medium</v>
      </c>
    </row>
    <row r="486" spans="1:26" hidden="1" x14ac:dyDescent="0.3">
      <c r="A486" t="s">
        <v>1033</v>
      </c>
      <c r="B486" t="s">
        <v>1034</v>
      </c>
      <c r="C486" t="s">
        <v>40</v>
      </c>
      <c r="D486" s="12">
        <v>52</v>
      </c>
      <c r="E486" t="s">
        <v>61</v>
      </c>
      <c r="F486" t="s">
        <v>66</v>
      </c>
      <c r="G486" t="s">
        <v>47</v>
      </c>
      <c r="H486">
        <v>28</v>
      </c>
      <c r="I486" s="1">
        <v>44760</v>
      </c>
      <c r="J486" s="10">
        <v>138872</v>
      </c>
      <c r="K486" s="10">
        <v>11917</v>
      </c>
      <c r="L486">
        <v>5</v>
      </c>
      <c r="M486" t="s">
        <v>26</v>
      </c>
      <c r="N486" t="s">
        <v>76</v>
      </c>
      <c r="O486" t="s">
        <v>28</v>
      </c>
      <c r="P486" t="s">
        <v>29</v>
      </c>
      <c r="Q486">
        <v>5</v>
      </c>
      <c r="R486">
        <v>6</v>
      </c>
      <c r="S486">
        <v>8</v>
      </c>
      <c r="T486" t="s">
        <v>30</v>
      </c>
      <c r="U486" t="str">
        <f>IF(AND(Employees_Data[[#This Row],[Age]]&gt;=20,Employees_Data[[#This Row],[Age]]&lt;=30),"Young",IF(AND(Employees_Data[[#This Row],[Age]]&gt;=31,Employees_Data[[#This Row],[Age]]&lt;=40),"Mid-Age",IF(Employees_Data[[#This Row],[Age]]&gt;=41,"Senior")))</f>
        <v>Senior</v>
      </c>
      <c r="V486" t="str">
        <f>IF(Employees_Data[[#This Row],[Salary]]&lt;=30000,"Low",IF(AND(Employees_Data[[#This Row],[Salary]]&gt;30000,Employees_Data[[#This Row],[Salary]]&lt;=60000),"Medium",IF(AND(Employees_Data[[#This Row],[Salary]]&gt;60000,Employees_Data[[#This Row],[Salary]]&lt;=90000),"High",IF(Employees_Data[[#This Row],[Salary]]&gt;90000,"Executive"))))</f>
        <v>Executive</v>
      </c>
      <c r="W48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86" s="14" t="str">
        <f>VLOOKUP(Employees_Data[[#This Row],[Department]],Departments!$A$2:$B$7,2,FALSE)</f>
        <v>D02</v>
      </c>
      <c r="Y486" s="14" t="str">
        <f>INDEX(Departments!$B$2:$B$7,MATCH(Employees_Data[[#This Row],[Department]],Departments!$A$2:$A$7,0))</f>
        <v>D02</v>
      </c>
      <c r="Z486" s="14" t="str">
        <f>INDEX(Salary_Bands!$C$2:$C$5,MATCH(Employees_Data[[#This Row],[Salary]],Salary_Bands!$A$2:$A$5,1))</f>
        <v>Executive</v>
      </c>
    </row>
    <row r="487" spans="1:26" hidden="1" x14ac:dyDescent="0.3">
      <c r="A487" t="s">
        <v>1035</v>
      </c>
      <c r="B487" t="s">
        <v>1036</v>
      </c>
      <c r="C487" t="s">
        <v>22</v>
      </c>
      <c r="D487" s="12">
        <v>34</v>
      </c>
      <c r="E487" t="s">
        <v>56</v>
      </c>
      <c r="F487" t="s">
        <v>57</v>
      </c>
      <c r="G487" t="s">
        <v>80</v>
      </c>
      <c r="H487">
        <v>13</v>
      </c>
      <c r="I487" s="1">
        <v>43958</v>
      </c>
      <c r="J487" s="10">
        <v>88060</v>
      </c>
      <c r="K487" s="10">
        <v>11860</v>
      </c>
      <c r="L487">
        <v>2</v>
      </c>
      <c r="M487" t="s">
        <v>36</v>
      </c>
      <c r="N487" t="s">
        <v>76</v>
      </c>
      <c r="O487" t="s">
        <v>28</v>
      </c>
      <c r="P487" t="s">
        <v>28</v>
      </c>
      <c r="Q487">
        <v>32</v>
      </c>
      <c r="R487">
        <v>0</v>
      </c>
      <c r="S487">
        <v>4</v>
      </c>
      <c r="T487" t="s">
        <v>30</v>
      </c>
      <c r="U487" t="str">
        <f>IF(AND(Employees_Data[[#This Row],[Age]]&gt;=20,Employees_Data[[#This Row],[Age]]&lt;=30),"Young",IF(AND(Employees_Data[[#This Row],[Age]]&gt;=31,Employees_Data[[#This Row],[Age]]&lt;=40),"Mid-Age",IF(Employees_Data[[#This Row],[Age]]&gt;=41,"Senior")))</f>
        <v>Mid-Age</v>
      </c>
      <c r="V487" t="str">
        <f>IF(Employees_Data[[#This Row],[Salary]]&lt;=30000,"Low",IF(AND(Employees_Data[[#This Row],[Salary]]&gt;30000,Employees_Data[[#This Row],[Salary]]&lt;=60000),"Medium",IF(AND(Employees_Data[[#This Row],[Salary]]&gt;60000,Employees_Data[[#This Row],[Salary]]&lt;=90000),"High",IF(Employees_Data[[#This Row],[Salary]]&gt;90000,"Executive"))))</f>
        <v>High</v>
      </c>
      <c r="W48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87" s="14" t="str">
        <f>VLOOKUP(Employees_Data[[#This Row],[Department]],Departments!$A$2:$B$7,2,FALSE)</f>
        <v>D01</v>
      </c>
      <c r="Y487" s="14" t="str">
        <f>INDEX(Departments!$B$2:$B$7,MATCH(Employees_Data[[#This Row],[Department]],Departments!$A$2:$A$7,0))</f>
        <v>D01</v>
      </c>
      <c r="Z487" s="14" t="str">
        <f>INDEX(Salary_Bands!$C$2:$C$5,MATCH(Employees_Data[[#This Row],[Salary]],Salary_Bands!$A$2:$A$5,1))</f>
        <v>High</v>
      </c>
    </row>
    <row r="488" spans="1:26" hidden="1" x14ac:dyDescent="0.3">
      <c r="A488" t="s">
        <v>1037</v>
      </c>
      <c r="B488" t="s">
        <v>1038</v>
      </c>
      <c r="C488" t="s">
        <v>22</v>
      </c>
      <c r="D488" s="12">
        <v>31</v>
      </c>
      <c r="E488" t="s">
        <v>56</v>
      </c>
      <c r="F488" t="s">
        <v>57</v>
      </c>
      <c r="G488" t="s">
        <v>51</v>
      </c>
      <c r="H488">
        <v>5</v>
      </c>
      <c r="I488" s="1">
        <v>44924</v>
      </c>
      <c r="J488" s="10">
        <v>88576</v>
      </c>
      <c r="K488" s="10">
        <v>20659</v>
      </c>
      <c r="L488">
        <v>4</v>
      </c>
      <c r="M488" t="s">
        <v>36</v>
      </c>
      <c r="N488" t="s">
        <v>27</v>
      </c>
      <c r="O488" t="s">
        <v>28</v>
      </c>
      <c r="P488" t="s">
        <v>28</v>
      </c>
      <c r="Q488">
        <v>5</v>
      </c>
      <c r="R488">
        <v>3</v>
      </c>
      <c r="S488">
        <v>1</v>
      </c>
      <c r="T488" t="s">
        <v>30</v>
      </c>
      <c r="U488" t="str">
        <f>IF(AND(Employees_Data[[#This Row],[Age]]&gt;=20,Employees_Data[[#This Row],[Age]]&lt;=30),"Young",IF(AND(Employees_Data[[#This Row],[Age]]&gt;=31,Employees_Data[[#This Row],[Age]]&lt;=40),"Mid-Age",IF(Employees_Data[[#This Row],[Age]]&gt;=41,"Senior")))</f>
        <v>Mid-Age</v>
      </c>
      <c r="V488" t="str">
        <f>IF(Employees_Data[[#This Row],[Salary]]&lt;=30000,"Low",IF(AND(Employees_Data[[#This Row],[Salary]]&gt;30000,Employees_Data[[#This Row],[Salary]]&lt;=60000),"Medium",IF(AND(Employees_Data[[#This Row],[Salary]]&gt;60000,Employees_Data[[#This Row],[Salary]]&lt;=90000),"High",IF(Employees_Data[[#This Row],[Salary]]&gt;90000,"Executive"))))</f>
        <v>High</v>
      </c>
      <c r="W48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488" s="14" t="str">
        <f>VLOOKUP(Employees_Data[[#This Row],[Department]],Departments!$A$2:$B$7,2,FALSE)</f>
        <v>D01</v>
      </c>
      <c r="Y488" s="14" t="str">
        <f>INDEX(Departments!$B$2:$B$7,MATCH(Employees_Data[[#This Row],[Department]],Departments!$A$2:$A$7,0))</f>
        <v>D01</v>
      </c>
      <c r="Z488" s="14" t="str">
        <f>INDEX(Salary_Bands!$C$2:$C$5,MATCH(Employees_Data[[#This Row],[Salary]],Salary_Bands!$A$2:$A$5,1))</f>
        <v>High</v>
      </c>
    </row>
    <row r="489" spans="1:26" hidden="1" x14ac:dyDescent="0.3">
      <c r="A489" t="s">
        <v>1039</v>
      </c>
      <c r="B489" t="s">
        <v>1040</v>
      </c>
      <c r="C489" t="s">
        <v>22</v>
      </c>
      <c r="D489" s="12">
        <v>49</v>
      </c>
      <c r="E489" t="s">
        <v>23</v>
      </c>
      <c r="F489" t="s">
        <v>109</v>
      </c>
      <c r="G489" t="s">
        <v>47</v>
      </c>
      <c r="H489">
        <v>25</v>
      </c>
      <c r="I489" s="1">
        <v>45131</v>
      </c>
      <c r="J489" s="10">
        <v>121610</v>
      </c>
      <c r="K489" s="10">
        <v>15096</v>
      </c>
      <c r="L489">
        <v>5</v>
      </c>
      <c r="M489" t="s">
        <v>36</v>
      </c>
      <c r="N489" t="s">
        <v>53</v>
      </c>
      <c r="O489" t="s">
        <v>28</v>
      </c>
      <c r="P489" t="s">
        <v>28</v>
      </c>
      <c r="Q489">
        <v>19</v>
      </c>
      <c r="R489">
        <v>1</v>
      </c>
      <c r="S489">
        <v>10</v>
      </c>
      <c r="T489" t="s">
        <v>30</v>
      </c>
      <c r="U489" t="str">
        <f>IF(AND(Employees_Data[[#This Row],[Age]]&gt;=20,Employees_Data[[#This Row],[Age]]&lt;=30),"Young",IF(AND(Employees_Data[[#This Row],[Age]]&gt;=31,Employees_Data[[#This Row],[Age]]&lt;=40),"Mid-Age",IF(Employees_Data[[#This Row],[Age]]&gt;=41,"Senior")))</f>
        <v>Senior</v>
      </c>
      <c r="V489" t="str">
        <f>IF(Employees_Data[[#This Row],[Salary]]&lt;=30000,"Low",IF(AND(Employees_Data[[#This Row],[Salary]]&gt;30000,Employees_Data[[#This Row],[Salary]]&lt;=60000),"Medium",IF(AND(Employees_Data[[#This Row],[Salary]]&gt;60000,Employees_Data[[#This Row],[Salary]]&lt;=90000),"High",IF(Employees_Data[[#This Row],[Salary]]&gt;90000,"Executive"))))</f>
        <v>Executive</v>
      </c>
      <c r="W48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89" s="14" t="str">
        <f>VLOOKUP(Employees_Data[[#This Row],[Department]],Departments!$A$2:$B$7,2,FALSE)</f>
        <v>D06</v>
      </c>
      <c r="Y489" s="14" t="str">
        <f>INDEX(Departments!$B$2:$B$7,MATCH(Employees_Data[[#This Row],[Department]],Departments!$A$2:$A$7,0))</f>
        <v>D06</v>
      </c>
      <c r="Z489" s="14" t="str">
        <f>INDEX(Salary_Bands!$C$2:$C$5,MATCH(Employees_Data[[#This Row],[Salary]],Salary_Bands!$A$2:$A$5,1))</f>
        <v>Executive</v>
      </c>
    </row>
    <row r="490" spans="1:26" hidden="1" x14ac:dyDescent="0.3">
      <c r="A490" t="s">
        <v>1041</v>
      </c>
      <c r="B490" t="s">
        <v>1042</v>
      </c>
      <c r="C490" t="s">
        <v>40</v>
      </c>
      <c r="D490" s="12">
        <v>49</v>
      </c>
      <c r="E490" t="s">
        <v>33</v>
      </c>
      <c r="F490" t="s">
        <v>118</v>
      </c>
      <c r="G490" t="s">
        <v>80</v>
      </c>
      <c r="H490">
        <v>24</v>
      </c>
      <c r="I490" s="1">
        <v>44394</v>
      </c>
      <c r="J490" s="10">
        <v>97516</v>
      </c>
      <c r="K490" s="10">
        <v>18213</v>
      </c>
      <c r="L490">
        <v>1</v>
      </c>
      <c r="M490" t="s">
        <v>52</v>
      </c>
      <c r="N490" t="s">
        <v>48</v>
      </c>
      <c r="O490" t="s">
        <v>28</v>
      </c>
      <c r="P490" t="s">
        <v>28</v>
      </c>
      <c r="Q490">
        <v>33</v>
      </c>
      <c r="R490">
        <v>13</v>
      </c>
      <c r="S490">
        <v>5</v>
      </c>
      <c r="T490" t="s">
        <v>30</v>
      </c>
      <c r="U490" t="str">
        <f>IF(AND(Employees_Data[[#This Row],[Age]]&gt;=20,Employees_Data[[#This Row],[Age]]&lt;=30),"Young",IF(AND(Employees_Data[[#This Row],[Age]]&gt;=31,Employees_Data[[#This Row],[Age]]&lt;=40),"Mid-Age",IF(Employees_Data[[#This Row],[Age]]&gt;=41,"Senior")))</f>
        <v>Senior</v>
      </c>
      <c r="V490" t="str">
        <f>IF(Employees_Data[[#This Row],[Salary]]&lt;=30000,"Low",IF(AND(Employees_Data[[#This Row],[Salary]]&gt;30000,Employees_Data[[#This Row],[Salary]]&lt;=60000),"Medium",IF(AND(Employees_Data[[#This Row],[Salary]]&gt;60000,Employees_Data[[#This Row],[Salary]]&lt;=90000),"High",IF(Employees_Data[[#This Row],[Salary]]&gt;90000,"Executive"))))</f>
        <v>Executive</v>
      </c>
      <c r="W49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90" s="14" t="str">
        <f>VLOOKUP(Employees_Data[[#This Row],[Department]],Departments!$A$2:$B$7,2,FALSE)</f>
        <v>D05</v>
      </c>
      <c r="Y490" s="14" t="str">
        <f>INDEX(Departments!$B$2:$B$7,MATCH(Employees_Data[[#This Row],[Department]],Departments!$A$2:$A$7,0))</f>
        <v>D05</v>
      </c>
      <c r="Z490" s="14" t="str">
        <f>INDEX(Salary_Bands!$C$2:$C$5,MATCH(Employees_Data[[#This Row],[Salary]],Salary_Bands!$A$2:$A$5,1))</f>
        <v>Executive</v>
      </c>
    </row>
    <row r="491" spans="1:26" hidden="1" x14ac:dyDescent="0.3">
      <c r="A491" t="s">
        <v>1043</v>
      </c>
      <c r="B491" t="s">
        <v>1044</v>
      </c>
      <c r="C491" t="s">
        <v>40</v>
      </c>
      <c r="D491" s="12">
        <v>40</v>
      </c>
      <c r="E491" t="s">
        <v>56</v>
      </c>
      <c r="F491" t="s">
        <v>57</v>
      </c>
      <c r="G491" t="s">
        <v>25</v>
      </c>
      <c r="H491">
        <v>14</v>
      </c>
      <c r="I491" s="1">
        <v>43888</v>
      </c>
      <c r="J491" s="10">
        <v>86504</v>
      </c>
      <c r="K491" s="10">
        <v>23527</v>
      </c>
      <c r="L491">
        <v>3</v>
      </c>
      <c r="M491" t="s">
        <v>36</v>
      </c>
      <c r="N491" t="s">
        <v>76</v>
      </c>
      <c r="O491" t="s">
        <v>28</v>
      </c>
      <c r="P491" t="s">
        <v>28</v>
      </c>
      <c r="Q491">
        <v>51</v>
      </c>
      <c r="R491">
        <v>12</v>
      </c>
      <c r="S491">
        <v>8</v>
      </c>
      <c r="T491" t="s">
        <v>30</v>
      </c>
      <c r="U491" t="str">
        <f>IF(AND(Employees_Data[[#This Row],[Age]]&gt;=20,Employees_Data[[#This Row],[Age]]&lt;=30),"Young",IF(AND(Employees_Data[[#This Row],[Age]]&gt;=31,Employees_Data[[#This Row],[Age]]&lt;=40),"Mid-Age",IF(Employees_Data[[#This Row],[Age]]&gt;=41,"Senior")))</f>
        <v>Mid-Age</v>
      </c>
      <c r="V491" t="str">
        <f>IF(Employees_Data[[#This Row],[Salary]]&lt;=30000,"Low",IF(AND(Employees_Data[[#This Row],[Salary]]&gt;30000,Employees_Data[[#This Row],[Salary]]&lt;=60000),"Medium",IF(AND(Employees_Data[[#This Row],[Salary]]&gt;60000,Employees_Data[[#This Row],[Salary]]&lt;=90000),"High",IF(Employees_Data[[#This Row],[Salary]]&gt;90000,"Executive"))))</f>
        <v>High</v>
      </c>
      <c r="W49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91" s="14" t="str">
        <f>VLOOKUP(Employees_Data[[#This Row],[Department]],Departments!$A$2:$B$7,2,FALSE)</f>
        <v>D01</v>
      </c>
      <c r="Y491" s="14" t="str">
        <f>INDEX(Departments!$B$2:$B$7,MATCH(Employees_Data[[#This Row],[Department]],Departments!$A$2:$A$7,0))</f>
        <v>D01</v>
      </c>
      <c r="Z491" s="14" t="str">
        <f>INDEX(Salary_Bands!$C$2:$C$5,MATCH(Employees_Data[[#This Row],[Salary]],Salary_Bands!$A$2:$A$5,1))</f>
        <v>High</v>
      </c>
    </row>
    <row r="492" spans="1:26" hidden="1" x14ac:dyDescent="0.3">
      <c r="A492" t="s">
        <v>1045</v>
      </c>
      <c r="B492" t="s">
        <v>1046</v>
      </c>
      <c r="C492" t="s">
        <v>40</v>
      </c>
      <c r="D492" s="12">
        <v>45</v>
      </c>
      <c r="E492" t="s">
        <v>87</v>
      </c>
      <c r="F492" t="s">
        <v>88</v>
      </c>
      <c r="G492" t="s">
        <v>35</v>
      </c>
      <c r="H492">
        <v>21</v>
      </c>
      <c r="I492" s="1">
        <v>43764</v>
      </c>
      <c r="J492" s="10">
        <v>106506</v>
      </c>
      <c r="K492" s="10">
        <v>7678</v>
      </c>
      <c r="L492">
        <v>2</v>
      </c>
      <c r="M492" t="s">
        <v>26</v>
      </c>
      <c r="N492" t="s">
        <v>76</v>
      </c>
      <c r="O492" t="s">
        <v>28</v>
      </c>
      <c r="P492" t="s">
        <v>28</v>
      </c>
      <c r="Q492">
        <v>11</v>
      </c>
      <c r="R492">
        <v>13</v>
      </c>
      <c r="S492">
        <v>5</v>
      </c>
      <c r="T492" t="s">
        <v>43</v>
      </c>
      <c r="U492" t="str">
        <f>IF(AND(Employees_Data[[#This Row],[Age]]&gt;=20,Employees_Data[[#This Row],[Age]]&lt;=30),"Young",IF(AND(Employees_Data[[#This Row],[Age]]&gt;=31,Employees_Data[[#This Row],[Age]]&lt;=40),"Mid-Age",IF(Employees_Data[[#This Row],[Age]]&gt;=41,"Senior")))</f>
        <v>Senior</v>
      </c>
      <c r="V492" t="str">
        <f>IF(Employees_Data[[#This Row],[Salary]]&lt;=30000,"Low",IF(AND(Employees_Data[[#This Row],[Salary]]&gt;30000,Employees_Data[[#This Row],[Salary]]&lt;=60000),"Medium",IF(AND(Employees_Data[[#This Row],[Salary]]&gt;60000,Employees_Data[[#This Row],[Salary]]&lt;=90000),"High",IF(Employees_Data[[#This Row],[Salary]]&gt;90000,"Executive"))))</f>
        <v>Executive</v>
      </c>
      <c r="W492"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92" s="14" t="str">
        <f>VLOOKUP(Employees_Data[[#This Row],[Department]],Departments!$A$2:$B$7,2,FALSE)</f>
        <v>D04</v>
      </c>
      <c r="Y492" s="14" t="str">
        <f>INDEX(Departments!$B$2:$B$7,MATCH(Employees_Data[[#This Row],[Department]],Departments!$A$2:$A$7,0))</f>
        <v>D04</v>
      </c>
      <c r="Z492" s="14" t="str">
        <f>INDEX(Salary_Bands!$C$2:$C$5,MATCH(Employees_Data[[#This Row],[Salary]],Salary_Bands!$A$2:$A$5,1))</f>
        <v>Executive</v>
      </c>
    </row>
    <row r="493" spans="1:26" hidden="1" x14ac:dyDescent="0.3">
      <c r="A493" t="s">
        <v>1047</v>
      </c>
      <c r="B493" t="s">
        <v>540</v>
      </c>
      <c r="C493" t="s">
        <v>22</v>
      </c>
      <c r="D493" s="12">
        <v>37</v>
      </c>
      <c r="E493" t="s">
        <v>87</v>
      </c>
      <c r="F493" t="s">
        <v>220</v>
      </c>
      <c r="G493" t="s">
        <v>35</v>
      </c>
      <c r="H493">
        <v>15</v>
      </c>
      <c r="I493" s="1">
        <v>45381</v>
      </c>
      <c r="J493" s="10">
        <v>31166</v>
      </c>
      <c r="K493" s="10">
        <v>18497</v>
      </c>
      <c r="L493">
        <v>1</v>
      </c>
      <c r="M493" t="s">
        <v>26</v>
      </c>
      <c r="N493" t="s">
        <v>63</v>
      </c>
      <c r="O493" t="s">
        <v>28</v>
      </c>
      <c r="P493" t="s">
        <v>29</v>
      </c>
      <c r="Q493">
        <v>26</v>
      </c>
      <c r="R493">
        <v>13</v>
      </c>
      <c r="S493">
        <v>6</v>
      </c>
      <c r="T493" t="s">
        <v>30</v>
      </c>
      <c r="U493" t="str">
        <f>IF(AND(Employees_Data[[#This Row],[Age]]&gt;=20,Employees_Data[[#This Row],[Age]]&lt;=30),"Young",IF(AND(Employees_Data[[#This Row],[Age]]&gt;=31,Employees_Data[[#This Row],[Age]]&lt;=40),"Mid-Age",IF(Employees_Data[[#This Row],[Age]]&gt;=41,"Senior")))</f>
        <v>Mid-Age</v>
      </c>
      <c r="V493" t="str">
        <f>IF(Employees_Data[[#This Row],[Salary]]&lt;=30000,"Low",IF(AND(Employees_Data[[#This Row],[Salary]]&gt;30000,Employees_Data[[#This Row],[Salary]]&lt;=60000),"Medium",IF(AND(Employees_Data[[#This Row],[Salary]]&gt;60000,Employees_Data[[#This Row],[Salary]]&lt;=90000),"High",IF(Employees_Data[[#This Row],[Salary]]&gt;90000,"Executive"))))</f>
        <v>Medium</v>
      </c>
      <c r="W493"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93" s="14" t="str">
        <f>VLOOKUP(Employees_Data[[#This Row],[Department]],Departments!$A$2:$B$7,2,FALSE)</f>
        <v>D04</v>
      </c>
      <c r="Y493" s="14" t="str">
        <f>INDEX(Departments!$B$2:$B$7,MATCH(Employees_Data[[#This Row],[Department]],Departments!$A$2:$A$7,0))</f>
        <v>D04</v>
      </c>
      <c r="Z493" s="14" t="str">
        <f>INDEX(Salary_Bands!$C$2:$C$5,MATCH(Employees_Data[[#This Row],[Salary]],Salary_Bands!$A$2:$A$5,1))</f>
        <v>Medium</v>
      </c>
    </row>
    <row r="494" spans="1:26" hidden="1" x14ac:dyDescent="0.3">
      <c r="A494" t="s">
        <v>1048</v>
      </c>
      <c r="B494" t="s">
        <v>1049</v>
      </c>
      <c r="C494" t="s">
        <v>22</v>
      </c>
      <c r="D494" s="12">
        <v>36</v>
      </c>
      <c r="E494" t="s">
        <v>56</v>
      </c>
      <c r="F494" t="s">
        <v>79</v>
      </c>
      <c r="G494" t="s">
        <v>25</v>
      </c>
      <c r="H494">
        <v>15</v>
      </c>
      <c r="I494" s="1">
        <v>45402</v>
      </c>
      <c r="J494" s="10">
        <v>54372</v>
      </c>
      <c r="K494" s="10">
        <v>10765</v>
      </c>
      <c r="L494">
        <v>4</v>
      </c>
      <c r="M494" t="s">
        <v>26</v>
      </c>
      <c r="N494" t="s">
        <v>63</v>
      </c>
      <c r="O494" t="s">
        <v>28</v>
      </c>
      <c r="P494" t="s">
        <v>29</v>
      </c>
      <c r="Q494">
        <v>50</v>
      </c>
      <c r="R494">
        <v>1</v>
      </c>
      <c r="S494">
        <v>5</v>
      </c>
      <c r="T494" t="s">
        <v>30</v>
      </c>
      <c r="U494" t="str">
        <f>IF(AND(Employees_Data[[#This Row],[Age]]&gt;=20,Employees_Data[[#This Row],[Age]]&lt;=30),"Young",IF(AND(Employees_Data[[#This Row],[Age]]&gt;=31,Employees_Data[[#This Row],[Age]]&lt;=40),"Mid-Age",IF(Employees_Data[[#This Row],[Age]]&gt;=41,"Senior")))</f>
        <v>Mid-Age</v>
      </c>
      <c r="V494" t="str">
        <f>IF(Employees_Data[[#This Row],[Salary]]&lt;=30000,"Low",IF(AND(Employees_Data[[#This Row],[Salary]]&gt;30000,Employees_Data[[#This Row],[Salary]]&lt;=60000),"Medium",IF(AND(Employees_Data[[#This Row],[Salary]]&gt;60000,Employees_Data[[#This Row],[Salary]]&lt;=90000),"High",IF(Employees_Data[[#This Row],[Salary]]&gt;90000,"Executive"))))</f>
        <v>Medium</v>
      </c>
      <c r="W494"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94" s="14" t="str">
        <f>VLOOKUP(Employees_Data[[#This Row],[Department]],Departments!$A$2:$B$7,2,FALSE)</f>
        <v>D01</v>
      </c>
      <c r="Y494" s="14" t="str">
        <f>INDEX(Departments!$B$2:$B$7,MATCH(Employees_Data[[#This Row],[Department]],Departments!$A$2:$A$7,0))</f>
        <v>D01</v>
      </c>
      <c r="Z494" s="14" t="str">
        <f>INDEX(Salary_Bands!$C$2:$C$5,MATCH(Employees_Data[[#This Row],[Salary]],Salary_Bands!$A$2:$A$5,1))</f>
        <v>Medium</v>
      </c>
    </row>
    <row r="495" spans="1:26" x14ac:dyDescent="0.3">
      <c r="A495" t="s">
        <v>1050</v>
      </c>
      <c r="B495" t="s">
        <v>1051</v>
      </c>
      <c r="C495" t="s">
        <v>22</v>
      </c>
      <c r="D495" s="12">
        <v>29</v>
      </c>
      <c r="E495" t="s">
        <v>87</v>
      </c>
      <c r="F495" t="s">
        <v>220</v>
      </c>
      <c r="G495" t="s">
        <v>35</v>
      </c>
      <c r="H495">
        <v>8</v>
      </c>
      <c r="I495" s="1">
        <v>45601</v>
      </c>
      <c r="J495" s="10">
        <v>104908</v>
      </c>
      <c r="K495" s="10">
        <v>13850</v>
      </c>
      <c r="L495">
        <v>1</v>
      </c>
      <c r="M495" t="s">
        <v>26</v>
      </c>
      <c r="N495" t="s">
        <v>48</v>
      </c>
      <c r="O495" s="5" t="s">
        <v>29</v>
      </c>
      <c r="P495" t="s">
        <v>28</v>
      </c>
      <c r="Q495">
        <v>50</v>
      </c>
      <c r="R495">
        <v>14</v>
      </c>
      <c r="S495">
        <v>9</v>
      </c>
      <c r="T495" t="s">
        <v>43</v>
      </c>
      <c r="U495" t="str">
        <f>IF(AND(Employees_Data[[#This Row],[Age]]&gt;=20,Employees_Data[[#This Row],[Age]]&lt;=30),"Young",IF(AND(Employees_Data[[#This Row],[Age]]&gt;=31,Employees_Data[[#This Row],[Age]]&lt;=40),"Mid-Age",IF(Employees_Data[[#This Row],[Age]]&gt;=41,"Senior")))</f>
        <v>Young</v>
      </c>
      <c r="V495" t="str">
        <f>IF(Employees_Data[[#This Row],[Salary]]&lt;=30000,"Low",IF(AND(Employees_Data[[#This Row],[Salary]]&gt;30000,Employees_Data[[#This Row],[Salary]]&lt;=60000),"Medium",IF(AND(Employees_Data[[#This Row],[Salary]]&gt;60000,Employees_Data[[#This Row],[Salary]]&lt;=90000),"High",IF(Employees_Data[[#This Row],[Salary]]&gt;90000,"Executive"))))</f>
        <v>Executive</v>
      </c>
      <c r="W495"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95" s="14" t="str">
        <f>VLOOKUP(Employees_Data[[#This Row],[Department]],Departments!$A$2:$B$7,2,FALSE)</f>
        <v>D04</v>
      </c>
      <c r="Y495" s="14" t="str">
        <f>INDEX(Departments!$B$2:$B$7,MATCH(Employees_Data[[#This Row],[Department]],Departments!$A$2:$A$7,0))</f>
        <v>D04</v>
      </c>
      <c r="Z495" s="14" t="str">
        <f>INDEX(Salary_Bands!$C$2:$C$5,MATCH(Employees_Data[[#This Row],[Salary]],Salary_Bands!$A$2:$A$5,1))</f>
        <v>Executive</v>
      </c>
    </row>
    <row r="496" spans="1:26" hidden="1" x14ac:dyDescent="0.3">
      <c r="A496" t="s">
        <v>1052</v>
      </c>
      <c r="B496" t="s">
        <v>1053</v>
      </c>
      <c r="C496" t="s">
        <v>40</v>
      </c>
      <c r="D496" s="12">
        <v>28</v>
      </c>
      <c r="E496" t="s">
        <v>33</v>
      </c>
      <c r="F496" t="s">
        <v>46</v>
      </c>
      <c r="G496" t="s">
        <v>80</v>
      </c>
      <c r="H496">
        <v>6</v>
      </c>
      <c r="I496" s="1">
        <v>44590</v>
      </c>
      <c r="J496" s="10">
        <v>68857</v>
      </c>
      <c r="K496" s="10">
        <v>10038</v>
      </c>
      <c r="L496">
        <v>2</v>
      </c>
      <c r="M496" t="s">
        <v>36</v>
      </c>
      <c r="N496" t="s">
        <v>37</v>
      </c>
      <c r="O496" t="s">
        <v>28</v>
      </c>
      <c r="P496" t="s">
        <v>28</v>
      </c>
      <c r="Q496">
        <v>37</v>
      </c>
      <c r="R496">
        <v>5</v>
      </c>
      <c r="S496">
        <v>2</v>
      </c>
      <c r="T496" t="s">
        <v>30</v>
      </c>
      <c r="U496" t="str">
        <f>IF(AND(Employees_Data[[#This Row],[Age]]&gt;=20,Employees_Data[[#This Row],[Age]]&lt;=30),"Young",IF(AND(Employees_Data[[#This Row],[Age]]&gt;=31,Employees_Data[[#This Row],[Age]]&lt;=40),"Mid-Age",IF(Employees_Data[[#This Row],[Age]]&gt;=41,"Senior")))</f>
        <v>Young</v>
      </c>
      <c r="V496" t="str">
        <f>IF(Employees_Data[[#This Row],[Salary]]&lt;=30000,"Low",IF(AND(Employees_Data[[#This Row],[Salary]]&gt;30000,Employees_Data[[#This Row],[Salary]]&lt;=60000),"Medium",IF(AND(Employees_Data[[#This Row],[Salary]]&gt;60000,Employees_Data[[#This Row],[Salary]]&lt;=90000),"High",IF(Employees_Data[[#This Row],[Salary]]&gt;90000,"Executive"))))</f>
        <v>High</v>
      </c>
      <c r="W496"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96" s="14" t="str">
        <f>VLOOKUP(Employees_Data[[#This Row],[Department]],Departments!$A$2:$B$7,2,FALSE)</f>
        <v>D05</v>
      </c>
      <c r="Y496" s="14" t="str">
        <f>INDEX(Departments!$B$2:$B$7,MATCH(Employees_Data[[#This Row],[Department]],Departments!$A$2:$A$7,0))</f>
        <v>D05</v>
      </c>
      <c r="Z496" s="14" t="str">
        <f>INDEX(Salary_Bands!$C$2:$C$5,MATCH(Employees_Data[[#This Row],[Salary]],Salary_Bands!$A$2:$A$5,1))</f>
        <v>High</v>
      </c>
    </row>
    <row r="497" spans="1:26" hidden="1" x14ac:dyDescent="0.3">
      <c r="A497" t="s">
        <v>1054</v>
      </c>
      <c r="B497" t="s">
        <v>1055</v>
      </c>
      <c r="C497" t="s">
        <v>22</v>
      </c>
      <c r="D497" s="12">
        <v>45</v>
      </c>
      <c r="E497" t="s">
        <v>56</v>
      </c>
      <c r="F497" t="s">
        <v>125</v>
      </c>
      <c r="G497" t="s">
        <v>35</v>
      </c>
      <c r="H497">
        <v>19</v>
      </c>
      <c r="I497" s="1">
        <v>44800</v>
      </c>
      <c r="J497" s="10">
        <v>72270</v>
      </c>
      <c r="K497" s="10">
        <v>16051</v>
      </c>
      <c r="L497">
        <v>2</v>
      </c>
      <c r="M497" t="s">
        <v>36</v>
      </c>
      <c r="N497" t="s">
        <v>58</v>
      </c>
      <c r="O497" t="s">
        <v>28</v>
      </c>
      <c r="P497" t="s">
        <v>28</v>
      </c>
      <c r="Q497">
        <v>59</v>
      </c>
      <c r="R497">
        <v>16</v>
      </c>
      <c r="S497">
        <v>3</v>
      </c>
      <c r="T497" t="s">
        <v>30</v>
      </c>
      <c r="U497" t="str">
        <f>IF(AND(Employees_Data[[#This Row],[Age]]&gt;=20,Employees_Data[[#This Row],[Age]]&lt;=30),"Young",IF(AND(Employees_Data[[#This Row],[Age]]&gt;=31,Employees_Data[[#This Row],[Age]]&lt;=40),"Mid-Age",IF(Employees_Data[[#This Row],[Age]]&gt;=41,"Senior")))</f>
        <v>Senior</v>
      </c>
      <c r="V497" t="str">
        <f>IF(Employees_Data[[#This Row],[Salary]]&lt;=30000,"Low",IF(AND(Employees_Data[[#This Row],[Salary]]&gt;30000,Employees_Data[[#This Row],[Salary]]&lt;=60000),"Medium",IF(AND(Employees_Data[[#This Row],[Salary]]&gt;60000,Employees_Data[[#This Row],[Salary]]&lt;=90000),"High",IF(Employees_Data[[#This Row],[Salary]]&gt;90000,"Executive"))))</f>
        <v>High</v>
      </c>
      <c r="W497"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497" s="14" t="str">
        <f>VLOOKUP(Employees_Data[[#This Row],[Department]],Departments!$A$2:$B$7,2,FALSE)</f>
        <v>D01</v>
      </c>
      <c r="Y497" s="14" t="str">
        <f>INDEX(Departments!$B$2:$B$7,MATCH(Employees_Data[[#This Row],[Department]],Departments!$A$2:$A$7,0))</f>
        <v>D01</v>
      </c>
      <c r="Z497" s="14" t="str">
        <f>INDEX(Salary_Bands!$C$2:$C$5,MATCH(Employees_Data[[#This Row],[Salary]],Salary_Bands!$A$2:$A$5,1))</f>
        <v>High</v>
      </c>
    </row>
    <row r="498" spans="1:26" hidden="1" x14ac:dyDescent="0.3">
      <c r="A498" t="s">
        <v>1056</v>
      </c>
      <c r="B498" t="s">
        <v>1057</v>
      </c>
      <c r="C498" t="s">
        <v>40</v>
      </c>
      <c r="D498" s="12">
        <v>23</v>
      </c>
      <c r="E498" t="s">
        <v>23</v>
      </c>
      <c r="F498" t="s">
        <v>100</v>
      </c>
      <c r="G498" t="s">
        <v>47</v>
      </c>
      <c r="H498">
        <v>0</v>
      </c>
      <c r="I498" s="1">
        <v>43697</v>
      </c>
      <c r="J498" s="10">
        <v>125945</v>
      </c>
      <c r="K498" s="10">
        <v>7384</v>
      </c>
      <c r="L498">
        <v>1</v>
      </c>
      <c r="M498" t="s">
        <v>36</v>
      </c>
      <c r="N498" t="s">
        <v>27</v>
      </c>
      <c r="O498" t="s">
        <v>28</v>
      </c>
      <c r="P498" t="s">
        <v>28</v>
      </c>
      <c r="Q498">
        <v>53</v>
      </c>
      <c r="R498">
        <v>1</v>
      </c>
      <c r="S498">
        <v>9</v>
      </c>
      <c r="T498" t="s">
        <v>43</v>
      </c>
      <c r="U498" t="str">
        <f>IF(AND(Employees_Data[[#This Row],[Age]]&gt;=20,Employees_Data[[#This Row],[Age]]&lt;=30),"Young",IF(AND(Employees_Data[[#This Row],[Age]]&gt;=31,Employees_Data[[#This Row],[Age]]&lt;=40),"Mid-Age",IF(Employees_Data[[#This Row],[Age]]&gt;=41,"Senior")))</f>
        <v>Young</v>
      </c>
      <c r="V498" t="str">
        <f>IF(Employees_Data[[#This Row],[Salary]]&lt;=30000,"Low",IF(AND(Employees_Data[[#This Row],[Salary]]&gt;30000,Employees_Data[[#This Row],[Salary]]&lt;=60000),"Medium",IF(AND(Employees_Data[[#This Row],[Salary]]&gt;60000,Employees_Data[[#This Row],[Salary]]&lt;=90000),"High",IF(Employees_Data[[#This Row],[Salary]]&gt;90000,"Executive"))))</f>
        <v>Executive</v>
      </c>
      <c r="W498"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Fresher</v>
      </c>
      <c r="X498" s="14" t="str">
        <f>VLOOKUP(Employees_Data[[#This Row],[Department]],Departments!$A$2:$B$7,2,FALSE)</f>
        <v>D06</v>
      </c>
      <c r="Y498" s="14" t="str">
        <f>INDEX(Departments!$B$2:$B$7,MATCH(Employees_Data[[#This Row],[Department]],Departments!$A$2:$A$7,0))</f>
        <v>D06</v>
      </c>
      <c r="Z498" s="14" t="str">
        <f>INDEX(Salary_Bands!$C$2:$C$5,MATCH(Employees_Data[[#This Row],[Salary]],Salary_Bands!$A$2:$A$5,1))</f>
        <v>Executive</v>
      </c>
    </row>
    <row r="499" spans="1:26" hidden="1" x14ac:dyDescent="0.3">
      <c r="A499" t="s">
        <v>1058</v>
      </c>
      <c r="B499" t="s">
        <v>1059</v>
      </c>
      <c r="C499" t="s">
        <v>40</v>
      </c>
      <c r="D499" s="12">
        <v>31</v>
      </c>
      <c r="E499" t="s">
        <v>23</v>
      </c>
      <c r="F499" t="s">
        <v>109</v>
      </c>
      <c r="G499" t="s">
        <v>51</v>
      </c>
      <c r="H499">
        <v>6</v>
      </c>
      <c r="I499" s="1">
        <v>43337</v>
      </c>
      <c r="J499" s="10">
        <v>107786</v>
      </c>
      <c r="K499" s="10">
        <v>13277</v>
      </c>
      <c r="L499">
        <v>5</v>
      </c>
      <c r="M499" t="s">
        <v>26</v>
      </c>
      <c r="N499" t="s">
        <v>63</v>
      </c>
      <c r="O499" t="s">
        <v>28</v>
      </c>
      <c r="P499" t="s">
        <v>28</v>
      </c>
      <c r="Q499">
        <v>38</v>
      </c>
      <c r="R499">
        <v>19</v>
      </c>
      <c r="S499">
        <v>5</v>
      </c>
      <c r="T499" t="s">
        <v>30</v>
      </c>
      <c r="U499" t="str">
        <f>IF(AND(Employees_Data[[#This Row],[Age]]&gt;=20,Employees_Data[[#This Row],[Age]]&lt;=30),"Young",IF(AND(Employees_Data[[#This Row],[Age]]&gt;=31,Employees_Data[[#This Row],[Age]]&lt;=40),"Mid-Age",IF(Employees_Data[[#This Row],[Age]]&gt;=41,"Senior")))</f>
        <v>Mid-Age</v>
      </c>
      <c r="V499" t="str">
        <f>IF(Employees_Data[[#This Row],[Salary]]&lt;=30000,"Low",IF(AND(Employees_Data[[#This Row],[Salary]]&gt;30000,Employees_Data[[#This Row],[Salary]]&lt;=60000),"Medium",IF(AND(Employees_Data[[#This Row],[Salary]]&gt;60000,Employees_Data[[#This Row],[Salary]]&lt;=90000),"High",IF(Employees_Data[[#This Row],[Salary]]&gt;90000,"Executive"))))</f>
        <v>Executive</v>
      </c>
      <c r="W499"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Mid-Level</v>
      </c>
      <c r="X499" s="14" t="str">
        <f>VLOOKUP(Employees_Data[[#This Row],[Department]],Departments!$A$2:$B$7,2,FALSE)</f>
        <v>D06</v>
      </c>
      <c r="Y499" s="14" t="str">
        <f>INDEX(Departments!$B$2:$B$7,MATCH(Employees_Data[[#This Row],[Department]],Departments!$A$2:$A$7,0))</f>
        <v>D06</v>
      </c>
      <c r="Z499" s="14" t="str">
        <f>INDEX(Salary_Bands!$C$2:$C$5,MATCH(Employees_Data[[#This Row],[Salary]],Salary_Bands!$A$2:$A$5,1))</f>
        <v>Executive</v>
      </c>
    </row>
    <row r="500" spans="1:26" hidden="1" x14ac:dyDescent="0.3">
      <c r="A500" t="s">
        <v>1060</v>
      </c>
      <c r="B500" t="s">
        <v>1061</v>
      </c>
      <c r="C500" t="s">
        <v>40</v>
      </c>
      <c r="D500" s="12">
        <v>47</v>
      </c>
      <c r="E500" t="s">
        <v>61</v>
      </c>
      <c r="F500" t="s">
        <v>66</v>
      </c>
      <c r="G500" t="s">
        <v>47</v>
      </c>
      <c r="H500">
        <v>23</v>
      </c>
      <c r="I500" s="1">
        <v>43941</v>
      </c>
      <c r="J500" s="10">
        <v>141336</v>
      </c>
      <c r="K500" s="10">
        <v>8464</v>
      </c>
      <c r="L500">
        <v>5</v>
      </c>
      <c r="M500" t="s">
        <v>36</v>
      </c>
      <c r="N500" t="s">
        <v>27</v>
      </c>
      <c r="O500" t="s">
        <v>28</v>
      </c>
      <c r="P500" t="s">
        <v>29</v>
      </c>
      <c r="Q500">
        <v>39</v>
      </c>
      <c r="R500">
        <v>10</v>
      </c>
      <c r="S500">
        <v>10</v>
      </c>
      <c r="T500" t="s">
        <v>30</v>
      </c>
      <c r="U500" t="str">
        <f>IF(AND(Employees_Data[[#This Row],[Age]]&gt;=20,Employees_Data[[#This Row],[Age]]&lt;=30),"Young",IF(AND(Employees_Data[[#This Row],[Age]]&gt;=31,Employees_Data[[#This Row],[Age]]&lt;=40),"Mid-Age",IF(Employees_Data[[#This Row],[Age]]&gt;=41,"Senior")))</f>
        <v>Senior</v>
      </c>
      <c r="V500" t="str">
        <f>IF(Employees_Data[[#This Row],[Salary]]&lt;=30000,"Low",IF(AND(Employees_Data[[#This Row],[Salary]]&gt;30000,Employees_Data[[#This Row],[Salary]]&lt;=60000),"Medium",IF(AND(Employees_Data[[#This Row],[Salary]]&gt;60000,Employees_Data[[#This Row],[Salary]]&lt;=90000),"High",IF(Employees_Data[[#This Row],[Salary]]&gt;90000,"Executive"))))</f>
        <v>Executive</v>
      </c>
      <c r="W500"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Senior</v>
      </c>
      <c r="X500" s="14" t="str">
        <f>VLOOKUP(Employees_Data[[#This Row],[Department]],Departments!$A$2:$B$7,2,FALSE)</f>
        <v>D02</v>
      </c>
      <c r="Y500" s="14" t="str">
        <f>INDEX(Departments!$B$2:$B$7,MATCH(Employees_Data[[#This Row],[Department]],Departments!$A$2:$A$7,0))</f>
        <v>D02</v>
      </c>
      <c r="Z500" s="14" t="str">
        <f>INDEX(Salary_Bands!$C$2:$C$5,MATCH(Employees_Data[[#This Row],[Salary]],Salary_Bands!$A$2:$A$5,1))</f>
        <v>Executive</v>
      </c>
    </row>
    <row r="501" spans="1:26" hidden="1" x14ac:dyDescent="0.3">
      <c r="A501" t="s">
        <v>1062</v>
      </c>
      <c r="B501" t="s">
        <v>1063</v>
      </c>
      <c r="C501" t="s">
        <v>40</v>
      </c>
      <c r="D501" s="12">
        <v>30</v>
      </c>
      <c r="E501" t="s">
        <v>87</v>
      </c>
      <c r="F501" t="s">
        <v>88</v>
      </c>
      <c r="G501" t="s">
        <v>35</v>
      </c>
      <c r="H501">
        <v>5</v>
      </c>
      <c r="I501" s="1">
        <v>45316</v>
      </c>
      <c r="J501" s="10">
        <v>62214</v>
      </c>
      <c r="K501" s="10">
        <v>2767</v>
      </c>
      <c r="L501">
        <v>2</v>
      </c>
      <c r="M501" t="s">
        <v>26</v>
      </c>
      <c r="N501" t="s">
        <v>63</v>
      </c>
      <c r="O501" t="s">
        <v>28</v>
      </c>
      <c r="P501" t="s">
        <v>28</v>
      </c>
      <c r="Q501">
        <v>20</v>
      </c>
      <c r="R501">
        <v>9</v>
      </c>
      <c r="S501">
        <v>2</v>
      </c>
      <c r="T501" t="s">
        <v>30</v>
      </c>
      <c r="U501" t="str">
        <f>IF(AND(Employees_Data[[#This Row],[Age]]&gt;=20,Employees_Data[[#This Row],[Age]]&lt;=30),"Young",IF(AND(Employees_Data[[#This Row],[Age]]&gt;=31,Employees_Data[[#This Row],[Age]]&lt;=40),"Mid-Age",IF(Employees_Data[[#This Row],[Age]]&gt;=41,"Senior")))</f>
        <v>Young</v>
      </c>
      <c r="V501" t="str">
        <f>IF(Employees_Data[[#This Row],[Salary]]&lt;=30000,"Low",IF(AND(Employees_Data[[#This Row],[Salary]]&gt;30000,Employees_Data[[#This Row],[Salary]]&lt;=60000),"Medium",IF(AND(Employees_Data[[#This Row],[Salary]]&gt;60000,Employees_Data[[#This Row],[Salary]]&lt;=90000),"High",IF(Employees_Data[[#This Row],[Salary]]&gt;90000,"Executive"))))</f>
        <v>High</v>
      </c>
      <c r="W501" t="str">
        <f>IF(Employees_Data[[#This Row],[Experience_Years]]&lt;=2,"Fresher",IF(AND(Employees_Data[[#This Row],[Experience_Years]]&gt;=3,Employees_Data[[#This Row],[Experience_Years]]&lt;=5),"Junior",IF(AND(Employees_Data[[#This Row],[Experience_Years]]&gt;=6,Employees_Data[[#This Row],[Experience_Years]]&lt;=10),"Mid-Level",IF(Employees_Data[[#This Row],[Experience_Years]]&gt;10,"Senior"))))</f>
        <v>Junior</v>
      </c>
      <c r="X501" s="14" t="str">
        <f>VLOOKUP(Employees_Data[[#This Row],[Department]],Departments!$A$2:$B$7,2,FALSE)</f>
        <v>D04</v>
      </c>
      <c r="Y501" s="14" t="str">
        <f>INDEX(Departments!$B$2:$B$7,MATCH(Employees_Data[[#This Row],[Department]],Departments!$A$2:$A$7,0))</f>
        <v>D04</v>
      </c>
      <c r="Z501" s="14" t="str">
        <f>INDEX(Salary_Bands!$C$2:$C$5,MATCH(Employees_Data[[#This Row],[Salary]],Salary_Bands!$A$2:$A$5,1))</f>
        <v>High</v>
      </c>
    </row>
    <row r="502" spans="1:26" x14ac:dyDescent="0.3">
      <c r="K502" s="9"/>
    </row>
    <row r="503" spans="1:26" x14ac:dyDescent="0.3">
      <c r="K503" s="9"/>
    </row>
    <row r="504" spans="1:26" x14ac:dyDescent="0.3">
      <c r="K504" s="9"/>
    </row>
    <row r="505" spans="1:26" x14ac:dyDescent="0.3">
      <c r="K505" s="9"/>
    </row>
    <row r="506" spans="1:26" x14ac:dyDescent="0.3">
      <c r="K506" s="9"/>
    </row>
    <row r="507" spans="1:26" x14ac:dyDescent="0.3">
      <c r="K507" s="9"/>
    </row>
    <row r="508" spans="1:26" x14ac:dyDescent="0.3">
      <c r="K508" s="9"/>
    </row>
    <row r="509" spans="1:26" x14ac:dyDescent="0.3">
      <c r="K509" s="9"/>
    </row>
    <row r="510" spans="1:26" x14ac:dyDescent="0.3">
      <c r="K510" s="9"/>
    </row>
    <row r="511" spans="1:26" x14ac:dyDescent="0.3">
      <c r="K511" s="9"/>
    </row>
    <row r="512" spans="1:26" x14ac:dyDescent="0.3">
      <c r="K512" s="9"/>
    </row>
    <row r="513" spans="11:11" x14ac:dyDescent="0.3">
      <c r="K513" s="9"/>
    </row>
    <row r="514" spans="11:11" x14ac:dyDescent="0.3">
      <c r="K514" s="9"/>
    </row>
    <row r="515" spans="11:11" x14ac:dyDescent="0.3">
      <c r="K515" s="9"/>
    </row>
    <row r="516" spans="11:11" x14ac:dyDescent="0.3">
      <c r="K516" s="9"/>
    </row>
    <row r="517" spans="11:11" x14ac:dyDescent="0.3">
      <c r="K517" s="9"/>
    </row>
    <row r="518" spans="11:11" x14ac:dyDescent="0.3">
      <c r="K518" s="9"/>
    </row>
    <row r="519" spans="11:11" x14ac:dyDescent="0.3">
      <c r="K519" s="9"/>
    </row>
    <row r="520" spans="11:11" x14ac:dyDescent="0.3">
      <c r="K520" s="9"/>
    </row>
    <row r="521" spans="11:11" x14ac:dyDescent="0.3">
      <c r="K521" s="9"/>
    </row>
    <row r="522" spans="11:11" x14ac:dyDescent="0.3">
      <c r="K522" s="9"/>
    </row>
    <row r="523" spans="11:11" x14ac:dyDescent="0.3">
      <c r="K523" s="9"/>
    </row>
    <row r="524" spans="11:11" x14ac:dyDescent="0.3">
      <c r="K524" s="9"/>
    </row>
    <row r="525" spans="11:11" x14ac:dyDescent="0.3">
      <c r="K525" s="9"/>
    </row>
    <row r="526" spans="11:11" x14ac:dyDescent="0.3">
      <c r="K526" s="9"/>
    </row>
    <row r="527" spans="11:11" x14ac:dyDescent="0.3">
      <c r="K527" s="9"/>
    </row>
    <row r="528" spans="11:11" x14ac:dyDescent="0.3">
      <c r="K528" s="9"/>
    </row>
    <row r="529" spans="11:11" x14ac:dyDescent="0.3">
      <c r="K529" s="9"/>
    </row>
    <row r="530" spans="11:11" x14ac:dyDescent="0.3">
      <c r="K530" s="9"/>
    </row>
    <row r="531" spans="11:11" x14ac:dyDescent="0.3">
      <c r="K531" s="9"/>
    </row>
    <row r="532" spans="11:11" x14ac:dyDescent="0.3">
      <c r="K532" s="9"/>
    </row>
    <row r="533" spans="11:11" x14ac:dyDescent="0.3">
      <c r="K533" s="9"/>
    </row>
    <row r="534" spans="11:11" x14ac:dyDescent="0.3">
      <c r="K534" s="9"/>
    </row>
    <row r="535" spans="11:11" x14ac:dyDescent="0.3">
      <c r="K535" s="9"/>
    </row>
    <row r="536" spans="11:11" x14ac:dyDescent="0.3">
      <c r="K536" s="9"/>
    </row>
    <row r="537" spans="11:11" x14ac:dyDescent="0.3">
      <c r="K537" s="9"/>
    </row>
    <row r="538" spans="11:11" x14ac:dyDescent="0.3">
      <c r="K538" s="9"/>
    </row>
    <row r="539" spans="11:11" x14ac:dyDescent="0.3">
      <c r="K539" s="9"/>
    </row>
    <row r="540" spans="11:11" x14ac:dyDescent="0.3">
      <c r="K540" s="9"/>
    </row>
    <row r="541" spans="11:11" x14ac:dyDescent="0.3">
      <c r="K541" s="9"/>
    </row>
    <row r="542" spans="11:11" x14ac:dyDescent="0.3">
      <c r="K542" s="9"/>
    </row>
    <row r="543" spans="11:11" x14ac:dyDescent="0.3">
      <c r="K543" s="9"/>
    </row>
    <row r="544" spans="11:11" x14ac:dyDescent="0.3">
      <c r="K544" s="9"/>
    </row>
    <row r="545" spans="11:11" x14ac:dyDescent="0.3">
      <c r="K545" s="9"/>
    </row>
    <row r="546" spans="11:11" x14ac:dyDescent="0.3">
      <c r="K546" s="9"/>
    </row>
    <row r="547" spans="11:11" x14ac:dyDescent="0.3">
      <c r="K547" s="9"/>
    </row>
    <row r="548" spans="11:11" x14ac:dyDescent="0.3">
      <c r="K548" s="9"/>
    </row>
    <row r="549" spans="11:11" x14ac:dyDescent="0.3">
      <c r="K549" s="9"/>
    </row>
    <row r="550" spans="11:11" x14ac:dyDescent="0.3">
      <c r="K550" s="9"/>
    </row>
    <row r="551" spans="11:11" x14ac:dyDescent="0.3">
      <c r="K551" s="9"/>
    </row>
    <row r="552" spans="11:11" x14ac:dyDescent="0.3">
      <c r="K552" s="9"/>
    </row>
    <row r="553" spans="11:11" x14ac:dyDescent="0.3">
      <c r="K553" s="9"/>
    </row>
    <row r="554" spans="11:11" x14ac:dyDescent="0.3">
      <c r="K554" s="9"/>
    </row>
    <row r="555" spans="11:11" x14ac:dyDescent="0.3">
      <c r="K555" s="9"/>
    </row>
    <row r="556" spans="11:11" x14ac:dyDescent="0.3">
      <c r="K556" s="9"/>
    </row>
    <row r="557" spans="11:11" x14ac:dyDescent="0.3">
      <c r="K557" s="9"/>
    </row>
    <row r="558" spans="11:11" x14ac:dyDescent="0.3">
      <c r="K558" s="9"/>
    </row>
    <row r="559" spans="11:11" x14ac:dyDescent="0.3">
      <c r="K559" s="9"/>
    </row>
    <row r="560" spans="11:11" x14ac:dyDescent="0.3">
      <c r="K560" s="9"/>
    </row>
    <row r="561" spans="11:11" x14ac:dyDescent="0.3">
      <c r="K561" s="9"/>
    </row>
    <row r="562" spans="11:11" x14ac:dyDescent="0.3">
      <c r="K562" s="9"/>
    </row>
    <row r="563" spans="11:11" x14ac:dyDescent="0.3">
      <c r="K563" s="9"/>
    </row>
    <row r="564" spans="11:11" x14ac:dyDescent="0.3">
      <c r="K564" s="9"/>
    </row>
    <row r="565" spans="11:11" x14ac:dyDescent="0.3">
      <c r="K565" s="9"/>
    </row>
    <row r="566" spans="11:11" x14ac:dyDescent="0.3">
      <c r="K566" s="9"/>
    </row>
    <row r="567" spans="11:11" x14ac:dyDescent="0.3">
      <c r="K567" s="9"/>
    </row>
    <row r="568" spans="11:11" x14ac:dyDescent="0.3">
      <c r="K568" s="9"/>
    </row>
    <row r="569" spans="11:11" x14ac:dyDescent="0.3">
      <c r="K569" s="9"/>
    </row>
    <row r="570" spans="11:11" x14ac:dyDescent="0.3">
      <c r="K570" s="9"/>
    </row>
    <row r="571" spans="11:11" x14ac:dyDescent="0.3">
      <c r="K571" s="9"/>
    </row>
    <row r="572" spans="11:11" x14ac:dyDescent="0.3">
      <c r="K572" s="9"/>
    </row>
    <row r="573" spans="11:11" x14ac:dyDescent="0.3">
      <c r="K573" s="9"/>
    </row>
    <row r="574" spans="11:11" x14ac:dyDescent="0.3">
      <c r="K574" s="9"/>
    </row>
    <row r="575" spans="11:11" x14ac:dyDescent="0.3">
      <c r="K575" s="9"/>
    </row>
    <row r="576" spans="11:11" x14ac:dyDescent="0.3">
      <c r="K576" s="9"/>
    </row>
    <row r="577" spans="11:11" x14ac:dyDescent="0.3">
      <c r="K577" s="9"/>
    </row>
    <row r="578" spans="11:11" x14ac:dyDescent="0.3">
      <c r="K578" s="9"/>
    </row>
    <row r="579" spans="11:11" x14ac:dyDescent="0.3">
      <c r="K579" s="9"/>
    </row>
    <row r="580" spans="11:11" x14ac:dyDescent="0.3">
      <c r="K580" s="9"/>
    </row>
    <row r="581" spans="11:11" x14ac:dyDescent="0.3">
      <c r="K581" s="9"/>
    </row>
    <row r="582" spans="11:11" x14ac:dyDescent="0.3">
      <c r="K582" s="9"/>
    </row>
    <row r="583" spans="11:11" x14ac:dyDescent="0.3">
      <c r="K583" s="9"/>
    </row>
    <row r="584" spans="11:11" x14ac:dyDescent="0.3">
      <c r="K584" s="9"/>
    </row>
    <row r="585" spans="11:11" x14ac:dyDescent="0.3">
      <c r="K585" s="9"/>
    </row>
    <row r="586" spans="11:11" x14ac:dyDescent="0.3">
      <c r="K586" s="9"/>
    </row>
    <row r="587" spans="11:11" x14ac:dyDescent="0.3">
      <c r="K587" s="9"/>
    </row>
    <row r="588" spans="11:11" x14ac:dyDescent="0.3">
      <c r="K588" s="9"/>
    </row>
    <row r="589" spans="11:11" x14ac:dyDescent="0.3">
      <c r="K589" s="9"/>
    </row>
    <row r="590" spans="11:11" x14ac:dyDescent="0.3">
      <c r="K590" s="9"/>
    </row>
    <row r="591" spans="11:11" x14ac:dyDescent="0.3">
      <c r="K591" s="9"/>
    </row>
    <row r="592" spans="11:11" x14ac:dyDescent="0.3">
      <c r="K592" s="9"/>
    </row>
    <row r="593" spans="11:11" x14ac:dyDescent="0.3">
      <c r="K593" s="9"/>
    </row>
    <row r="594" spans="11:11" x14ac:dyDescent="0.3">
      <c r="K594" s="9"/>
    </row>
    <row r="595" spans="11:11" x14ac:dyDescent="0.3">
      <c r="K595" s="9"/>
    </row>
    <row r="596" spans="11:11" x14ac:dyDescent="0.3">
      <c r="K596" s="9"/>
    </row>
    <row r="597" spans="11:11" x14ac:dyDescent="0.3">
      <c r="K597" s="9"/>
    </row>
    <row r="598" spans="11:11" x14ac:dyDescent="0.3">
      <c r="K598" s="9"/>
    </row>
    <row r="599" spans="11:11" x14ac:dyDescent="0.3">
      <c r="K599" s="9"/>
    </row>
    <row r="600" spans="11:11" x14ac:dyDescent="0.3">
      <c r="K600" s="9"/>
    </row>
    <row r="601" spans="11:11" x14ac:dyDescent="0.3">
      <c r="K601" s="9"/>
    </row>
    <row r="602" spans="11:11" x14ac:dyDescent="0.3">
      <c r="K602" s="9"/>
    </row>
    <row r="603" spans="11:11" x14ac:dyDescent="0.3">
      <c r="K603" s="9"/>
    </row>
    <row r="604" spans="11:11" x14ac:dyDescent="0.3">
      <c r="K604" s="9"/>
    </row>
    <row r="605" spans="11:11" x14ac:dyDescent="0.3">
      <c r="K605" s="9"/>
    </row>
    <row r="606" spans="11:11" x14ac:dyDescent="0.3">
      <c r="K606" s="9"/>
    </row>
    <row r="607" spans="11:11" x14ac:dyDescent="0.3">
      <c r="K607" s="9"/>
    </row>
    <row r="608" spans="11:11" x14ac:dyDescent="0.3">
      <c r="K608" s="9"/>
    </row>
    <row r="609" spans="11:11" x14ac:dyDescent="0.3">
      <c r="K609" s="9"/>
    </row>
    <row r="610" spans="11:11" x14ac:dyDescent="0.3">
      <c r="K610" s="9"/>
    </row>
    <row r="611" spans="11:11" x14ac:dyDescent="0.3">
      <c r="K611" s="9"/>
    </row>
    <row r="612" spans="11:11" x14ac:dyDescent="0.3">
      <c r="K612" s="9"/>
    </row>
    <row r="613" spans="11:11" x14ac:dyDescent="0.3">
      <c r="K613" s="9"/>
    </row>
    <row r="614" spans="11:11" x14ac:dyDescent="0.3">
      <c r="K614" s="9"/>
    </row>
    <row r="615" spans="11:11" x14ac:dyDescent="0.3">
      <c r="K615" s="9"/>
    </row>
    <row r="616" spans="11:11" x14ac:dyDescent="0.3">
      <c r="K616" s="9"/>
    </row>
    <row r="617" spans="11:11" x14ac:dyDescent="0.3">
      <c r="K617" s="9"/>
    </row>
    <row r="618" spans="11:11" x14ac:dyDescent="0.3">
      <c r="K618" s="9"/>
    </row>
    <row r="619" spans="11:11" x14ac:dyDescent="0.3">
      <c r="K619" s="9"/>
    </row>
    <row r="620" spans="11:11" x14ac:dyDescent="0.3">
      <c r="K620" s="9"/>
    </row>
    <row r="621" spans="11:11" x14ac:dyDescent="0.3">
      <c r="K621" s="9"/>
    </row>
    <row r="622" spans="11:11" x14ac:dyDescent="0.3">
      <c r="K622" s="9"/>
    </row>
    <row r="623" spans="11:11" x14ac:dyDescent="0.3">
      <c r="K623" s="9"/>
    </row>
    <row r="624" spans="11:11" x14ac:dyDescent="0.3">
      <c r="K624" s="9"/>
    </row>
    <row r="625" spans="11:11" x14ac:dyDescent="0.3">
      <c r="K625" s="9"/>
    </row>
    <row r="626" spans="11:11" x14ac:dyDescent="0.3">
      <c r="K626" s="9"/>
    </row>
    <row r="627" spans="11:11" x14ac:dyDescent="0.3">
      <c r="K627" s="9"/>
    </row>
    <row r="628" spans="11:11" x14ac:dyDescent="0.3">
      <c r="K628" s="9"/>
    </row>
    <row r="629" spans="11:11" x14ac:dyDescent="0.3">
      <c r="K629" s="9"/>
    </row>
    <row r="630" spans="11:11" x14ac:dyDescent="0.3">
      <c r="K630" s="9"/>
    </row>
    <row r="631" spans="11:11" x14ac:dyDescent="0.3">
      <c r="K631" s="9"/>
    </row>
    <row r="632" spans="11:11" x14ac:dyDescent="0.3">
      <c r="K632" s="9"/>
    </row>
    <row r="633" spans="11:11" x14ac:dyDescent="0.3">
      <c r="K633" s="9"/>
    </row>
    <row r="634" spans="11:11" x14ac:dyDescent="0.3">
      <c r="K634" s="9"/>
    </row>
    <row r="635" spans="11:11" x14ac:dyDescent="0.3">
      <c r="K635" s="9"/>
    </row>
    <row r="636" spans="11:11" x14ac:dyDescent="0.3">
      <c r="K636" s="9"/>
    </row>
    <row r="637" spans="11:11" x14ac:dyDescent="0.3">
      <c r="K637" s="9"/>
    </row>
    <row r="638" spans="11:11" x14ac:dyDescent="0.3">
      <c r="K638" s="9"/>
    </row>
    <row r="639" spans="11:11" x14ac:dyDescent="0.3">
      <c r="K639" s="9"/>
    </row>
    <row r="640" spans="11:11" x14ac:dyDescent="0.3">
      <c r="K640" s="9"/>
    </row>
    <row r="641" spans="11:11" x14ac:dyDescent="0.3">
      <c r="K641" s="9"/>
    </row>
    <row r="642" spans="11:11" x14ac:dyDescent="0.3">
      <c r="K642" s="9"/>
    </row>
    <row r="643" spans="11:11" x14ac:dyDescent="0.3">
      <c r="K643" s="9"/>
    </row>
    <row r="644" spans="11:11" x14ac:dyDescent="0.3">
      <c r="K644" s="9"/>
    </row>
    <row r="645" spans="11:11" x14ac:dyDescent="0.3">
      <c r="K645" s="9"/>
    </row>
    <row r="646" spans="11:11" x14ac:dyDescent="0.3">
      <c r="K646" s="9"/>
    </row>
    <row r="647" spans="11:11" x14ac:dyDescent="0.3">
      <c r="K647" s="9"/>
    </row>
    <row r="648" spans="11:11" x14ac:dyDescent="0.3">
      <c r="K648" s="9"/>
    </row>
    <row r="649" spans="11:11" x14ac:dyDescent="0.3">
      <c r="K649" s="9"/>
    </row>
    <row r="650" spans="11:11" x14ac:dyDescent="0.3">
      <c r="K650" s="9"/>
    </row>
    <row r="651" spans="11:11" x14ac:dyDescent="0.3">
      <c r="K651" s="9"/>
    </row>
    <row r="652" spans="11:11" x14ac:dyDescent="0.3">
      <c r="K652" s="9"/>
    </row>
    <row r="653" spans="11:11" x14ac:dyDescent="0.3">
      <c r="K653" s="9"/>
    </row>
    <row r="654" spans="11:11" x14ac:dyDescent="0.3">
      <c r="K654" s="9"/>
    </row>
    <row r="655" spans="11:11" x14ac:dyDescent="0.3">
      <c r="K655" s="9"/>
    </row>
    <row r="656" spans="11:11" x14ac:dyDescent="0.3">
      <c r="K656" s="9"/>
    </row>
    <row r="657" spans="11:11" x14ac:dyDescent="0.3">
      <c r="K657" s="9"/>
    </row>
    <row r="658" spans="11:11" x14ac:dyDescent="0.3">
      <c r="K658" s="9"/>
    </row>
    <row r="659" spans="11:11" x14ac:dyDescent="0.3">
      <c r="K659" s="9"/>
    </row>
    <row r="660" spans="11:11" x14ac:dyDescent="0.3">
      <c r="K660" s="9"/>
    </row>
    <row r="661" spans="11:11" x14ac:dyDescent="0.3">
      <c r="K661" s="9"/>
    </row>
    <row r="662" spans="11:11" x14ac:dyDescent="0.3">
      <c r="K662" s="9"/>
    </row>
    <row r="663" spans="11:11" x14ac:dyDescent="0.3">
      <c r="K663" s="9"/>
    </row>
    <row r="664" spans="11:11" x14ac:dyDescent="0.3">
      <c r="K664" s="9"/>
    </row>
    <row r="665" spans="11:11" x14ac:dyDescent="0.3">
      <c r="K665" s="9"/>
    </row>
    <row r="666" spans="11:11" x14ac:dyDescent="0.3">
      <c r="K666" s="9"/>
    </row>
    <row r="667" spans="11:11" x14ac:dyDescent="0.3">
      <c r="K667" s="9"/>
    </row>
    <row r="668" spans="11:11" x14ac:dyDescent="0.3">
      <c r="K668" s="9"/>
    </row>
    <row r="669" spans="11:11" x14ac:dyDescent="0.3">
      <c r="K669" s="9"/>
    </row>
    <row r="670" spans="11:11" x14ac:dyDescent="0.3">
      <c r="K670" s="9"/>
    </row>
    <row r="671" spans="11:11" x14ac:dyDescent="0.3">
      <c r="K671" s="9"/>
    </row>
    <row r="672" spans="11:11" x14ac:dyDescent="0.3">
      <c r="K672" s="9"/>
    </row>
    <row r="673" spans="11:11" x14ac:dyDescent="0.3">
      <c r="K673" s="9"/>
    </row>
    <row r="674" spans="11:11" x14ac:dyDescent="0.3">
      <c r="K674" s="9"/>
    </row>
    <row r="675" spans="11:11" x14ac:dyDescent="0.3">
      <c r="K675" s="9"/>
    </row>
    <row r="676" spans="11:11" x14ac:dyDescent="0.3">
      <c r="K676" s="9"/>
    </row>
    <row r="677" spans="11:11" x14ac:dyDescent="0.3">
      <c r="K677" s="9"/>
    </row>
    <row r="678" spans="11:11" x14ac:dyDescent="0.3">
      <c r="K678" s="9"/>
    </row>
    <row r="679" spans="11:11" x14ac:dyDescent="0.3">
      <c r="K679" s="9"/>
    </row>
    <row r="680" spans="11:11" x14ac:dyDescent="0.3">
      <c r="K680" s="9"/>
    </row>
    <row r="681" spans="11:11" x14ac:dyDescent="0.3">
      <c r="K681" s="9"/>
    </row>
    <row r="682" spans="11:11" x14ac:dyDescent="0.3">
      <c r="K682" s="9"/>
    </row>
    <row r="683" spans="11:11" x14ac:dyDescent="0.3">
      <c r="K683" s="9"/>
    </row>
    <row r="684" spans="11:11" x14ac:dyDescent="0.3">
      <c r="K684" s="9"/>
    </row>
    <row r="685" spans="11:11" x14ac:dyDescent="0.3">
      <c r="K685" s="9"/>
    </row>
    <row r="686" spans="11:11" x14ac:dyDescent="0.3">
      <c r="K686" s="9"/>
    </row>
    <row r="687" spans="11:11" x14ac:dyDescent="0.3">
      <c r="K687" s="9"/>
    </row>
    <row r="688" spans="11:11" x14ac:dyDescent="0.3">
      <c r="K688" s="9"/>
    </row>
    <row r="689" spans="11:11" x14ac:dyDescent="0.3">
      <c r="K689" s="9"/>
    </row>
    <row r="690" spans="11:11" x14ac:dyDescent="0.3">
      <c r="K690" s="9"/>
    </row>
    <row r="691" spans="11:11" x14ac:dyDescent="0.3">
      <c r="K691" s="9"/>
    </row>
    <row r="692" spans="11:11" x14ac:dyDescent="0.3">
      <c r="K692" s="9"/>
    </row>
    <row r="693" spans="11:11" x14ac:dyDescent="0.3">
      <c r="K693" s="9"/>
    </row>
    <row r="694" spans="11:11" x14ac:dyDescent="0.3">
      <c r="K694" s="9"/>
    </row>
    <row r="695" spans="11:11" x14ac:dyDescent="0.3">
      <c r="K695" s="9"/>
    </row>
    <row r="696" spans="11:11" x14ac:dyDescent="0.3">
      <c r="K696" s="9"/>
    </row>
    <row r="697" spans="11:11" x14ac:dyDescent="0.3">
      <c r="K697" s="9"/>
    </row>
    <row r="698" spans="11:11" x14ac:dyDescent="0.3">
      <c r="K698" s="9"/>
    </row>
    <row r="699" spans="11:11" x14ac:dyDescent="0.3">
      <c r="K699" s="9"/>
    </row>
    <row r="700" spans="11:11" x14ac:dyDescent="0.3">
      <c r="K700" s="9"/>
    </row>
    <row r="701" spans="11:11" x14ac:dyDescent="0.3">
      <c r="K701" s="9"/>
    </row>
    <row r="702" spans="11:11" x14ac:dyDescent="0.3">
      <c r="K702" s="9"/>
    </row>
    <row r="703" spans="11:11" x14ac:dyDescent="0.3">
      <c r="K703" s="9"/>
    </row>
    <row r="704" spans="11:11" x14ac:dyDescent="0.3">
      <c r="K704" s="9"/>
    </row>
    <row r="705" spans="11:11" x14ac:dyDescent="0.3">
      <c r="K705" s="9"/>
    </row>
    <row r="706" spans="11:11" x14ac:dyDescent="0.3">
      <c r="K706" s="9"/>
    </row>
    <row r="707" spans="11:11" x14ac:dyDescent="0.3">
      <c r="K707" s="9"/>
    </row>
    <row r="708" spans="11:11" x14ac:dyDescent="0.3">
      <c r="K708" s="9"/>
    </row>
    <row r="709" spans="11:11" x14ac:dyDescent="0.3">
      <c r="K709" s="9"/>
    </row>
    <row r="710" spans="11:11" x14ac:dyDescent="0.3">
      <c r="K710" s="9"/>
    </row>
    <row r="711" spans="11:11" x14ac:dyDescent="0.3">
      <c r="K711" s="9"/>
    </row>
    <row r="712" spans="11:11" x14ac:dyDescent="0.3">
      <c r="K712" s="9"/>
    </row>
    <row r="713" spans="11:11" x14ac:dyDescent="0.3">
      <c r="K713" s="9"/>
    </row>
    <row r="714" spans="11:11" x14ac:dyDescent="0.3">
      <c r="K714" s="9"/>
    </row>
    <row r="715" spans="11:11" x14ac:dyDescent="0.3">
      <c r="K715" s="9"/>
    </row>
    <row r="716" spans="11:11" x14ac:dyDescent="0.3">
      <c r="K716" s="9"/>
    </row>
    <row r="717" spans="11:11" x14ac:dyDescent="0.3">
      <c r="K717" s="9"/>
    </row>
    <row r="718" spans="11:11" x14ac:dyDescent="0.3">
      <c r="K718" s="9"/>
    </row>
    <row r="719" spans="11:11" x14ac:dyDescent="0.3">
      <c r="K719" s="9"/>
    </row>
    <row r="720" spans="11:11" x14ac:dyDescent="0.3">
      <c r="K720" s="9"/>
    </row>
    <row r="721" spans="11:11" x14ac:dyDescent="0.3">
      <c r="K721" s="9"/>
    </row>
    <row r="722" spans="11:11" x14ac:dyDescent="0.3">
      <c r="K722" s="9"/>
    </row>
    <row r="723" spans="11:11" x14ac:dyDescent="0.3">
      <c r="K723" s="9"/>
    </row>
    <row r="724" spans="11:11" x14ac:dyDescent="0.3">
      <c r="K724" s="9"/>
    </row>
    <row r="725" spans="11:11" x14ac:dyDescent="0.3">
      <c r="K725" s="9"/>
    </row>
    <row r="726" spans="11:11" x14ac:dyDescent="0.3">
      <c r="K726" s="9"/>
    </row>
    <row r="727" spans="11:11" x14ac:dyDescent="0.3">
      <c r="K727" s="9"/>
    </row>
    <row r="728" spans="11:11" x14ac:dyDescent="0.3">
      <c r="K728" s="9"/>
    </row>
    <row r="729" spans="11:11" x14ac:dyDescent="0.3">
      <c r="K729" s="9"/>
    </row>
    <row r="730" spans="11:11" x14ac:dyDescent="0.3">
      <c r="K730" s="9"/>
    </row>
    <row r="731" spans="11:11" x14ac:dyDescent="0.3">
      <c r="K731" s="9"/>
    </row>
    <row r="732" spans="11:11" x14ac:dyDescent="0.3">
      <c r="K732" s="9"/>
    </row>
    <row r="733" spans="11:11" x14ac:dyDescent="0.3">
      <c r="K733" s="9"/>
    </row>
    <row r="734" spans="11:11" x14ac:dyDescent="0.3">
      <c r="K734" s="9"/>
    </row>
    <row r="735" spans="11:11" x14ac:dyDescent="0.3">
      <c r="K735" s="9"/>
    </row>
    <row r="736" spans="11:11" x14ac:dyDescent="0.3">
      <c r="K736" s="9"/>
    </row>
    <row r="737" spans="11:11" x14ac:dyDescent="0.3">
      <c r="K737" s="9"/>
    </row>
    <row r="738" spans="11:11" x14ac:dyDescent="0.3">
      <c r="K738" s="9"/>
    </row>
    <row r="739" spans="11:11" x14ac:dyDescent="0.3">
      <c r="K739" s="9"/>
    </row>
    <row r="740" spans="11:11" x14ac:dyDescent="0.3">
      <c r="K740" s="9"/>
    </row>
    <row r="741" spans="11:11" x14ac:dyDescent="0.3">
      <c r="K741" s="9"/>
    </row>
    <row r="742" spans="11:11" x14ac:dyDescent="0.3">
      <c r="K742" s="9"/>
    </row>
    <row r="743" spans="11:11" x14ac:dyDescent="0.3">
      <c r="K743" s="9"/>
    </row>
    <row r="744" spans="11:11" x14ac:dyDescent="0.3">
      <c r="K744" s="9"/>
    </row>
    <row r="745" spans="11:11" x14ac:dyDescent="0.3">
      <c r="K745" s="9"/>
    </row>
    <row r="746" spans="11:11" x14ac:dyDescent="0.3">
      <c r="K746" s="9"/>
    </row>
    <row r="747" spans="11:11" x14ac:dyDescent="0.3">
      <c r="K747" s="9"/>
    </row>
    <row r="748" spans="11:11" x14ac:dyDescent="0.3">
      <c r="K748" s="9"/>
    </row>
    <row r="749" spans="11:11" x14ac:dyDescent="0.3">
      <c r="K749" s="9"/>
    </row>
    <row r="750" spans="11:11" x14ac:dyDescent="0.3">
      <c r="K750" s="9"/>
    </row>
    <row r="751" spans="11:11" x14ac:dyDescent="0.3">
      <c r="K751" s="9"/>
    </row>
    <row r="752" spans="11:11" x14ac:dyDescent="0.3">
      <c r="K752" s="9"/>
    </row>
    <row r="753" spans="11:11" x14ac:dyDescent="0.3">
      <c r="K753" s="9"/>
    </row>
    <row r="754" spans="11:11" x14ac:dyDescent="0.3">
      <c r="K754" s="9"/>
    </row>
    <row r="755" spans="11:11" x14ac:dyDescent="0.3">
      <c r="K755" s="9"/>
    </row>
    <row r="756" spans="11:11" x14ac:dyDescent="0.3">
      <c r="K756" s="9"/>
    </row>
    <row r="757" spans="11:11" x14ac:dyDescent="0.3">
      <c r="K757" s="9"/>
    </row>
    <row r="758" spans="11:11" x14ac:dyDescent="0.3">
      <c r="K758" s="9"/>
    </row>
    <row r="759" spans="11:11" x14ac:dyDescent="0.3">
      <c r="K759" s="9"/>
    </row>
    <row r="760" spans="11:11" x14ac:dyDescent="0.3">
      <c r="K760" s="9"/>
    </row>
    <row r="761" spans="11:11" x14ac:dyDescent="0.3">
      <c r="K761" s="9"/>
    </row>
    <row r="762" spans="11:11" x14ac:dyDescent="0.3">
      <c r="K762" s="9"/>
    </row>
    <row r="763" spans="11:11" x14ac:dyDescent="0.3">
      <c r="K763" s="9"/>
    </row>
    <row r="764" spans="11:11" x14ac:dyDescent="0.3">
      <c r="K764" s="9"/>
    </row>
    <row r="765" spans="11:11" x14ac:dyDescent="0.3">
      <c r="K765" s="9"/>
    </row>
    <row r="766" spans="11:11" x14ac:dyDescent="0.3">
      <c r="K766" s="9"/>
    </row>
    <row r="767" spans="11:11" x14ac:dyDescent="0.3">
      <c r="K767" s="9"/>
    </row>
    <row r="768" spans="11:11" x14ac:dyDescent="0.3">
      <c r="K768" s="9"/>
    </row>
    <row r="769" spans="11:11" x14ac:dyDescent="0.3">
      <c r="K769" s="9"/>
    </row>
    <row r="770" spans="11:11" x14ac:dyDescent="0.3">
      <c r="K770" s="9"/>
    </row>
    <row r="771" spans="11:11" x14ac:dyDescent="0.3">
      <c r="K771" s="9"/>
    </row>
    <row r="772" spans="11:11" x14ac:dyDescent="0.3">
      <c r="K772" s="9"/>
    </row>
    <row r="773" spans="11:11" x14ac:dyDescent="0.3">
      <c r="K773" s="9"/>
    </row>
    <row r="774" spans="11:11" x14ac:dyDescent="0.3">
      <c r="K774" s="9"/>
    </row>
    <row r="775" spans="11:11" x14ac:dyDescent="0.3">
      <c r="K775" s="9"/>
    </row>
    <row r="776" spans="11:11" x14ac:dyDescent="0.3">
      <c r="K776" s="9"/>
    </row>
    <row r="777" spans="11:11" x14ac:dyDescent="0.3">
      <c r="K777" s="9"/>
    </row>
    <row r="778" spans="11:11" x14ac:dyDescent="0.3">
      <c r="K778" s="9"/>
    </row>
    <row r="779" spans="11:11" x14ac:dyDescent="0.3">
      <c r="K779" s="9"/>
    </row>
    <row r="780" spans="11:11" x14ac:dyDescent="0.3">
      <c r="K780" s="9"/>
    </row>
    <row r="781" spans="11:11" x14ac:dyDescent="0.3">
      <c r="K781" s="9"/>
    </row>
    <row r="782" spans="11:11" x14ac:dyDescent="0.3">
      <c r="K782" s="9"/>
    </row>
    <row r="783" spans="11:11" x14ac:dyDescent="0.3">
      <c r="K783" s="9"/>
    </row>
    <row r="784" spans="11:11" x14ac:dyDescent="0.3">
      <c r="K784" s="9"/>
    </row>
    <row r="785" spans="11:11" x14ac:dyDescent="0.3">
      <c r="K785" s="9"/>
    </row>
    <row r="786" spans="11:11" x14ac:dyDescent="0.3">
      <c r="K786" s="9"/>
    </row>
    <row r="787" spans="11:11" x14ac:dyDescent="0.3">
      <c r="K787" s="9"/>
    </row>
    <row r="788" spans="11:11" x14ac:dyDescent="0.3">
      <c r="K788" s="9"/>
    </row>
    <row r="789" spans="11:11" x14ac:dyDescent="0.3">
      <c r="K789" s="9"/>
    </row>
    <row r="790" spans="11:11" x14ac:dyDescent="0.3">
      <c r="K790" s="9"/>
    </row>
    <row r="791" spans="11:11" x14ac:dyDescent="0.3">
      <c r="K791" s="9"/>
    </row>
    <row r="792" spans="11:11" x14ac:dyDescent="0.3">
      <c r="K792" s="9"/>
    </row>
    <row r="793" spans="11:11" x14ac:dyDescent="0.3">
      <c r="K793" s="9"/>
    </row>
    <row r="794" spans="11:11" x14ac:dyDescent="0.3">
      <c r="K794" s="9"/>
    </row>
    <row r="795" spans="11:11" x14ac:dyDescent="0.3">
      <c r="K795" s="9"/>
    </row>
    <row r="796" spans="11:11" x14ac:dyDescent="0.3">
      <c r="K796" s="9"/>
    </row>
    <row r="797" spans="11:11" x14ac:dyDescent="0.3">
      <c r="K797" s="9"/>
    </row>
    <row r="798" spans="11:11" x14ac:dyDescent="0.3">
      <c r="K798" s="9"/>
    </row>
    <row r="799" spans="11:11" x14ac:dyDescent="0.3">
      <c r="K799" s="9"/>
    </row>
    <row r="800" spans="11:11" x14ac:dyDescent="0.3">
      <c r="K800" s="9"/>
    </row>
    <row r="801" spans="11:11" x14ac:dyDescent="0.3">
      <c r="K801" s="9"/>
    </row>
    <row r="802" spans="11:11" x14ac:dyDescent="0.3">
      <c r="K802" s="9"/>
    </row>
    <row r="803" spans="11:11" x14ac:dyDescent="0.3">
      <c r="K803" s="9"/>
    </row>
    <row r="804" spans="11:11" x14ac:dyDescent="0.3">
      <c r="K804" s="9"/>
    </row>
    <row r="805" spans="11:11" x14ac:dyDescent="0.3">
      <c r="K805" s="9"/>
    </row>
    <row r="806" spans="11:11" x14ac:dyDescent="0.3">
      <c r="K806" s="9"/>
    </row>
    <row r="807" spans="11:11" x14ac:dyDescent="0.3">
      <c r="K807" s="9"/>
    </row>
    <row r="808" spans="11:11" x14ac:dyDescent="0.3">
      <c r="K808" s="9"/>
    </row>
    <row r="809" spans="11:11" x14ac:dyDescent="0.3">
      <c r="K809" s="9"/>
    </row>
    <row r="810" spans="11:11" x14ac:dyDescent="0.3">
      <c r="K810" s="9"/>
    </row>
    <row r="811" spans="11:11" x14ac:dyDescent="0.3">
      <c r="K811" s="9"/>
    </row>
    <row r="812" spans="11:11" x14ac:dyDescent="0.3">
      <c r="K812" s="9"/>
    </row>
    <row r="813" spans="11:11" x14ac:dyDescent="0.3">
      <c r="K813" s="9"/>
    </row>
    <row r="814" spans="11:11" x14ac:dyDescent="0.3">
      <c r="K814" s="9"/>
    </row>
    <row r="815" spans="11:11" x14ac:dyDescent="0.3">
      <c r="K815" s="9"/>
    </row>
    <row r="816" spans="11:11" x14ac:dyDescent="0.3">
      <c r="K816" s="9"/>
    </row>
    <row r="817" spans="11:11" x14ac:dyDescent="0.3">
      <c r="K817" s="9"/>
    </row>
    <row r="818" spans="11:11" x14ac:dyDescent="0.3">
      <c r="K818" s="9"/>
    </row>
    <row r="819" spans="11:11" x14ac:dyDescent="0.3">
      <c r="K819" s="9"/>
    </row>
    <row r="820" spans="11:11" x14ac:dyDescent="0.3">
      <c r="K820" s="9"/>
    </row>
    <row r="821" spans="11:11" x14ac:dyDescent="0.3">
      <c r="K821" s="9"/>
    </row>
    <row r="822" spans="11:11" x14ac:dyDescent="0.3">
      <c r="K822" s="9"/>
    </row>
    <row r="823" spans="11:11" x14ac:dyDescent="0.3">
      <c r="K823" s="9"/>
    </row>
    <row r="824" spans="11:11" x14ac:dyDescent="0.3">
      <c r="K824" s="9"/>
    </row>
    <row r="825" spans="11:11" x14ac:dyDescent="0.3">
      <c r="K825" s="9"/>
    </row>
    <row r="826" spans="11:11" x14ac:dyDescent="0.3">
      <c r="K826" s="9"/>
    </row>
    <row r="827" spans="11:11" x14ac:dyDescent="0.3">
      <c r="K827" s="9"/>
    </row>
    <row r="828" spans="11:11" x14ac:dyDescent="0.3">
      <c r="K828" s="9"/>
    </row>
    <row r="829" spans="11:11" x14ac:dyDescent="0.3">
      <c r="K829" s="9"/>
    </row>
    <row r="830" spans="11:11" x14ac:dyDescent="0.3">
      <c r="K830" s="9"/>
    </row>
    <row r="831" spans="11:11" x14ac:dyDescent="0.3">
      <c r="K831" s="9"/>
    </row>
    <row r="832" spans="11:11" x14ac:dyDescent="0.3">
      <c r="K832" s="9"/>
    </row>
    <row r="833" spans="11:11" x14ac:dyDescent="0.3">
      <c r="K833" s="9"/>
    </row>
    <row r="834" spans="11:11" x14ac:dyDescent="0.3">
      <c r="K834" s="9"/>
    </row>
    <row r="835" spans="11:11" x14ac:dyDescent="0.3">
      <c r="K835" s="9"/>
    </row>
    <row r="836" spans="11:11" x14ac:dyDescent="0.3">
      <c r="K836" s="9"/>
    </row>
    <row r="837" spans="11:11" x14ac:dyDescent="0.3">
      <c r="K837" s="9"/>
    </row>
    <row r="838" spans="11:11" x14ac:dyDescent="0.3">
      <c r="K838" s="9"/>
    </row>
    <row r="839" spans="11:11" x14ac:dyDescent="0.3">
      <c r="K839" s="9"/>
    </row>
    <row r="840" spans="11:11" x14ac:dyDescent="0.3">
      <c r="K840" s="9"/>
    </row>
    <row r="841" spans="11:11" x14ac:dyDescent="0.3">
      <c r="K841" s="9"/>
    </row>
    <row r="842" spans="11:11" x14ac:dyDescent="0.3">
      <c r="K842" s="9"/>
    </row>
    <row r="843" spans="11:11" x14ac:dyDescent="0.3">
      <c r="K843" s="9"/>
    </row>
    <row r="844" spans="11:11" x14ac:dyDescent="0.3">
      <c r="K844" s="9"/>
    </row>
    <row r="845" spans="11:11" x14ac:dyDescent="0.3">
      <c r="K845" s="9"/>
    </row>
    <row r="846" spans="11:11" x14ac:dyDescent="0.3">
      <c r="K846" s="9"/>
    </row>
    <row r="847" spans="11:11" x14ac:dyDescent="0.3">
      <c r="K847" s="9"/>
    </row>
    <row r="848" spans="11:11" x14ac:dyDescent="0.3">
      <c r="K848" s="9"/>
    </row>
    <row r="849" spans="11:11" x14ac:dyDescent="0.3">
      <c r="K849" s="9"/>
    </row>
    <row r="850" spans="11:11" x14ac:dyDescent="0.3">
      <c r="K850" s="9"/>
    </row>
    <row r="851" spans="11:11" x14ac:dyDescent="0.3">
      <c r="K851" s="9"/>
    </row>
    <row r="852" spans="11:11" x14ac:dyDescent="0.3">
      <c r="K852" s="9"/>
    </row>
    <row r="853" spans="11:11" x14ac:dyDescent="0.3">
      <c r="K853" s="9"/>
    </row>
    <row r="854" spans="11:11" x14ac:dyDescent="0.3">
      <c r="K854" s="9"/>
    </row>
    <row r="855" spans="11:11" x14ac:dyDescent="0.3">
      <c r="K855" s="9"/>
    </row>
    <row r="856" spans="11:11" x14ac:dyDescent="0.3">
      <c r="K856" s="9"/>
    </row>
    <row r="857" spans="11:11" x14ac:dyDescent="0.3">
      <c r="K857" s="9"/>
    </row>
    <row r="858" spans="11:11" x14ac:dyDescent="0.3">
      <c r="K858" s="9"/>
    </row>
    <row r="859" spans="11:11" x14ac:dyDescent="0.3">
      <c r="K859" s="9"/>
    </row>
    <row r="860" spans="11:11" x14ac:dyDescent="0.3">
      <c r="K860" s="9"/>
    </row>
    <row r="861" spans="11:11" x14ac:dyDescent="0.3">
      <c r="K861" s="9"/>
    </row>
    <row r="862" spans="11:11" x14ac:dyDescent="0.3">
      <c r="K862" s="9"/>
    </row>
    <row r="863" spans="11:11" x14ac:dyDescent="0.3">
      <c r="K863" s="9"/>
    </row>
    <row r="864" spans="11:11" x14ac:dyDescent="0.3">
      <c r="K864" s="9"/>
    </row>
    <row r="865" spans="11:11" x14ac:dyDescent="0.3">
      <c r="K865" s="9"/>
    </row>
    <row r="866" spans="11:11" x14ac:dyDescent="0.3">
      <c r="K866" s="9"/>
    </row>
    <row r="867" spans="11:11" x14ac:dyDescent="0.3">
      <c r="K867" s="9"/>
    </row>
    <row r="868" spans="11:11" x14ac:dyDescent="0.3">
      <c r="K868" s="9"/>
    </row>
    <row r="869" spans="11:11" x14ac:dyDescent="0.3">
      <c r="K869" s="9"/>
    </row>
    <row r="870" spans="11:11" x14ac:dyDescent="0.3">
      <c r="K870" s="9"/>
    </row>
    <row r="871" spans="11:11" x14ac:dyDescent="0.3">
      <c r="K871" s="9"/>
    </row>
    <row r="872" spans="11:11" x14ac:dyDescent="0.3">
      <c r="K872" s="9"/>
    </row>
    <row r="873" spans="11:11" x14ac:dyDescent="0.3">
      <c r="K873" s="9"/>
    </row>
    <row r="874" spans="11:11" x14ac:dyDescent="0.3">
      <c r="K874" s="9"/>
    </row>
    <row r="875" spans="11:11" x14ac:dyDescent="0.3">
      <c r="K875" s="9"/>
    </row>
    <row r="876" spans="11:11" x14ac:dyDescent="0.3">
      <c r="K876" s="9"/>
    </row>
    <row r="877" spans="11:11" x14ac:dyDescent="0.3">
      <c r="K877" s="9"/>
    </row>
    <row r="878" spans="11:11" x14ac:dyDescent="0.3">
      <c r="K878" s="9"/>
    </row>
    <row r="879" spans="11:11" x14ac:dyDescent="0.3">
      <c r="K879" s="9"/>
    </row>
    <row r="880" spans="11:11" x14ac:dyDescent="0.3">
      <c r="K880" s="9"/>
    </row>
    <row r="881" spans="11:11" x14ac:dyDescent="0.3">
      <c r="K881" s="9"/>
    </row>
    <row r="882" spans="11:11" x14ac:dyDescent="0.3">
      <c r="K882" s="9"/>
    </row>
    <row r="883" spans="11:11" x14ac:dyDescent="0.3">
      <c r="K883" s="9"/>
    </row>
    <row r="884" spans="11:11" x14ac:dyDescent="0.3">
      <c r="K884" s="9"/>
    </row>
    <row r="885" spans="11:11" x14ac:dyDescent="0.3">
      <c r="K885" s="9"/>
    </row>
    <row r="886" spans="11:11" x14ac:dyDescent="0.3">
      <c r="K886" s="9"/>
    </row>
    <row r="887" spans="11:11" x14ac:dyDescent="0.3">
      <c r="K887" s="9"/>
    </row>
    <row r="888" spans="11:11" x14ac:dyDescent="0.3">
      <c r="K888" s="9"/>
    </row>
    <row r="889" spans="11:11" x14ac:dyDescent="0.3">
      <c r="K889" s="9"/>
    </row>
    <row r="890" spans="11:11" x14ac:dyDescent="0.3">
      <c r="K890" s="9"/>
    </row>
    <row r="891" spans="11:11" x14ac:dyDescent="0.3">
      <c r="K891" s="9"/>
    </row>
    <row r="892" spans="11:11" x14ac:dyDescent="0.3">
      <c r="K892" s="9"/>
    </row>
    <row r="893" spans="11:11" x14ac:dyDescent="0.3">
      <c r="K893" s="9"/>
    </row>
    <row r="894" spans="11:11" x14ac:dyDescent="0.3">
      <c r="K894" s="9"/>
    </row>
    <row r="895" spans="11:11" x14ac:dyDescent="0.3">
      <c r="K895" s="9"/>
    </row>
    <row r="896" spans="11:11" x14ac:dyDescent="0.3">
      <c r="K896" s="9"/>
    </row>
    <row r="897" spans="11:11" x14ac:dyDescent="0.3">
      <c r="K897" s="9"/>
    </row>
    <row r="898" spans="11:11" x14ac:dyDescent="0.3">
      <c r="K898" s="9"/>
    </row>
    <row r="899" spans="11:11" x14ac:dyDescent="0.3">
      <c r="K899" s="9"/>
    </row>
    <row r="900" spans="11:11" x14ac:dyDescent="0.3">
      <c r="K900" s="9"/>
    </row>
    <row r="901" spans="11:11" x14ac:dyDescent="0.3">
      <c r="K901" s="9"/>
    </row>
    <row r="902" spans="11:11" x14ac:dyDescent="0.3">
      <c r="K902" s="9"/>
    </row>
    <row r="903" spans="11:11" x14ac:dyDescent="0.3">
      <c r="K903" s="9"/>
    </row>
    <row r="904" spans="11:11" x14ac:dyDescent="0.3">
      <c r="K904" s="9"/>
    </row>
    <row r="905" spans="11:11" x14ac:dyDescent="0.3">
      <c r="K905" s="9"/>
    </row>
    <row r="906" spans="11:11" x14ac:dyDescent="0.3">
      <c r="K906" s="9"/>
    </row>
    <row r="907" spans="11:11" x14ac:dyDescent="0.3">
      <c r="K907" s="9"/>
    </row>
    <row r="908" spans="11:11" x14ac:dyDescent="0.3">
      <c r="K908" s="9"/>
    </row>
    <row r="909" spans="11:11" x14ac:dyDescent="0.3">
      <c r="K909" s="9"/>
    </row>
    <row r="910" spans="11:11" x14ac:dyDescent="0.3">
      <c r="K910" s="9"/>
    </row>
    <row r="911" spans="11:11" x14ac:dyDescent="0.3">
      <c r="K911" s="9"/>
    </row>
    <row r="912" spans="11:11" x14ac:dyDescent="0.3">
      <c r="K912" s="9"/>
    </row>
    <row r="913" spans="11:11" x14ac:dyDescent="0.3">
      <c r="K913" s="9"/>
    </row>
    <row r="914" spans="11:11" x14ac:dyDescent="0.3">
      <c r="K914" s="9"/>
    </row>
    <row r="915" spans="11:11" x14ac:dyDescent="0.3">
      <c r="K915" s="9"/>
    </row>
    <row r="916" spans="11:11" x14ac:dyDescent="0.3">
      <c r="K916" s="9"/>
    </row>
    <row r="917" spans="11:11" x14ac:dyDescent="0.3">
      <c r="K917" s="9"/>
    </row>
    <row r="918" spans="11:11" x14ac:dyDescent="0.3">
      <c r="K918" s="9"/>
    </row>
    <row r="919" spans="11:11" x14ac:dyDescent="0.3">
      <c r="K919" s="9"/>
    </row>
    <row r="920" spans="11:11" x14ac:dyDescent="0.3">
      <c r="K920" s="9"/>
    </row>
    <row r="921" spans="11:11" x14ac:dyDescent="0.3">
      <c r="K921" s="9"/>
    </row>
    <row r="922" spans="11:11" x14ac:dyDescent="0.3">
      <c r="K922" s="9"/>
    </row>
    <row r="923" spans="11:11" x14ac:dyDescent="0.3">
      <c r="K923" s="9"/>
    </row>
    <row r="924" spans="11:11" x14ac:dyDescent="0.3">
      <c r="K924" s="9"/>
    </row>
    <row r="925" spans="11:11" x14ac:dyDescent="0.3">
      <c r="K925" s="9"/>
    </row>
    <row r="926" spans="11:11" x14ac:dyDescent="0.3">
      <c r="K926" s="9"/>
    </row>
    <row r="927" spans="11:11" x14ac:dyDescent="0.3">
      <c r="K927" s="9"/>
    </row>
    <row r="928" spans="11:11" x14ac:dyDescent="0.3">
      <c r="K928" s="9"/>
    </row>
    <row r="929" spans="11:11" x14ac:dyDescent="0.3">
      <c r="K929" s="9"/>
    </row>
    <row r="930" spans="11:11" x14ac:dyDescent="0.3">
      <c r="K930" s="9"/>
    </row>
    <row r="931" spans="11:11" x14ac:dyDescent="0.3">
      <c r="K931" s="9"/>
    </row>
    <row r="932" spans="11:11" x14ac:dyDescent="0.3">
      <c r="K932" s="9"/>
    </row>
    <row r="933" spans="11:11" x14ac:dyDescent="0.3">
      <c r="K933" s="9"/>
    </row>
    <row r="934" spans="11:11" x14ac:dyDescent="0.3">
      <c r="K934" s="9"/>
    </row>
    <row r="935" spans="11:11" x14ac:dyDescent="0.3">
      <c r="K935" s="9"/>
    </row>
    <row r="936" spans="11:11" x14ac:dyDescent="0.3">
      <c r="K936" s="9"/>
    </row>
    <row r="937" spans="11:11" x14ac:dyDescent="0.3">
      <c r="K937" s="9"/>
    </row>
    <row r="938" spans="11:11" x14ac:dyDescent="0.3">
      <c r="K938" s="9"/>
    </row>
    <row r="939" spans="11:11" x14ac:dyDescent="0.3">
      <c r="K939" s="9"/>
    </row>
    <row r="940" spans="11:11" x14ac:dyDescent="0.3">
      <c r="K940" s="9"/>
    </row>
    <row r="941" spans="11:11" x14ac:dyDescent="0.3">
      <c r="K941" s="9"/>
    </row>
    <row r="942" spans="11:11" x14ac:dyDescent="0.3">
      <c r="K942" s="9"/>
    </row>
    <row r="943" spans="11:11" x14ac:dyDescent="0.3">
      <c r="K943" s="9"/>
    </row>
    <row r="944" spans="11:11" x14ac:dyDescent="0.3">
      <c r="K944" s="9"/>
    </row>
    <row r="945" spans="11:11" x14ac:dyDescent="0.3">
      <c r="K945" s="9"/>
    </row>
    <row r="946" spans="11:11" x14ac:dyDescent="0.3">
      <c r="K946" s="9"/>
    </row>
    <row r="947" spans="11:11" x14ac:dyDescent="0.3">
      <c r="K947" s="9"/>
    </row>
    <row r="948" spans="11:11" x14ac:dyDescent="0.3">
      <c r="K948" s="9"/>
    </row>
    <row r="949" spans="11:11" x14ac:dyDescent="0.3">
      <c r="K949" s="9"/>
    </row>
    <row r="950" spans="11:11" x14ac:dyDescent="0.3">
      <c r="K950" s="9"/>
    </row>
    <row r="951" spans="11:11" x14ac:dyDescent="0.3">
      <c r="K951" s="9"/>
    </row>
    <row r="952" spans="11:11" x14ac:dyDescent="0.3">
      <c r="K952" s="9"/>
    </row>
    <row r="953" spans="11:11" x14ac:dyDescent="0.3">
      <c r="K953" s="9"/>
    </row>
    <row r="954" spans="11:11" x14ac:dyDescent="0.3">
      <c r="K954" s="9"/>
    </row>
    <row r="955" spans="11:11" x14ac:dyDescent="0.3">
      <c r="K955" s="9"/>
    </row>
    <row r="956" spans="11:11" x14ac:dyDescent="0.3">
      <c r="K956" s="9"/>
    </row>
    <row r="957" spans="11:11" x14ac:dyDescent="0.3">
      <c r="K957" s="9"/>
    </row>
    <row r="958" spans="11:11" x14ac:dyDescent="0.3">
      <c r="K958" s="9"/>
    </row>
    <row r="959" spans="11:11" x14ac:dyDescent="0.3">
      <c r="K959" s="9"/>
    </row>
    <row r="960" spans="11:11" x14ac:dyDescent="0.3">
      <c r="K960" s="9"/>
    </row>
    <row r="961" spans="11:11" x14ac:dyDescent="0.3">
      <c r="K961" s="9"/>
    </row>
    <row r="962" spans="11:11" x14ac:dyDescent="0.3">
      <c r="K962" s="9"/>
    </row>
    <row r="963" spans="11:11" x14ac:dyDescent="0.3">
      <c r="K963" s="9"/>
    </row>
    <row r="964" spans="11:11" x14ac:dyDescent="0.3">
      <c r="K964" s="9"/>
    </row>
    <row r="965" spans="11:11" x14ac:dyDescent="0.3">
      <c r="K965" s="9"/>
    </row>
    <row r="966" spans="11:11" x14ac:dyDescent="0.3">
      <c r="K966" s="9"/>
    </row>
    <row r="967" spans="11:11" x14ac:dyDescent="0.3">
      <c r="K967" s="9"/>
    </row>
    <row r="968" spans="11:11" x14ac:dyDescent="0.3">
      <c r="K968" s="9"/>
    </row>
    <row r="969" spans="11:11" x14ac:dyDescent="0.3">
      <c r="K969" s="9"/>
    </row>
    <row r="970" spans="11:11" x14ac:dyDescent="0.3">
      <c r="K970" s="9"/>
    </row>
    <row r="971" spans="11:11" x14ac:dyDescent="0.3">
      <c r="K971" s="9"/>
    </row>
    <row r="972" spans="11:11" x14ac:dyDescent="0.3">
      <c r="K972" s="9"/>
    </row>
    <row r="973" spans="11:11" x14ac:dyDescent="0.3">
      <c r="K973" s="9"/>
    </row>
    <row r="974" spans="11:11" x14ac:dyDescent="0.3">
      <c r="K974" s="9"/>
    </row>
  </sheetData>
  <mergeCells count="11">
    <mergeCell ref="AF2:AH2"/>
    <mergeCell ref="AC32:AD32"/>
    <mergeCell ref="AC2:AD2"/>
    <mergeCell ref="AC14:AD14"/>
    <mergeCell ref="AC15:AD15"/>
    <mergeCell ref="AC17:AD17"/>
    <mergeCell ref="AC33:AD33"/>
    <mergeCell ref="AC26:AD26"/>
    <mergeCell ref="AC27:AD27"/>
    <mergeCell ref="AC29:AD29"/>
    <mergeCell ref="AC30:AD30"/>
  </mergeCells>
  <conditionalFormatting sqref="A1">
    <cfRule type="duplicateValues" dxfId="17" priority="8"/>
  </conditionalFormatting>
  <conditionalFormatting sqref="A2:A501">
    <cfRule type="duplicateValues" dxfId="16" priority="7"/>
  </conditionalFormatting>
  <conditionalFormatting sqref="O2:O501">
    <cfRule type="containsText" dxfId="15" priority="5" operator="containsText" text="yes">
      <formula>NOT(ISERROR(SEARCH("yes",O2)))</formula>
    </cfRule>
  </conditionalFormatting>
  <conditionalFormatting sqref="J2:J501">
    <cfRule type="top10" dxfId="14" priority="4" rank="10"/>
  </conditionalFormatting>
  <conditionalFormatting sqref="L2:L501">
    <cfRule type="colorScale" priority="1">
      <colorScale>
        <cfvo type="min"/>
        <cfvo type="percentile" val="50"/>
        <cfvo type="max"/>
        <color rgb="FFF8696B"/>
        <color rgb="FFFCFCFF"/>
        <color rgb="FF5A8AC6"/>
      </colorScale>
    </cfRule>
    <cfRule type="colorScale" priority="3">
      <colorScale>
        <cfvo type="min"/>
        <cfvo type="max"/>
        <color theme="9" tint="0.79998168889431442"/>
        <color theme="9" tint="-0.249977111117893"/>
      </colorScale>
    </cfRule>
  </conditionalFormatting>
  <conditionalFormatting sqref="S2:S501">
    <cfRule type="dataBar" priority="2">
      <dataBar>
        <cfvo type="min"/>
        <cfvo type="max"/>
        <color rgb="FF638EC6"/>
      </dataBar>
      <extLst>
        <ext xmlns:x14="http://schemas.microsoft.com/office/spreadsheetml/2009/9/main" uri="{B025F937-C7B1-47D3-B67F-A62EFF666E3E}">
          <x14:id>{043942F4-1CDA-4275-BB07-959B97489EDE}</x14:id>
        </ext>
      </extLst>
    </cfRule>
  </conditionalFormatting>
  <pageMargins left="0.75" right="0.75" top="1" bottom="1" header="0.5" footer="0.5"/>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43942F4-1CDA-4275-BB07-959B97489EDE}">
            <x14:dataBar minLength="0" maxLength="100" border="1" negativeBarBorderColorSameAsPositive="0">
              <x14:cfvo type="autoMin"/>
              <x14:cfvo type="autoMax"/>
              <x14:borderColor rgb="FF638EC6"/>
              <x14:negativeFillColor rgb="FFFF0000"/>
              <x14:negativeBorderColor rgb="FFFF0000"/>
              <x14:axisColor rgb="FF000000"/>
            </x14:dataBar>
          </x14:cfRule>
          <xm:sqref>S2:S501</xm:sqref>
        </x14:conditionalFormatting>
        <x14:conditionalFormatting xmlns:xm="http://schemas.microsoft.com/office/excel/2006/main">
          <x14:cfRule type="containsText" priority="6" operator="containsText" id="{622D7F19-6558-4415-9C17-9CC7852606DF}">
            <xm:f>NOT(ISERROR(SEARCH(Yes,O2)))</xm:f>
            <xm:f>Yes</xm:f>
            <x14:dxf>
              <font>
                <color rgb="FF9C0006"/>
              </font>
              <fill>
                <patternFill>
                  <bgColor rgb="FFFFC7CE"/>
                </patternFill>
              </fill>
            </x14:dxf>
          </x14:cfRule>
          <xm:sqref>O2:O501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5"/>
  <sheetViews>
    <sheetView zoomScale="96" workbookViewId="0">
      <selection activeCell="E7" sqref="E7"/>
    </sheetView>
  </sheetViews>
  <sheetFormatPr defaultRowHeight="14.4" x14ac:dyDescent="0.3"/>
  <cols>
    <col min="1" max="1" width="18.5546875" customWidth="1"/>
    <col min="2" max="2" width="25.5546875" customWidth="1"/>
    <col min="3" max="3" width="26.5546875" customWidth="1"/>
  </cols>
  <sheetData>
    <row r="2" spans="2:6" ht="16.8" customHeight="1" x14ac:dyDescent="0.4">
      <c r="B2" s="27" t="s">
        <v>1114</v>
      </c>
      <c r="C2" s="27"/>
      <c r="D2" s="27"/>
      <c r="E2" s="30"/>
      <c r="F2" s="30"/>
    </row>
    <row r="4" spans="2:6" ht="18" x14ac:dyDescent="0.35">
      <c r="B4" s="18" t="s">
        <v>1113</v>
      </c>
      <c r="C4" s="19" t="s">
        <v>105</v>
      </c>
    </row>
    <row r="5" spans="2:6" ht="18" x14ac:dyDescent="0.35">
      <c r="B5" s="18" t="s">
        <v>1111</v>
      </c>
      <c r="C5" s="16" t="str">
        <f>INDEX(Employees_Data[Employee_Name],MATCH('MINI SEARCH SECTION'!C4,Employees_Data[Employee_ID],0))</f>
        <v>Anaya Chaudhary</v>
      </c>
    </row>
    <row r="6" spans="2:6" ht="18" x14ac:dyDescent="0.35">
      <c r="B6" s="18" t="s">
        <v>4</v>
      </c>
      <c r="C6" s="16" t="str">
        <f>INDEX(Employees_Data[Department],MATCH('MINI SEARCH SECTION'!C4,Employees_Data[Employee_ID],0))</f>
        <v>Operations</v>
      </c>
    </row>
    <row r="7" spans="2:6" ht="18" x14ac:dyDescent="0.35">
      <c r="B7" s="18" t="s">
        <v>9</v>
      </c>
      <c r="C7" s="17">
        <f>INDEX(Employees_Data[Salary],MATCH('MINI SEARCH SECTION'!C4,Employees_Data[Employee_ID],0))</f>
        <v>106351</v>
      </c>
    </row>
    <row r="8" spans="2:6" ht="18" x14ac:dyDescent="0.35">
      <c r="B8" s="18" t="s">
        <v>1112</v>
      </c>
      <c r="C8" s="16">
        <f>INDEX(Employees_Data[Performance_Rating],MATCH('MINI SEARCH SECTION'!C4,Employees_Data[Employee_ID],0))</f>
        <v>2</v>
      </c>
    </row>
    <row r="10" spans="2:6" ht="21" x14ac:dyDescent="0.4">
      <c r="B10" s="29" t="s">
        <v>1119</v>
      </c>
      <c r="C10" s="29"/>
    </row>
    <row r="12" spans="2:6" ht="18" x14ac:dyDescent="0.35">
      <c r="B12" s="18" t="s">
        <v>1115</v>
      </c>
      <c r="C12" s="19" t="s">
        <v>33</v>
      </c>
    </row>
    <row r="13" spans="2:6" ht="18" x14ac:dyDescent="0.35">
      <c r="B13" s="18" t="s">
        <v>1116</v>
      </c>
      <c r="C13" s="16">
        <f>AVERAGEIFS(Employees_Data[Salary],Employees_Data[Department],'MINI SEARCH SECTION'!C12)</f>
        <v>91354.534883720931</v>
      </c>
    </row>
    <row r="14" spans="2:6" ht="18" x14ac:dyDescent="0.35">
      <c r="B14" s="18" t="s">
        <v>1117</v>
      </c>
      <c r="C14" s="16">
        <f>COUNTIFS(Employees_Data[],'MINI SEARCH SECTION'!C12)</f>
        <v>86</v>
      </c>
    </row>
    <row r="15" spans="2:6" ht="18" x14ac:dyDescent="0.35">
      <c r="B15" s="18" t="s">
        <v>1118</v>
      </c>
      <c r="C15" s="17">
        <f>AVERAGEIFS(Employees_Data[Performance_Rating],Employees_Data[Department],'MINI SEARCH SECTION'!C12)</f>
        <v>3.0465116279069768</v>
      </c>
    </row>
  </sheetData>
  <mergeCells count="2">
    <mergeCell ref="B10:C10"/>
    <mergeCell ref="B2:D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Departments!$A$2:$A$7</xm:f>
          </x14:formula1>
          <xm:sqref>C12</xm:sqref>
        </x14:dataValidation>
        <x14:dataValidation type="list" allowBlank="1" showInputMessage="1" showErrorMessage="1">
          <x14:formula1>
            <xm:f>Employees!$A$2:$A$501</xm:f>
          </x14:formula1>
          <xm:sqref>C4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A12" sqref="A12"/>
    </sheetView>
  </sheetViews>
  <sheetFormatPr defaultRowHeight="14.4" x14ac:dyDescent="0.3"/>
  <cols>
    <col min="1" max="2" width="13.6640625" bestFit="1" customWidth="1"/>
  </cols>
  <sheetData>
    <row r="1" spans="1:2" x14ac:dyDescent="0.3">
      <c r="A1" t="s">
        <v>4</v>
      </c>
      <c r="B1" t="s">
        <v>1064</v>
      </c>
    </row>
    <row r="2" spans="1:2" x14ac:dyDescent="0.3">
      <c r="A2" t="s">
        <v>56</v>
      </c>
      <c r="B2" t="s">
        <v>1065</v>
      </c>
    </row>
    <row r="3" spans="1:2" x14ac:dyDescent="0.3">
      <c r="A3" t="s">
        <v>61</v>
      </c>
      <c r="B3" t="s">
        <v>1066</v>
      </c>
    </row>
    <row r="4" spans="1:2" x14ac:dyDescent="0.3">
      <c r="A4" t="s">
        <v>41</v>
      </c>
      <c r="B4" t="s">
        <v>1067</v>
      </c>
    </row>
    <row r="5" spans="1:2" x14ac:dyDescent="0.3">
      <c r="A5" t="s">
        <v>87</v>
      </c>
      <c r="B5" t="s">
        <v>1068</v>
      </c>
    </row>
    <row r="6" spans="1:2" x14ac:dyDescent="0.3">
      <c r="A6" t="s">
        <v>33</v>
      </c>
      <c r="B6" t="s">
        <v>1069</v>
      </c>
    </row>
    <row r="7" spans="1:2" x14ac:dyDescent="0.3">
      <c r="A7" t="s">
        <v>23</v>
      </c>
      <c r="B7" t="s">
        <v>1070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88"/>
  <sheetViews>
    <sheetView workbookViewId="0"/>
  </sheetViews>
  <sheetFormatPr defaultRowHeight="14.4" x14ac:dyDescent="0.3"/>
  <cols>
    <col min="1" max="1" width="17" bestFit="1" customWidth="1"/>
    <col min="2" max="2" width="5" bestFit="1" customWidth="1"/>
    <col min="3" max="3" width="7.33203125" bestFit="1" customWidth="1"/>
    <col min="4" max="4" width="9.77734375" bestFit="1" customWidth="1"/>
  </cols>
  <sheetData>
    <row r="1" spans="1:4" x14ac:dyDescent="0.3">
      <c r="A1" t="s">
        <v>1071</v>
      </c>
      <c r="B1" t="s">
        <v>1072</v>
      </c>
      <c r="C1" t="s">
        <v>1073</v>
      </c>
      <c r="D1" t="s">
        <v>1074</v>
      </c>
    </row>
    <row r="2" spans="1:4" x14ac:dyDescent="0.3">
      <c r="A2" s="2">
        <v>43101</v>
      </c>
      <c r="B2">
        <v>2018</v>
      </c>
      <c r="C2" t="s">
        <v>1075</v>
      </c>
      <c r="D2" t="s">
        <v>1076</v>
      </c>
    </row>
    <row r="3" spans="1:4" x14ac:dyDescent="0.3">
      <c r="A3" s="2">
        <v>43102</v>
      </c>
      <c r="B3">
        <v>2018</v>
      </c>
      <c r="C3" t="s">
        <v>1075</v>
      </c>
      <c r="D3" t="s">
        <v>1076</v>
      </c>
    </row>
    <row r="4" spans="1:4" x14ac:dyDescent="0.3">
      <c r="A4" s="2">
        <v>43103</v>
      </c>
      <c r="B4">
        <v>2018</v>
      </c>
      <c r="C4" t="s">
        <v>1075</v>
      </c>
      <c r="D4" t="s">
        <v>1076</v>
      </c>
    </row>
    <row r="5" spans="1:4" x14ac:dyDescent="0.3">
      <c r="A5" s="2">
        <v>43104</v>
      </c>
      <c r="B5">
        <v>2018</v>
      </c>
      <c r="C5" t="s">
        <v>1075</v>
      </c>
      <c r="D5" t="s">
        <v>1076</v>
      </c>
    </row>
    <row r="6" spans="1:4" x14ac:dyDescent="0.3">
      <c r="A6" s="2">
        <v>43105</v>
      </c>
      <c r="B6">
        <v>2018</v>
      </c>
      <c r="C6" t="s">
        <v>1075</v>
      </c>
      <c r="D6" t="s">
        <v>1076</v>
      </c>
    </row>
    <row r="7" spans="1:4" x14ac:dyDescent="0.3">
      <c r="A7" s="2">
        <v>43106</v>
      </c>
      <c r="B7">
        <v>2018</v>
      </c>
      <c r="C7" t="s">
        <v>1075</v>
      </c>
      <c r="D7" t="s">
        <v>1076</v>
      </c>
    </row>
    <row r="8" spans="1:4" x14ac:dyDescent="0.3">
      <c r="A8" s="2">
        <v>43107</v>
      </c>
      <c r="B8">
        <v>2018</v>
      </c>
      <c r="C8" t="s">
        <v>1075</v>
      </c>
      <c r="D8" t="s">
        <v>1076</v>
      </c>
    </row>
    <row r="9" spans="1:4" x14ac:dyDescent="0.3">
      <c r="A9" s="2">
        <v>43108</v>
      </c>
      <c r="B9">
        <v>2018</v>
      </c>
      <c r="C9" t="s">
        <v>1075</v>
      </c>
      <c r="D9" t="s">
        <v>1076</v>
      </c>
    </row>
    <row r="10" spans="1:4" x14ac:dyDescent="0.3">
      <c r="A10" s="2">
        <v>43109</v>
      </c>
      <c r="B10">
        <v>2018</v>
      </c>
      <c r="C10" t="s">
        <v>1075</v>
      </c>
      <c r="D10" t="s">
        <v>1076</v>
      </c>
    </row>
    <row r="11" spans="1:4" x14ac:dyDescent="0.3">
      <c r="A11" s="2">
        <v>43110</v>
      </c>
      <c r="B11">
        <v>2018</v>
      </c>
      <c r="C11" t="s">
        <v>1075</v>
      </c>
      <c r="D11" t="s">
        <v>1076</v>
      </c>
    </row>
    <row r="12" spans="1:4" x14ac:dyDescent="0.3">
      <c r="A12" s="2">
        <v>43111</v>
      </c>
      <c r="B12">
        <v>2018</v>
      </c>
      <c r="C12" t="s">
        <v>1075</v>
      </c>
      <c r="D12" t="s">
        <v>1076</v>
      </c>
    </row>
    <row r="13" spans="1:4" x14ac:dyDescent="0.3">
      <c r="A13" s="2">
        <v>43112</v>
      </c>
      <c r="B13">
        <v>2018</v>
      </c>
      <c r="C13" t="s">
        <v>1075</v>
      </c>
      <c r="D13" t="s">
        <v>1076</v>
      </c>
    </row>
    <row r="14" spans="1:4" x14ac:dyDescent="0.3">
      <c r="A14" s="2">
        <v>43113</v>
      </c>
      <c r="B14">
        <v>2018</v>
      </c>
      <c r="C14" t="s">
        <v>1075</v>
      </c>
      <c r="D14" t="s">
        <v>1076</v>
      </c>
    </row>
    <row r="15" spans="1:4" x14ac:dyDescent="0.3">
      <c r="A15" s="2">
        <v>43114</v>
      </c>
      <c r="B15">
        <v>2018</v>
      </c>
      <c r="C15" t="s">
        <v>1075</v>
      </c>
      <c r="D15" t="s">
        <v>1076</v>
      </c>
    </row>
    <row r="16" spans="1:4" x14ac:dyDescent="0.3">
      <c r="A16" s="2">
        <v>43115</v>
      </c>
      <c r="B16">
        <v>2018</v>
      </c>
      <c r="C16" t="s">
        <v>1075</v>
      </c>
      <c r="D16" t="s">
        <v>1076</v>
      </c>
    </row>
    <row r="17" spans="1:4" x14ac:dyDescent="0.3">
      <c r="A17" s="2">
        <v>43116</v>
      </c>
      <c r="B17">
        <v>2018</v>
      </c>
      <c r="C17" t="s">
        <v>1075</v>
      </c>
      <c r="D17" t="s">
        <v>1076</v>
      </c>
    </row>
    <row r="18" spans="1:4" x14ac:dyDescent="0.3">
      <c r="A18" s="2">
        <v>43117</v>
      </c>
      <c r="B18">
        <v>2018</v>
      </c>
      <c r="C18" t="s">
        <v>1075</v>
      </c>
      <c r="D18" t="s">
        <v>1076</v>
      </c>
    </row>
    <row r="19" spans="1:4" x14ac:dyDescent="0.3">
      <c r="A19" s="2">
        <v>43118</v>
      </c>
      <c r="B19">
        <v>2018</v>
      </c>
      <c r="C19" t="s">
        <v>1075</v>
      </c>
      <c r="D19" t="s">
        <v>1076</v>
      </c>
    </row>
    <row r="20" spans="1:4" x14ac:dyDescent="0.3">
      <c r="A20" s="2">
        <v>43119</v>
      </c>
      <c r="B20">
        <v>2018</v>
      </c>
      <c r="C20" t="s">
        <v>1075</v>
      </c>
      <c r="D20" t="s">
        <v>1076</v>
      </c>
    </row>
    <row r="21" spans="1:4" x14ac:dyDescent="0.3">
      <c r="A21" s="2">
        <v>43120</v>
      </c>
      <c r="B21">
        <v>2018</v>
      </c>
      <c r="C21" t="s">
        <v>1075</v>
      </c>
      <c r="D21" t="s">
        <v>1076</v>
      </c>
    </row>
    <row r="22" spans="1:4" x14ac:dyDescent="0.3">
      <c r="A22" s="2">
        <v>43121</v>
      </c>
      <c r="B22">
        <v>2018</v>
      </c>
      <c r="C22" t="s">
        <v>1075</v>
      </c>
      <c r="D22" t="s">
        <v>1076</v>
      </c>
    </row>
    <row r="23" spans="1:4" x14ac:dyDescent="0.3">
      <c r="A23" s="2">
        <v>43122</v>
      </c>
      <c r="B23">
        <v>2018</v>
      </c>
      <c r="C23" t="s">
        <v>1075</v>
      </c>
      <c r="D23" t="s">
        <v>1076</v>
      </c>
    </row>
    <row r="24" spans="1:4" x14ac:dyDescent="0.3">
      <c r="A24" s="2">
        <v>43123</v>
      </c>
      <c r="B24">
        <v>2018</v>
      </c>
      <c r="C24" t="s">
        <v>1075</v>
      </c>
      <c r="D24" t="s">
        <v>1076</v>
      </c>
    </row>
    <row r="25" spans="1:4" x14ac:dyDescent="0.3">
      <c r="A25" s="2">
        <v>43124</v>
      </c>
      <c r="B25">
        <v>2018</v>
      </c>
      <c r="C25" t="s">
        <v>1075</v>
      </c>
      <c r="D25" t="s">
        <v>1076</v>
      </c>
    </row>
    <row r="26" spans="1:4" x14ac:dyDescent="0.3">
      <c r="A26" s="2">
        <v>43125</v>
      </c>
      <c r="B26">
        <v>2018</v>
      </c>
      <c r="C26" t="s">
        <v>1075</v>
      </c>
      <c r="D26" t="s">
        <v>1076</v>
      </c>
    </row>
    <row r="27" spans="1:4" x14ac:dyDescent="0.3">
      <c r="A27" s="2">
        <v>43126</v>
      </c>
      <c r="B27">
        <v>2018</v>
      </c>
      <c r="C27" t="s">
        <v>1075</v>
      </c>
      <c r="D27" t="s">
        <v>1076</v>
      </c>
    </row>
    <row r="28" spans="1:4" x14ac:dyDescent="0.3">
      <c r="A28" s="2">
        <v>43127</v>
      </c>
      <c r="B28">
        <v>2018</v>
      </c>
      <c r="C28" t="s">
        <v>1075</v>
      </c>
      <c r="D28" t="s">
        <v>1076</v>
      </c>
    </row>
    <row r="29" spans="1:4" x14ac:dyDescent="0.3">
      <c r="A29" s="2">
        <v>43128</v>
      </c>
      <c r="B29">
        <v>2018</v>
      </c>
      <c r="C29" t="s">
        <v>1075</v>
      </c>
      <c r="D29" t="s">
        <v>1076</v>
      </c>
    </row>
    <row r="30" spans="1:4" x14ac:dyDescent="0.3">
      <c r="A30" s="2">
        <v>43129</v>
      </c>
      <c r="B30">
        <v>2018</v>
      </c>
      <c r="C30" t="s">
        <v>1075</v>
      </c>
      <c r="D30" t="s">
        <v>1076</v>
      </c>
    </row>
    <row r="31" spans="1:4" x14ac:dyDescent="0.3">
      <c r="A31" s="2">
        <v>43130</v>
      </c>
      <c r="B31">
        <v>2018</v>
      </c>
      <c r="C31" t="s">
        <v>1075</v>
      </c>
      <c r="D31" t="s">
        <v>1076</v>
      </c>
    </row>
    <row r="32" spans="1:4" x14ac:dyDescent="0.3">
      <c r="A32" s="2">
        <v>43131</v>
      </c>
      <c r="B32">
        <v>2018</v>
      </c>
      <c r="C32" t="s">
        <v>1075</v>
      </c>
      <c r="D32" t="s">
        <v>1076</v>
      </c>
    </row>
    <row r="33" spans="1:4" x14ac:dyDescent="0.3">
      <c r="A33" s="2">
        <v>43132</v>
      </c>
      <c r="B33">
        <v>2018</v>
      </c>
      <c r="C33" t="s">
        <v>1075</v>
      </c>
      <c r="D33" t="s">
        <v>1077</v>
      </c>
    </row>
    <row r="34" spans="1:4" x14ac:dyDescent="0.3">
      <c r="A34" s="2">
        <v>43133</v>
      </c>
      <c r="B34">
        <v>2018</v>
      </c>
      <c r="C34" t="s">
        <v>1075</v>
      </c>
      <c r="D34" t="s">
        <v>1077</v>
      </c>
    </row>
    <row r="35" spans="1:4" x14ac:dyDescent="0.3">
      <c r="A35" s="2">
        <v>43134</v>
      </c>
      <c r="B35">
        <v>2018</v>
      </c>
      <c r="C35" t="s">
        <v>1075</v>
      </c>
      <c r="D35" t="s">
        <v>1077</v>
      </c>
    </row>
    <row r="36" spans="1:4" x14ac:dyDescent="0.3">
      <c r="A36" s="2">
        <v>43135</v>
      </c>
      <c r="B36">
        <v>2018</v>
      </c>
      <c r="C36" t="s">
        <v>1075</v>
      </c>
      <c r="D36" t="s">
        <v>1077</v>
      </c>
    </row>
    <row r="37" spans="1:4" x14ac:dyDescent="0.3">
      <c r="A37" s="2">
        <v>43136</v>
      </c>
      <c r="B37">
        <v>2018</v>
      </c>
      <c r="C37" t="s">
        <v>1075</v>
      </c>
      <c r="D37" t="s">
        <v>1077</v>
      </c>
    </row>
    <row r="38" spans="1:4" x14ac:dyDescent="0.3">
      <c r="A38" s="2">
        <v>43137</v>
      </c>
      <c r="B38">
        <v>2018</v>
      </c>
      <c r="C38" t="s">
        <v>1075</v>
      </c>
      <c r="D38" t="s">
        <v>1077</v>
      </c>
    </row>
    <row r="39" spans="1:4" x14ac:dyDescent="0.3">
      <c r="A39" s="2">
        <v>43138</v>
      </c>
      <c r="B39">
        <v>2018</v>
      </c>
      <c r="C39" t="s">
        <v>1075</v>
      </c>
      <c r="D39" t="s">
        <v>1077</v>
      </c>
    </row>
    <row r="40" spans="1:4" x14ac:dyDescent="0.3">
      <c r="A40" s="2">
        <v>43139</v>
      </c>
      <c r="B40">
        <v>2018</v>
      </c>
      <c r="C40" t="s">
        <v>1075</v>
      </c>
      <c r="D40" t="s">
        <v>1077</v>
      </c>
    </row>
    <row r="41" spans="1:4" x14ac:dyDescent="0.3">
      <c r="A41" s="2">
        <v>43140</v>
      </c>
      <c r="B41">
        <v>2018</v>
      </c>
      <c r="C41" t="s">
        <v>1075</v>
      </c>
      <c r="D41" t="s">
        <v>1077</v>
      </c>
    </row>
    <row r="42" spans="1:4" x14ac:dyDescent="0.3">
      <c r="A42" s="2">
        <v>43141</v>
      </c>
      <c r="B42">
        <v>2018</v>
      </c>
      <c r="C42" t="s">
        <v>1075</v>
      </c>
      <c r="D42" t="s">
        <v>1077</v>
      </c>
    </row>
    <row r="43" spans="1:4" x14ac:dyDescent="0.3">
      <c r="A43" s="2">
        <v>43142</v>
      </c>
      <c r="B43">
        <v>2018</v>
      </c>
      <c r="C43" t="s">
        <v>1075</v>
      </c>
      <c r="D43" t="s">
        <v>1077</v>
      </c>
    </row>
    <row r="44" spans="1:4" x14ac:dyDescent="0.3">
      <c r="A44" s="2">
        <v>43143</v>
      </c>
      <c r="B44">
        <v>2018</v>
      </c>
      <c r="C44" t="s">
        <v>1075</v>
      </c>
      <c r="D44" t="s">
        <v>1077</v>
      </c>
    </row>
    <row r="45" spans="1:4" x14ac:dyDescent="0.3">
      <c r="A45" s="2">
        <v>43144</v>
      </c>
      <c r="B45">
        <v>2018</v>
      </c>
      <c r="C45" t="s">
        <v>1075</v>
      </c>
      <c r="D45" t="s">
        <v>1077</v>
      </c>
    </row>
    <row r="46" spans="1:4" x14ac:dyDescent="0.3">
      <c r="A46" s="2">
        <v>43145</v>
      </c>
      <c r="B46">
        <v>2018</v>
      </c>
      <c r="C46" t="s">
        <v>1075</v>
      </c>
      <c r="D46" t="s">
        <v>1077</v>
      </c>
    </row>
    <row r="47" spans="1:4" x14ac:dyDescent="0.3">
      <c r="A47" s="2">
        <v>43146</v>
      </c>
      <c r="B47">
        <v>2018</v>
      </c>
      <c r="C47" t="s">
        <v>1075</v>
      </c>
      <c r="D47" t="s">
        <v>1077</v>
      </c>
    </row>
    <row r="48" spans="1:4" x14ac:dyDescent="0.3">
      <c r="A48" s="2">
        <v>43147</v>
      </c>
      <c r="B48">
        <v>2018</v>
      </c>
      <c r="C48" t="s">
        <v>1075</v>
      </c>
      <c r="D48" t="s">
        <v>1077</v>
      </c>
    </row>
    <row r="49" spans="1:4" x14ac:dyDescent="0.3">
      <c r="A49" s="2">
        <v>43148</v>
      </c>
      <c r="B49">
        <v>2018</v>
      </c>
      <c r="C49" t="s">
        <v>1075</v>
      </c>
      <c r="D49" t="s">
        <v>1077</v>
      </c>
    </row>
    <row r="50" spans="1:4" x14ac:dyDescent="0.3">
      <c r="A50" s="2">
        <v>43149</v>
      </c>
      <c r="B50">
        <v>2018</v>
      </c>
      <c r="C50" t="s">
        <v>1075</v>
      </c>
      <c r="D50" t="s">
        <v>1077</v>
      </c>
    </row>
    <row r="51" spans="1:4" x14ac:dyDescent="0.3">
      <c r="A51" s="2">
        <v>43150</v>
      </c>
      <c r="B51">
        <v>2018</v>
      </c>
      <c r="C51" t="s">
        <v>1075</v>
      </c>
      <c r="D51" t="s">
        <v>1077</v>
      </c>
    </row>
    <row r="52" spans="1:4" x14ac:dyDescent="0.3">
      <c r="A52" s="2">
        <v>43151</v>
      </c>
      <c r="B52">
        <v>2018</v>
      </c>
      <c r="C52" t="s">
        <v>1075</v>
      </c>
      <c r="D52" t="s">
        <v>1077</v>
      </c>
    </row>
    <row r="53" spans="1:4" x14ac:dyDescent="0.3">
      <c r="A53" s="2">
        <v>43152</v>
      </c>
      <c r="B53">
        <v>2018</v>
      </c>
      <c r="C53" t="s">
        <v>1075</v>
      </c>
      <c r="D53" t="s">
        <v>1077</v>
      </c>
    </row>
    <row r="54" spans="1:4" x14ac:dyDescent="0.3">
      <c r="A54" s="2">
        <v>43153</v>
      </c>
      <c r="B54">
        <v>2018</v>
      </c>
      <c r="C54" t="s">
        <v>1075</v>
      </c>
      <c r="D54" t="s">
        <v>1077</v>
      </c>
    </row>
    <row r="55" spans="1:4" x14ac:dyDescent="0.3">
      <c r="A55" s="2">
        <v>43154</v>
      </c>
      <c r="B55">
        <v>2018</v>
      </c>
      <c r="C55" t="s">
        <v>1075</v>
      </c>
      <c r="D55" t="s">
        <v>1077</v>
      </c>
    </row>
    <row r="56" spans="1:4" x14ac:dyDescent="0.3">
      <c r="A56" s="2">
        <v>43155</v>
      </c>
      <c r="B56">
        <v>2018</v>
      </c>
      <c r="C56" t="s">
        <v>1075</v>
      </c>
      <c r="D56" t="s">
        <v>1077</v>
      </c>
    </row>
    <row r="57" spans="1:4" x14ac:dyDescent="0.3">
      <c r="A57" s="2">
        <v>43156</v>
      </c>
      <c r="B57">
        <v>2018</v>
      </c>
      <c r="C57" t="s">
        <v>1075</v>
      </c>
      <c r="D57" t="s">
        <v>1077</v>
      </c>
    </row>
    <row r="58" spans="1:4" x14ac:dyDescent="0.3">
      <c r="A58" s="2">
        <v>43157</v>
      </c>
      <c r="B58">
        <v>2018</v>
      </c>
      <c r="C58" t="s">
        <v>1075</v>
      </c>
      <c r="D58" t="s">
        <v>1077</v>
      </c>
    </row>
    <row r="59" spans="1:4" x14ac:dyDescent="0.3">
      <c r="A59" s="2">
        <v>43158</v>
      </c>
      <c r="B59">
        <v>2018</v>
      </c>
      <c r="C59" t="s">
        <v>1075</v>
      </c>
      <c r="D59" t="s">
        <v>1077</v>
      </c>
    </row>
    <row r="60" spans="1:4" x14ac:dyDescent="0.3">
      <c r="A60" s="2">
        <v>43159</v>
      </c>
      <c r="B60">
        <v>2018</v>
      </c>
      <c r="C60" t="s">
        <v>1075</v>
      </c>
      <c r="D60" t="s">
        <v>1077</v>
      </c>
    </row>
    <row r="61" spans="1:4" x14ac:dyDescent="0.3">
      <c r="A61" s="2">
        <v>43160</v>
      </c>
      <c r="B61">
        <v>2018</v>
      </c>
      <c r="C61" t="s">
        <v>1075</v>
      </c>
      <c r="D61" t="s">
        <v>1078</v>
      </c>
    </row>
    <row r="62" spans="1:4" x14ac:dyDescent="0.3">
      <c r="A62" s="2">
        <v>43161</v>
      </c>
      <c r="B62">
        <v>2018</v>
      </c>
      <c r="C62" t="s">
        <v>1075</v>
      </c>
      <c r="D62" t="s">
        <v>1078</v>
      </c>
    </row>
    <row r="63" spans="1:4" x14ac:dyDescent="0.3">
      <c r="A63" s="2">
        <v>43162</v>
      </c>
      <c r="B63">
        <v>2018</v>
      </c>
      <c r="C63" t="s">
        <v>1075</v>
      </c>
      <c r="D63" t="s">
        <v>1078</v>
      </c>
    </row>
    <row r="64" spans="1:4" x14ac:dyDescent="0.3">
      <c r="A64" s="2">
        <v>43163</v>
      </c>
      <c r="B64">
        <v>2018</v>
      </c>
      <c r="C64" t="s">
        <v>1075</v>
      </c>
      <c r="D64" t="s">
        <v>1078</v>
      </c>
    </row>
    <row r="65" spans="1:4" x14ac:dyDescent="0.3">
      <c r="A65" s="2">
        <v>43164</v>
      </c>
      <c r="B65">
        <v>2018</v>
      </c>
      <c r="C65" t="s">
        <v>1075</v>
      </c>
      <c r="D65" t="s">
        <v>1078</v>
      </c>
    </row>
    <row r="66" spans="1:4" x14ac:dyDescent="0.3">
      <c r="A66" s="2">
        <v>43165</v>
      </c>
      <c r="B66">
        <v>2018</v>
      </c>
      <c r="C66" t="s">
        <v>1075</v>
      </c>
      <c r="D66" t="s">
        <v>1078</v>
      </c>
    </row>
    <row r="67" spans="1:4" x14ac:dyDescent="0.3">
      <c r="A67" s="2">
        <v>43166</v>
      </c>
      <c r="B67">
        <v>2018</v>
      </c>
      <c r="C67" t="s">
        <v>1075</v>
      </c>
      <c r="D67" t="s">
        <v>1078</v>
      </c>
    </row>
    <row r="68" spans="1:4" x14ac:dyDescent="0.3">
      <c r="A68" s="2">
        <v>43167</v>
      </c>
      <c r="B68">
        <v>2018</v>
      </c>
      <c r="C68" t="s">
        <v>1075</v>
      </c>
      <c r="D68" t="s">
        <v>1078</v>
      </c>
    </row>
    <row r="69" spans="1:4" x14ac:dyDescent="0.3">
      <c r="A69" s="2">
        <v>43168</v>
      </c>
      <c r="B69">
        <v>2018</v>
      </c>
      <c r="C69" t="s">
        <v>1075</v>
      </c>
      <c r="D69" t="s">
        <v>1078</v>
      </c>
    </row>
    <row r="70" spans="1:4" x14ac:dyDescent="0.3">
      <c r="A70" s="2">
        <v>43169</v>
      </c>
      <c r="B70">
        <v>2018</v>
      </c>
      <c r="C70" t="s">
        <v>1075</v>
      </c>
      <c r="D70" t="s">
        <v>1078</v>
      </c>
    </row>
    <row r="71" spans="1:4" x14ac:dyDescent="0.3">
      <c r="A71" s="2">
        <v>43170</v>
      </c>
      <c r="B71">
        <v>2018</v>
      </c>
      <c r="C71" t="s">
        <v>1075</v>
      </c>
      <c r="D71" t="s">
        <v>1078</v>
      </c>
    </row>
    <row r="72" spans="1:4" x14ac:dyDescent="0.3">
      <c r="A72" s="2">
        <v>43171</v>
      </c>
      <c r="B72">
        <v>2018</v>
      </c>
      <c r="C72" t="s">
        <v>1075</v>
      </c>
      <c r="D72" t="s">
        <v>1078</v>
      </c>
    </row>
    <row r="73" spans="1:4" x14ac:dyDescent="0.3">
      <c r="A73" s="2">
        <v>43172</v>
      </c>
      <c r="B73">
        <v>2018</v>
      </c>
      <c r="C73" t="s">
        <v>1075</v>
      </c>
      <c r="D73" t="s">
        <v>1078</v>
      </c>
    </row>
    <row r="74" spans="1:4" x14ac:dyDescent="0.3">
      <c r="A74" s="2">
        <v>43173</v>
      </c>
      <c r="B74">
        <v>2018</v>
      </c>
      <c r="C74" t="s">
        <v>1075</v>
      </c>
      <c r="D74" t="s">
        <v>1078</v>
      </c>
    </row>
    <row r="75" spans="1:4" x14ac:dyDescent="0.3">
      <c r="A75" s="2">
        <v>43174</v>
      </c>
      <c r="B75">
        <v>2018</v>
      </c>
      <c r="C75" t="s">
        <v>1075</v>
      </c>
      <c r="D75" t="s">
        <v>1078</v>
      </c>
    </row>
    <row r="76" spans="1:4" x14ac:dyDescent="0.3">
      <c r="A76" s="2">
        <v>43175</v>
      </c>
      <c r="B76">
        <v>2018</v>
      </c>
      <c r="C76" t="s">
        <v>1075</v>
      </c>
      <c r="D76" t="s">
        <v>1078</v>
      </c>
    </row>
    <row r="77" spans="1:4" x14ac:dyDescent="0.3">
      <c r="A77" s="2">
        <v>43176</v>
      </c>
      <c r="B77">
        <v>2018</v>
      </c>
      <c r="C77" t="s">
        <v>1075</v>
      </c>
      <c r="D77" t="s">
        <v>1078</v>
      </c>
    </row>
    <row r="78" spans="1:4" x14ac:dyDescent="0.3">
      <c r="A78" s="2">
        <v>43177</v>
      </c>
      <c r="B78">
        <v>2018</v>
      </c>
      <c r="C78" t="s">
        <v>1075</v>
      </c>
      <c r="D78" t="s">
        <v>1078</v>
      </c>
    </row>
    <row r="79" spans="1:4" x14ac:dyDescent="0.3">
      <c r="A79" s="2">
        <v>43178</v>
      </c>
      <c r="B79">
        <v>2018</v>
      </c>
      <c r="C79" t="s">
        <v>1075</v>
      </c>
      <c r="D79" t="s">
        <v>1078</v>
      </c>
    </row>
    <row r="80" spans="1:4" x14ac:dyDescent="0.3">
      <c r="A80" s="2">
        <v>43179</v>
      </c>
      <c r="B80">
        <v>2018</v>
      </c>
      <c r="C80" t="s">
        <v>1075</v>
      </c>
      <c r="D80" t="s">
        <v>1078</v>
      </c>
    </row>
    <row r="81" spans="1:4" x14ac:dyDescent="0.3">
      <c r="A81" s="2">
        <v>43180</v>
      </c>
      <c r="B81">
        <v>2018</v>
      </c>
      <c r="C81" t="s">
        <v>1075</v>
      </c>
      <c r="D81" t="s">
        <v>1078</v>
      </c>
    </row>
    <row r="82" spans="1:4" x14ac:dyDescent="0.3">
      <c r="A82" s="2">
        <v>43181</v>
      </c>
      <c r="B82">
        <v>2018</v>
      </c>
      <c r="C82" t="s">
        <v>1075</v>
      </c>
      <c r="D82" t="s">
        <v>1078</v>
      </c>
    </row>
    <row r="83" spans="1:4" x14ac:dyDescent="0.3">
      <c r="A83" s="2">
        <v>43182</v>
      </c>
      <c r="B83">
        <v>2018</v>
      </c>
      <c r="C83" t="s">
        <v>1075</v>
      </c>
      <c r="D83" t="s">
        <v>1078</v>
      </c>
    </row>
    <row r="84" spans="1:4" x14ac:dyDescent="0.3">
      <c r="A84" s="2">
        <v>43183</v>
      </c>
      <c r="B84">
        <v>2018</v>
      </c>
      <c r="C84" t="s">
        <v>1075</v>
      </c>
      <c r="D84" t="s">
        <v>1078</v>
      </c>
    </row>
    <row r="85" spans="1:4" x14ac:dyDescent="0.3">
      <c r="A85" s="2">
        <v>43184</v>
      </c>
      <c r="B85">
        <v>2018</v>
      </c>
      <c r="C85" t="s">
        <v>1075</v>
      </c>
      <c r="D85" t="s">
        <v>1078</v>
      </c>
    </row>
    <row r="86" spans="1:4" x14ac:dyDescent="0.3">
      <c r="A86" s="2">
        <v>43185</v>
      </c>
      <c r="B86">
        <v>2018</v>
      </c>
      <c r="C86" t="s">
        <v>1075</v>
      </c>
      <c r="D86" t="s">
        <v>1078</v>
      </c>
    </row>
    <row r="87" spans="1:4" x14ac:dyDescent="0.3">
      <c r="A87" s="2">
        <v>43186</v>
      </c>
      <c r="B87">
        <v>2018</v>
      </c>
      <c r="C87" t="s">
        <v>1075</v>
      </c>
      <c r="D87" t="s">
        <v>1078</v>
      </c>
    </row>
    <row r="88" spans="1:4" x14ac:dyDescent="0.3">
      <c r="A88" s="2">
        <v>43187</v>
      </c>
      <c r="B88">
        <v>2018</v>
      </c>
      <c r="C88" t="s">
        <v>1075</v>
      </c>
      <c r="D88" t="s">
        <v>1078</v>
      </c>
    </row>
    <row r="89" spans="1:4" x14ac:dyDescent="0.3">
      <c r="A89" s="2">
        <v>43188</v>
      </c>
      <c r="B89">
        <v>2018</v>
      </c>
      <c r="C89" t="s">
        <v>1075</v>
      </c>
      <c r="D89" t="s">
        <v>1078</v>
      </c>
    </row>
    <row r="90" spans="1:4" x14ac:dyDescent="0.3">
      <c r="A90" s="2">
        <v>43189</v>
      </c>
      <c r="B90">
        <v>2018</v>
      </c>
      <c r="C90" t="s">
        <v>1075</v>
      </c>
      <c r="D90" t="s">
        <v>1078</v>
      </c>
    </row>
    <row r="91" spans="1:4" x14ac:dyDescent="0.3">
      <c r="A91" s="2">
        <v>43190</v>
      </c>
      <c r="B91">
        <v>2018</v>
      </c>
      <c r="C91" t="s">
        <v>1075</v>
      </c>
      <c r="D91" t="s">
        <v>1078</v>
      </c>
    </row>
    <row r="92" spans="1:4" x14ac:dyDescent="0.3">
      <c r="A92" s="2">
        <v>43191</v>
      </c>
      <c r="B92">
        <v>2018</v>
      </c>
      <c r="C92" t="s">
        <v>1079</v>
      </c>
      <c r="D92" t="s">
        <v>1080</v>
      </c>
    </row>
    <row r="93" spans="1:4" x14ac:dyDescent="0.3">
      <c r="A93" s="2">
        <v>43192</v>
      </c>
      <c r="B93">
        <v>2018</v>
      </c>
      <c r="C93" t="s">
        <v>1079</v>
      </c>
      <c r="D93" t="s">
        <v>1080</v>
      </c>
    </row>
    <row r="94" spans="1:4" x14ac:dyDescent="0.3">
      <c r="A94" s="2">
        <v>43193</v>
      </c>
      <c r="B94">
        <v>2018</v>
      </c>
      <c r="C94" t="s">
        <v>1079</v>
      </c>
      <c r="D94" t="s">
        <v>1080</v>
      </c>
    </row>
    <row r="95" spans="1:4" x14ac:dyDescent="0.3">
      <c r="A95" s="2">
        <v>43194</v>
      </c>
      <c r="B95">
        <v>2018</v>
      </c>
      <c r="C95" t="s">
        <v>1079</v>
      </c>
      <c r="D95" t="s">
        <v>1080</v>
      </c>
    </row>
    <row r="96" spans="1:4" x14ac:dyDescent="0.3">
      <c r="A96" s="2">
        <v>43195</v>
      </c>
      <c r="B96">
        <v>2018</v>
      </c>
      <c r="C96" t="s">
        <v>1079</v>
      </c>
      <c r="D96" t="s">
        <v>1080</v>
      </c>
    </row>
    <row r="97" spans="1:4" x14ac:dyDescent="0.3">
      <c r="A97" s="2">
        <v>43196</v>
      </c>
      <c r="B97">
        <v>2018</v>
      </c>
      <c r="C97" t="s">
        <v>1079</v>
      </c>
      <c r="D97" t="s">
        <v>1080</v>
      </c>
    </row>
    <row r="98" spans="1:4" x14ac:dyDescent="0.3">
      <c r="A98" s="2">
        <v>43197</v>
      </c>
      <c r="B98">
        <v>2018</v>
      </c>
      <c r="C98" t="s">
        <v>1079</v>
      </c>
      <c r="D98" t="s">
        <v>1080</v>
      </c>
    </row>
    <row r="99" spans="1:4" x14ac:dyDescent="0.3">
      <c r="A99" s="2">
        <v>43198</v>
      </c>
      <c r="B99">
        <v>2018</v>
      </c>
      <c r="C99" t="s">
        <v>1079</v>
      </c>
      <c r="D99" t="s">
        <v>1080</v>
      </c>
    </row>
    <row r="100" spans="1:4" x14ac:dyDescent="0.3">
      <c r="A100" s="2">
        <v>43199</v>
      </c>
      <c r="B100">
        <v>2018</v>
      </c>
      <c r="C100" t="s">
        <v>1079</v>
      </c>
      <c r="D100" t="s">
        <v>1080</v>
      </c>
    </row>
    <row r="101" spans="1:4" x14ac:dyDescent="0.3">
      <c r="A101" s="2">
        <v>43200</v>
      </c>
      <c r="B101">
        <v>2018</v>
      </c>
      <c r="C101" t="s">
        <v>1079</v>
      </c>
      <c r="D101" t="s">
        <v>1080</v>
      </c>
    </row>
    <row r="102" spans="1:4" x14ac:dyDescent="0.3">
      <c r="A102" s="2">
        <v>43201</v>
      </c>
      <c r="B102">
        <v>2018</v>
      </c>
      <c r="C102" t="s">
        <v>1079</v>
      </c>
      <c r="D102" t="s">
        <v>1080</v>
      </c>
    </row>
    <row r="103" spans="1:4" x14ac:dyDescent="0.3">
      <c r="A103" s="2">
        <v>43202</v>
      </c>
      <c r="B103">
        <v>2018</v>
      </c>
      <c r="C103" t="s">
        <v>1079</v>
      </c>
      <c r="D103" t="s">
        <v>1080</v>
      </c>
    </row>
    <row r="104" spans="1:4" x14ac:dyDescent="0.3">
      <c r="A104" s="2">
        <v>43203</v>
      </c>
      <c r="B104">
        <v>2018</v>
      </c>
      <c r="C104" t="s">
        <v>1079</v>
      </c>
      <c r="D104" t="s">
        <v>1080</v>
      </c>
    </row>
    <row r="105" spans="1:4" x14ac:dyDescent="0.3">
      <c r="A105" s="2">
        <v>43204</v>
      </c>
      <c r="B105">
        <v>2018</v>
      </c>
      <c r="C105" t="s">
        <v>1079</v>
      </c>
      <c r="D105" t="s">
        <v>1080</v>
      </c>
    </row>
    <row r="106" spans="1:4" x14ac:dyDescent="0.3">
      <c r="A106" s="2">
        <v>43205</v>
      </c>
      <c r="B106">
        <v>2018</v>
      </c>
      <c r="C106" t="s">
        <v>1079</v>
      </c>
      <c r="D106" t="s">
        <v>1080</v>
      </c>
    </row>
    <row r="107" spans="1:4" x14ac:dyDescent="0.3">
      <c r="A107" s="2">
        <v>43206</v>
      </c>
      <c r="B107">
        <v>2018</v>
      </c>
      <c r="C107" t="s">
        <v>1079</v>
      </c>
      <c r="D107" t="s">
        <v>1080</v>
      </c>
    </row>
    <row r="108" spans="1:4" x14ac:dyDescent="0.3">
      <c r="A108" s="2">
        <v>43207</v>
      </c>
      <c r="B108">
        <v>2018</v>
      </c>
      <c r="C108" t="s">
        <v>1079</v>
      </c>
      <c r="D108" t="s">
        <v>1080</v>
      </c>
    </row>
    <row r="109" spans="1:4" x14ac:dyDescent="0.3">
      <c r="A109" s="2">
        <v>43208</v>
      </c>
      <c r="B109">
        <v>2018</v>
      </c>
      <c r="C109" t="s">
        <v>1079</v>
      </c>
      <c r="D109" t="s">
        <v>1080</v>
      </c>
    </row>
    <row r="110" spans="1:4" x14ac:dyDescent="0.3">
      <c r="A110" s="2">
        <v>43209</v>
      </c>
      <c r="B110">
        <v>2018</v>
      </c>
      <c r="C110" t="s">
        <v>1079</v>
      </c>
      <c r="D110" t="s">
        <v>1080</v>
      </c>
    </row>
    <row r="111" spans="1:4" x14ac:dyDescent="0.3">
      <c r="A111" s="2">
        <v>43210</v>
      </c>
      <c r="B111">
        <v>2018</v>
      </c>
      <c r="C111" t="s">
        <v>1079</v>
      </c>
      <c r="D111" t="s">
        <v>1080</v>
      </c>
    </row>
    <row r="112" spans="1:4" x14ac:dyDescent="0.3">
      <c r="A112" s="2">
        <v>43211</v>
      </c>
      <c r="B112">
        <v>2018</v>
      </c>
      <c r="C112" t="s">
        <v>1079</v>
      </c>
      <c r="D112" t="s">
        <v>1080</v>
      </c>
    </row>
    <row r="113" spans="1:4" x14ac:dyDescent="0.3">
      <c r="A113" s="2">
        <v>43212</v>
      </c>
      <c r="B113">
        <v>2018</v>
      </c>
      <c r="C113" t="s">
        <v>1079</v>
      </c>
      <c r="D113" t="s">
        <v>1080</v>
      </c>
    </row>
    <row r="114" spans="1:4" x14ac:dyDescent="0.3">
      <c r="A114" s="2">
        <v>43213</v>
      </c>
      <c r="B114">
        <v>2018</v>
      </c>
      <c r="C114" t="s">
        <v>1079</v>
      </c>
      <c r="D114" t="s">
        <v>1080</v>
      </c>
    </row>
    <row r="115" spans="1:4" x14ac:dyDescent="0.3">
      <c r="A115" s="2">
        <v>43214</v>
      </c>
      <c r="B115">
        <v>2018</v>
      </c>
      <c r="C115" t="s">
        <v>1079</v>
      </c>
      <c r="D115" t="s">
        <v>1080</v>
      </c>
    </row>
    <row r="116" spans="1:4" x14ac:dyDescent="0.3">
      <c r="A116" s="2">
        <v>43215</v>
      </c>
      <c r="B116">
        <v>2018</v>
      </c>
      <c r="C116" t="s">
        <v>1079</v>
      </c>
      <c r="D116" t="s">
        <v>1080</v>
      </c>
    </row>
    <row r="117" spans="1:4" x14ac:dyDescent="0.3">
      <c r="A117" s="2">
        <v>43216</v>
      </c>
      <c r="B117">
        <v>2018</v>
      </c>
      <c r="C117" t="s">
        <v>1079</v>
      </c>
      <c r="D117" t="s">
        <v>1080</v>
      </c>
    </row>
    <row r="118" spans="1:4" x14ac:dyDescent="0.3">
      <c r="A118" s="2">
        <v>43217</v>
      </c>
      <c r="B118">
        <v>2018</v>
      </c>
      <c r="C118" t="s">
        <v>1079</v>
      </c>
      <c r="D118" t="s">
        <v>1080</v>
      </c>
    </row>
    <row r="119" spans="1:4" x14ac:dyDescent="0.3">
      <c r="A119" s="2">
        <v>43218</v>
      </c>
      <c r="B119">
        <v>2018</v>
      </c>
      <c r="C119" t="s">
        <v>1079</v>
      </c>
      <c r="D119" t="s">
        <v>1080</v>
      </c>
    </row>
    <row r="120" spans="1:4" x14ac:dyDescent="0.3">
      <c r="A120" s="2">
        <v>43219</v>
      </c>
      <c r="B120">
        <v>2018</v>
      </c>
      <c r="C120" t="s">
        <v>1079</v>
      </c>
      <c r="D120" t="s">
        <v>1080</v>
      </c>
    </row>
    <row r="121" spans="1:4" x14ac:dyDescent="0.3">
      <c r="A121" s="2">
        <v>43220</v>
      </c>
      <c r="B121">
        <v>2018</v>
      </c>
      <c r="C121" t="s">
        <v>1079</v>
      </c>
      <c r="D121" t="s">
        <v>1080</v>
      </c>
    </row>
    <row r="122" spans="1:4" x14ac:dyDescent="0.3">
      <c r="A122" s="2">
        <v>43221</v>
      </c>
      <c r="B122">
        <v>2018</v>
      </c>
      <c r="C122" t="s">
        <v>1079</v>
      </c>
      <c r="D122" t="s">
        <v>1081</v>
      </c>
    </row>
    <row r="123" spans="1:4" x14ac:dyDescent="0.3">
      <c r="A123" s="2">
        <v>43222</v>
      </c>
      <c r="B123">
        <v>2018</v>
      </c>
      <c r="C123" t="s">
        <v>1079</v>
      </c>
      <c r="D123" t="s">
        <v>1081</v>
      </c>
    </row>
    <row r="124" spans="1:4" x14ac:dyDescent="0.3">
      <c r="A124" s="2">
        <v>43223</v>
      </c>
      <c r="B124">
        <v>2018</v>
      </c>
      <c r="C124" t="s">
        <v>1079</v>
      </c>
      <c r="D124" t="s">
        <v>1081</v>
      </c>
    </row>
    <row r="125" spans="1:4" x14ac:dyDescent="0.3">
      <c r="A125" s="2">
        <v>43224</v>
      </c>
      <c r="B125">
        <v>2018</v>
      </c>
      <c r="C125" t="s">
        <v>1079</v>
      </c>
      <c r="D125" t="s">
        <v>1081</v>
      </c>
    </row>
    <row r="126" spans="1:4" x14ac:dyDescent="0.3">
      <c r="A126" s="2">
        <v>43225</v>
      </c>
      <c r="B126">
        <v>2018</v>
      </c>
      <c r="C126" t="s">
        <v>1079</v>
      </c>
      <c r="D126" t="s">
        <v>1081</v>
      </c>
    </row>
    <row r="127" spans="1:4" x14ac:dyDescent="0.3">
      <c r="A127" s="2">
        <v>43226</v>
      </c>
      <c r="B127">
        <v>2018</v>
      </c>
      <c r="C127" t="s">
        <v>1079</v>
      </c>
      <c r="D127" t="s">
        <v>1081</v>
      </c>
    </row>
    <row r="128" spans="1:4" x14ac:dyDescent="0.3">
      <c r="A128" s="2">
        <v>43227</v>
      </c>
      <c r="B128">
        <v>2018</v>
      </c>
      <c r="C128" t="s">
        <v>1079</v>
      </c>
      <c r="D128" t="s">
        <v>1081</v>
      </c>
    </row>
    <row r="129" spans="1:4" x14ac:dyDescent="0.3">
      <c r="A129" s="2">
        <v>43228</v>
      </c>
      <c r="B129">
        <v>2018</v>
      </c>
      <c r="C129" t="s">
        <v>1079</v>
      </c>
      <c r="D129" t="s">
        <v>1081</v>
      </c>
    </row>
    <row r="130" spans="1:4" x14ac:dyDescent="0.3">
      <c r="A130" s="2">
        <v>43229</v>
      </c>
      <c r="B130">
        <v>2018</v>
      </c>
      <c r="C130" t="s">
        <v>1079</v>
      </c>
      <c r="D130" t="s">
        <v>1081</v>
      </c>
    </row>
    <row r="131" spans="1:4" x14ac:dyDescent="0.3">
      <c r="A131" s="2">
        <v>43230</v>
      </c>
      <c r="B131">
        <v>2018</v>
      </c>
      <c r="C131" t="s">
        <v>1079</v>
      </c>
      <c r="D131" t="s">
        <v>1081</v>
      </c>
    </row>
    <row r="132" spans="1:4" x14ac:dyDescent="0.3">
      <c r="A132" s="2">
        <v>43231</v>
      </c>
      <c r="B132">
        <v>2018</v>
      </c>
      <c r="C132" t="s">
        <v>1079</v>
      </c>
      <c r="D132" t="s">
        <v>1081</v>
      </c>
    </row>
    <row r="133" spans="1:4" x14ac:dyDescent="0.3">
      <c r="A133" s="2">
        <v>43232</v>
      </c>
      <c r="B133">
        <v>2018</v>
      </c>
      <c r="C133" t="s">
        <v>1079</v>
      </c>
      <c r="D133" t="s">
        <v>1081</v>
      </c>
    </row>
    <row r="134" spans="1:4" x14ac:dyDescent="0.3">
      <c r="A134" s="2">
        <v>43233</v>
      </c>
      <c r="B134">
        <v>2018</v>
      </c>
      <c r="C134" t="s">
        <v>1079</v>
      </c>
      <c r="D134" t="s">
        <v>1081</v>
      </c>
    </row>
    <row r="135" spans="1:4" x14ac:dyDescent="0.3">
      <c r="A135" s="2">
        <v>43234</v>
      </c>
      <c r="B135">
        <v>2018</v>
      </c>
      <c r="C135" t="s">
        <v>1079</v>
      </c>
      <c r="D135" t="s">
        <v>1081</v>
      </c>
    </row>
    <row r="136" spans="1:4" x14ac:dyDescent="0.3">
      <c r="A136" s="2">
        <v>43235</v>
      </c>
      <c r="B136">
        <v>2018</v>
      </c>
      <c r="C136" t="s">
        <v>1079</v>
      </c>
      <c r="D136" t="s">
        <v>1081</v>
      </c>
    </row>
    <row r="137" spans="1:4" x14ac:dyDescent="0.3">
      <c r="A137" s="2">
        <v>43236</v>
      </c>
      <c r="B137">
        <v>2018</v>
      </c>
      <c r="C137" t="s">
        <v>1079</v>
      </c>
      <c r="D137" t="s">
        <v>1081</v>
      </c>
    </row>
    <row r="138" spans="1:4" x14ac:dyDescent="0.3">
      <c r="A138" s="2">
        <v>43237</v>
      </c>
      <c r="B138">
        <v>2018</v>
      </c>
      <c r="C138" t="s">
        <v>1079</v>
      </c>
      <c r="D138" t="s">
        <v>1081</v>
      </c>
    </row>
    <row r="139" spans="1:4" x14ac:dyDescent="0.3">
      <c r="A139" s="2">
        <v>43238</v>
      </c>
      <c r="B139">
        <v>2018</v>
      </c>
      <c r="C139" t="s">
        <v>1079</v>
      </c>
      <c r="D139" t="s">
        <v>1081</v>
      </c>
    </row>
    <row r="140" spans="1:4" x14ac:dyDescent="0.3">
      <c r="A140" s="2">
        <v>43239</v>
      </c>
      <c r="B140">
        <v>2018</v>
      </c>
      <c r="C140" t="s">
        <v>1079</v>
      </c>
      <c r="D140" t="s">
        <v>1081</v>
      </c>
    </row>
    <row r="141" spans="1:4" x14ac:dyDescent="0.3">
      <c r="A141" s="2">
        <v>43240</v>
      </c>
      <c r="B141">
        <v>2018</v>
      </c>
      <c r="C141" t="s">
        <v>1079</v>
      </c>
      <c r="D141" t="s">
        <v>1081</v>
      </c>
    </row>
    <row r="142" spans="1:4" x14ac:dyDescent="0.3">
      <c r="A142" s="2">
        <v>43241</v>
      </c>
      <c r="B142">
        <v>2018</v>
      </c>
      <c r="C142" t="s">
        <v>1079</v>
      </c>
      <c r="D142" t="s">
        <v>1081</v>
      </c>
    </row>
    <row r="143" spans="1:4" x14ac:dyDescent="0.3">
      <c r="A143" s="2">
        <v>43242</v>
      </c>
      <c r="B143">
        <v>2018</v>
      </c>
      <c r="C143" t="s">
        <v>1079</v>
      </c>
      <c r="D143" t="s">
        <v>1081</v>
      </c>
    </row>
    <row r="144" spans="1:4" x14ac:dyDescent="0.3">
      <c r="A144" s="2">
        <v>43243</v>
      </c>
      <c r="B144">
        <v>2018</v>
      </c>
      <c r="C144" t="s">
        <v>1079</v>
      </c>
      <c r="D144" t="s">
        <v>1081</v>
      </c>
    </row>
    <row r="145" spans="1:4" x14ac:dyDescent="0.3">
      <c r="A145" s="2">
        <v>43244</v>
      </c>
      <c r="B145">
        <v>2018</v>
      </c>
      <c r="C145" t="s">
        <v>1079</v>
      </c>
      <c r="D145" t="s">
        <v>1081</v>
      </c>
    </row>
    <row r="146" spans="1:4" x14ac:dyDescent="0.3">
      <c r="A146" s="2">
        <v>43245</v>
      </c>
      <c r="B146">
        <v>2018</v>
      </c>
      <c r="C146" t="s">
        <v>1079</v>
      </c>
      <c r="D146" t="s">
        <v>1081</v>
      </c>
    </row>
    <row r="147" spans="1:4" x14ac:dyDescent="0.3">
      <c r="A147" s="2">
        <v>43246</v>
      </c>
      <c r="B147">
        <v>2018</v>
      </c>
      <c r="C147" t="s">
        <v>1079</v>
      </c>
      <c r="D147" t="s">
        <v>1081</v>
      </c>
    </row>
    <row r="148" spans="1:4" x14ac:dyDescent="0.3">
      <c r="A148" s="2">
        <v>43247</v>
      </c>
      <c r="B148">
        <v>2018</v>
      </c>
      <c r="C148" t="s">
        <v>1079</v>
      </c>
      <c r="D148" t="s">
        <v>1081</v>
      </c>
    </row>
    <row r="149" spans="1:4" x14ac:dyDescent="0.3">
      <c r="A149" s="2">
        <v>43248</v>
      </c>
      <c r="B149">
        <v>2018</v>
      </c>
      <c r="C149" t="s">
        <v>1079</v>
      </c>
      <c r="D149" t="s">
        <v>1081</v>
      </c>
    </row>
    <row r="150" spans="1:4" x14ac:dyDescent="0.3">
      <c r="A150" s="2">
        <v>43249</v>
      </c>
      <c r="B150">
        <v>2018</v>
      </c>
      <c r="C150" t="s">
        <v>1079</v>
      </c>
      <c r="D150" t="s">
        <v>1081</v>
      </c>
    </row>
    <row r="151" spans="1:4" x14ac:dyDescent="0.3">
      <c r="A151" s="2">
        <v>43250</v>
      </c>
      <c r="B151">
        <v>2018</v>
      </c>
      <c r="C151" t="s">
        <v>1079</v>
      </c>
      <c r="D151" t="s">
        <v>1081</v>
      </c>
    </row>
    <row r="152" spans="1:4" x14ac:dyDescent="0.3">
      <c r="A152" s="2">
        <v>43251</v>
      </c>
      <c r="B152">
        <v>2018</v>
      </c>
      <c r="C152" t="s">
        <v>1079</v>
      </c>
      <c r="D152" t="s">
        <v>1081</v>
      </c>
    </row>
    <row r="153" spans="1:4" x14ac:dyDescent="0.3">
      <c r="A153" s="2">
        <v>43252</v>
      </c>
      <c r="B153">
        <v>2018</v>
      </c>
      <c r="C153" t="s">
        <v>1079</v>
      </c>
      <c r="D153" t="s">
        <v>1082</v>
      </c>
    </row>
    <row r="154" spans="1:4" x14ac:dyDescent="0.3">
      <c r="A154" s="2">
        <v>43253</v>
      </c>
      <c r="B154">
        <v>2018</v>
      </c>
      <c r="C154" t="s">
        <v>1079</v>
      </c>
      <c r="D154" t="s">
        <v>1082</v>
      </c>
    </row>
    <row r="155" spans="1:4" x14ac:dyDescent="0.3">
      <c r="A155" s="2">
        <v>43254</v>
      </c>
      <c r="B155">
        <v>2018</v>
      </c>
      <c r="C155" t="s">
        <v>1079</v>
      </c>
      <c r="D155" t="s">
        <v>1082</v>
      </c>
    </row>
    <row r="156" spans="1:4" x14ac:dyDescent="0.3">
      <c r="A156" s="2">
        <v>43255</v>
      </c>
      <c r="B156">
        <v>2018</v>
      </c>
      <c r="C156" t="s">
        <v>1079</v>
      </c>
      <c r="D156" t="s">
        <v>1082</v>
      </c>
    </row>
    <row r="157" spans="1:4" x14ac:dyDescent="0.3">
      <c r="A157" s="2">
        <v>43256</v>
      </c>
      <c r="B157">
        <v>2018</v>
      </c>
      <c r="C157" t="s">
        <v>1079</v>
      </c>
      <c r="D157" t="s">
        <v>1082</v>
      </c>
    </row>
    <row r="158" spans="1:4" x14ac:dyDescent="0.3">
      <c r="A158" s="2">
        <v>43257</v>
      </c>
      <c r="B158">
        <v>2018</v>
      </c>
      <c r="C158" t="s">
        <v>1079</v>
      </c>
      <c r="D158" t="s">
        <v>1082</v>
      </c>
    </row>
    <row r="159" spans="1:4" x14ac:dyDescent="0.3">
      <c r="A159" s="2">
        <v>43258</v>
      </c>
      <c r="B159">
        <v>2018</v>
      </c>
      <c r="C159" t="s">
        <v>1079</v>
      </c>
      <c r="D159" t="s">
        <v>1082</v>
      </c>
    </row>
    <row r="160" spans="1:4" x14ac:dyDescent="0.3">
      <c r="A160" s="2">
        <v>43259</v>
      </c>
      <c r="B160">
        <v>2018</v>
      </c>
      <c r="C160" t="s">
        <v>1079</v>
      </c>
      <c r="D160" t="s">
        <v>1082</v>
      </c>
    </row>
    <row r="161" spans="1:4" x14ac:dyDescent="0.3">
      <c r="A161" s="2">
        <v>43260</v>
      </c>
      <c r="B161">
        <v>2018</v>
      </c>
      <c r="C161" t="s">
        <v>1079</v>
      </c>
      <c r="D161" t="s">
        <v>1082</v>
      </c>
    </row>
    <row r="162" spans="1:4" x14ac:dyDescent="0.3">
      <c r="A162" s="2">
        <v>43261</v>
      </c>
      <c r="B162">
        <v>2018</v>
      </c>
      <c r="C162" t="s">
        <v>1079</v>
      </c>
      <c r="D162" t="s">
        <v>1082</v>
      </c>
    </row>
    <row r="163" spans="1:4" x14ac:dyDescent="0.3">
      <c r="A163" s="2">
        <v>43262</v>
      </c>
      <c r="B163">
        <v>2018</v>
      </c>
      <c r="C163" t="s">
        <v>1079</v>
      </c>
      <c r="D163" t="s">
        <v>1082</v>
      </c>
    </row>
    <row r="164" spans="1:4" x14ac:dyDescent="0.3">
      <c r="A164" s="2">
        <v>43263</v>
      </c>
      <c r="B164">
        <v>2018</v>
      </c>
      <c r="C164" t="s">
        <v>1079</v>
      </c>
      <c r="D164" t="s">
        <v>1082</v>
      </c>
    </row>
    <row r="165" spans="1:4" x14ac:dyDescent="0.3">
      <c r="A165" s="2">
        <v>43264</v>
      </c>
      <c r="B165">
        <v>2018</v>
      </c>
      <c r="C165" t="s">
        <v>1079</v>
      </c>
      <c r="D165" t="s">
        <v>1082</v>
      </c>
    </row>
    <row r="166" spans="1:4" x14ac:dyDescent="0.3">
      <c r="A166" s="2">
        <v>43265</v>
      </c>
      <c r="B166">
        <v>2018</v>
      </c>
      <c r="C166" t="s">
        <v>1079</v>
      </c>
      <c r="D166" t="s">
        <v>1082</v>
      </c>
    </row>
    <row r="167" spans="1:4" x14ac:dyDescent="0.3">
      <c r="A167" s="2">
        <v>43266</v>
      </c>
      <c r="B167">
        <v>2018</v>
      </c>
      <c r="C167" t="s">
        <v>1079</v>
      </c>
      <c r="D167" t="s">
        <v>1082</v>
      </c>
    </row>
    <row r="168" spans="1:4" x14ac:dyDescent="0.3">
      <c r="A168" s="2">
        <v>43267</v>
      </c>
      <c r="B168">
        <v>2018</v>
      </c>
      <c r="C168" t="s">
        <v>1079</v>
      </c>
      <c r="D168" t="s">
        <v>1082</v>
      </c>
    </row>
    <row r="169" spans="1:4" x14ac:dyDescent="0.3">
      <c r="A169" s="2">
        <v>43268</v>
      </c>
      <c r="B169">
        <v>2018</v>
      </c>
      <c r="C169" t="s">
        <v>1079</v>
      </c>
      <c r="D169" t="s">
        <v>1082</v>
      </c>
    </row>
    <row r="170" spans="1:4" x14ac:dyDescent="0.3">
      <c r="A170" s="2">
        <v>43269</v>
      </c>
      <c r="B170">
        <v>2018</v>
      </c>
      <c r="C170" t="s">
        <v>1079</v>
      </c>
      <c r="D170" t="s">
        <v>1082</v>
      </c>
    </row>
    <row r="171" spans="1:4" x14ac:dyDescent="0.3">
      <c r="A171" s="2">
        <v>43270</v>
      </c>
      <c r="B171">
        <v>2018</v>
      </c>
      <c r="C171" t="s">
        <v>1079</v>
      </c>
      <c r="D171" t="s">
        <v>1082</v>
      </c>
    </row>
    <row r="172" spans="1:4" x14ac:dyDescent="0.3">
      <c r="A172" s="2">
        <v>43271</v>
      </c>
      <c r="B172">
        <v>2018</v>
      </c>
      <c r="C172" t="s">
        <v>1079</v>
      </c>
      <c r="D172" t="s">
        <v>1082</v>
      </c>
    </row>
    <row r="173" spans="1:4" x14ac:dyDescent="0.3">
      <c r="A173" s="2">
        <v>43272</v>
      </c>
      <c r="B173">
        <v>2018</v>
      </c>
      <c r="C173" t="s">
        <v>1079</v>
      </c>
      <c r="D173" t="s">
        <v>1082</v>
      </c>
    </row>
    <row r="174" spans="1:4" x14ac:dyDescent="0.3">
      <c r="A174" s="2">
        <v>43273</v>
      </c>
      <c r="B174">
        <v>2018</v>
      </c>
      <c r="C174" t="s">
        <v>1079</v>
      </c>
      <c r="D174" t="s">
        <v>1082</v>
      </c>
    </row>
    <row r="175" spans="1:4" x14ac:dyDescent="0.3">
      <c r="A175" s="2">
        <v>43274</v>
      </c>
      <c r="B175">
        <v>2018</v>
      </c>
      <c r="C175" t="s">
        <v>1079</v>
      </c>
      <c r="D175" t="s">
        <v>1082</v>
      </c>
    </row>
    <row r="176" spans="1:4" x14ac:dyDescent="0.3">
      <c r="A176" s="2">
        <v>43275</v>
      </c>
      <c r="B176">
        <v>2018</v>
      </c>
      <c r="C176" t="s">
        <v>1079</v>
      </c>
      <c r="D176" t="s">
        <v>1082</v>
      </c>
    </row>
    <row r="177" spans="1:4" x14ac:dyDescent="0.3">
      <c r="A177" s="2">
        <v>43276</v>
      </c>
      <c r="B177">
        <v>2018</v>
      </c>
      <c r="C177" t="s">
        <v>1079</v>
      </c>
      <c r="D177" t="s">
        <v>1082</v>
      </c>
    </row>
    <row r="178" spans="1:4" x14ac:dyDescent="0.3">
      <c r="A178" s="2">
        <v>43277</v>
      </c>
      <c r="B178">
        <v>2018</v>
      </c>
      <c r="C178" t="s">
        <v>1079</v>
      </c>
      <c r="D178" t="s">
        <v>1082</v>
      </c>
    </row>
    <row r="179" spans="1:4" x14ac:dyDescent="0.3">
      <c r="A179" s="2">
        <v>43278</v>
      </c>
      <c r="B179">
        <v>2018</v>
      </c>
      <c r="C179" t="s">
        <v>1079</v>
      </c>
      <c r="D179" t="s">
        <v>1082</v>
      </c>
    </row>
    <row r="180" spans="1:4" x14ac:dyDescent="0.3">
      <c r="A180" s="2">
        <v>43279</v>
      </c>
      <c r="B180">
        <v>2018</v>
      </c>
      <c r="C180" t="s">
        <v>1079</v>
      </c>
      <c r="D180" t="s">
        <v>1082</v>
      </c>
    </row>
    <row r="181" spans="1:4" x14ac:dyDescent="0.3">
      <c r="A181" s="2">
        <v>43280</v>
      </c>
      <c r="B181">
        <v>2018</v>
      </c>
      <c r="C181" t="s">
        <v>1079</v>
      </c>
      <c r="D181" t="s">
        <v>1082</v>
      </c>
    </row>
    <row r="182" spans="1:4" x14ac:dyDescent="0.3">
      <c r="A182" s="2">
        <v>43281</v>
      </c>
      <c r="B182">
        <v>2018</v>
      </c>
      <c r="C182" t="s">
        <v>1079</v>
      </c>
      <c r="D182" t="s">
        <v>1082</v>
      </c>
    </row>
    <row r="183" spans="1:4" x14ac:dyDescent="0.3">
      <c r="A183" s="2">
        <v>43282</v>
      </c>
      <c r="B183">
        <v>2018</v>
      </c>
      <c r="C183" t="s">
        <v>1083</v>
      </c>
      <c r="D183" t="s">
        <v>1084</v>
      </c>
    </row>
    <row r="184" spans="1:4" x14ac:dyDescent="0.3">
      <c r="A184" s="2">
        <v>43283</v>
      </c>
      <c r="B184">
        <v>2018</v>
      </c>
      <c r="C184" t="s">
        <v>1083</v>
      </c>
      <c r="D184" t="s">
        <v>1084</v>
      </c>
    </row>
    <row r="185" spans="1:4" x14ac:dyDescent="0.3">
      <c r="A185" s="2">
        <v>43284</v>
      </c>
      <c r="B185">
        <v>2018</v>
      </c>
      <c r="C185" t="s">
        <v>1083</v>
      </c>
      <c r="D185" t="s">
        <v>1084</v>
      </c>
    </row>
    <row r="186" spans="1:4" x14ac:dyDescent="0.3">
      <c r="A186" s="2">
        <v>43285</v>
      </c>
      <c r="B186">
        <v>2018</v>
      </c>
      <c r="C186" t="s">
        <v>1083</v>
      </c>
      <c r="D186" t="s">
        <v>1084</v>
      </c>
    </row>
    <row r="187" spans="1:4" x14ac:dyDescent="0.3">
      <c r="A187" s="2">
        <v>43286</v>
      </c>
      <c r="B187">
        <v>2018</v>
      </c>
      <c r="C187" t="s">
        <v>1083</v>
      </c>
      <c r="D187" t="s">
        <v>1084</v>
      </c>
    </row>
    <row r="188" spans="1:4" x14ac:dyDescent="0.3">
      <c r="A188" s="2">
        <v>43287</v>
      </c>
      <c r="B188">
        <v>2018</v>
      </c>
      <c r="C188" t="s">
        <v>1083</v>
      </c>
      <c r="D188" t="s">
        <v>1084</v>
      </c>
    </row>
    <row r="189" spans="1:4" x14ac:dyDescent="0.3">
      <c r="A189" s="2">
        <v>43288</v>
      </c>
      <c r="B189">
        <v>2018</v>
      </c>
      <c r="C189" t="s">
        <v>1083</v>
      </c>
      <c r="D189" t="s">
        <v>1084</v>
      </c>
    </row>
    <row r="190" spans="1:4" x14ac:dyDescent="0.3">
      <c r="A190" s="2">
        <v>43289</v>
      </c>
      <c r="B190">
        <v>2018</v>
      </c>
      <c r="C190" t="s">
        <v>1083</v>
      </c>
      <c r="D190" t="s">
        <v>1084</v>
      </c>
    </row>
    <row r="191" spans="1:4" x14ac:dyDescent="0.3">
      <c r="A191" s="2">
        <v>43290</v>
      </c>
      <c r="B191">
        <v>2018</v>
      </c>
      <c r="C191" t="s">
        <v>1083</v>
      </c>
      <c r="D191" t="s">
        <v>1084</v>
      </c>
    </row>
    <row r="192" spans="1:4" x14ac:dyDescent="0.3">
      <c r="A192" s="2">
        <v>43291</v>
      </c>
      <c r="B192">
        <v>2018</v>
      </c>
      <c r="C192" t="s">
        <v>1083</v>
      </c>
      <c r="D192" t="s">
        <v>1084</v>
      </c>
    </row>
    <row r="193" spans="1:4" x14ac:dyDescent="0.3">
      <c r="A193" s="2">
        <v>43292</v>
      </c>
      <c r="B193">
        <v>2018</v>
      </c>
      <c r="C193" t="s">
        <v>1083</v>
      </c>
      <c r="D193" t="s">
        <v>1084</v>
      </c>
    </row>
    <row r="194" spans="1:4" x14ac:dyDescent="0.3">
      <c r="A194" s="2">
        <v>43293</v>
      </c>
      <c r="B194">
        <v>2018</v>
      </c>
      <c r="C194" t="s">
        <v>1083</v>
      </c>
      <c r="D194" t="s">
        <v>1084</v>
      </c>
    </row>
    <row r="195" spans="1:4" x14ac:dyDescent="0.3">
      <c r="A195" s="2">
        <v>43294</v>
      </c>
      <c r="B195">
        <v>2018</v>
      </c>
      <c r="C195" t="s">
        <v>1083</v>
      </c>
      <c r="D195" t="s">
        <v>1084</v>
      </c>
    </row>
    <row r="196" spans="1:4" x14ac:dyDescent="0.3">
      <c r="A196" s="2">
        <v>43295</v>
      </c>
      <c r="B196">
        <v>2018</v>
      </c>
      <c r="C196" t="s">
        <v>1083</v>
      </c>
      <c r="D196" t="s">
        <v>1084</v>
      </c>
    </row>
    <row r="197" spans="1:4" x14ac:dyDescent="0.3">
      <c r="A197" s="2">
        <v>43296</v>
      </c>
      <c r="B197">
        <v>2018</v>
      </c>
      <c r="C197" t="s">
        <v>1083</v>
      </c>
      <c r="D197" t="s">
        <v>1084</v>
      </c>
    </row>
    <row r="198" spans="1:4" x14ac:dyDescent="0.3">
      <c r="A198" s="2">
        <v>43297</v>
      </c>
      <c r="B198">
        <v>2018</v>
      </c>
      <c r="C198" t="s">
        <v>1083</v>
      </c>
      <c r="D198" t="s">
        <v>1084</v>
      </c>
    </row>
    <row r="199" spans="1:4" x14ac:dyDescent="0.3">
      <c r="A199" s="2">
        <v>43298</v>
      </c>
      <c r="B199">
        <v>2018</v>
      </c>
      <c r="C199" t="s">
        <v>1083</v>
      </c>
      <c r="D199" t="s">
        <v>1084</v>
      </c>
    </row>
    <row r="200" spans="1:4" x14ac:dyDescent="0.3">
      <c r="A200" s="2">
        <v>43299</v>
      </c>
      <c r="B200">
        <v>2018</v>
      </c>
      <c r="C200" t="s">
        <v>1083</v>
      </c>
      <c r="D200" t="s">
        <v>1084</v>
      </c>
    </row>
    <row r="201" spans="1:4" x14ac:dyDescent="0.3">
      <c r="A201" s="2">
        <v>43300</v>
      </c>
      <c r="B201">
        <v>2018</v>
      </c>
      <c r="C201" t="s">
        <v>1083</v>
      </c>
      <c r="D201" t="s">
        <v>1084</v>
      </c>
    </row>
    <row r="202" spans="1:4" x14ac:dyDescent="0.3">
      <c r="A202" s="2">
        <v>43301</v>
      </c>
      <c r="B202">
        <v>2018</v>
      </c>
      <c r="C202" t="s">
        <v>1083</v>
      </c>
      <c r="D202" t="s">
        <v>1084</v>
      </c>
    </row>
    <row r="203" spans="1:4" x14ac:dyDescent="0.3">
      <c r="A203" s="2">
        <v>43302</v>
      </c>
      <c r="B203">
        <v>2018</v>
      </c>
      <c r="C203" t="s">
        <v>1083</v>
      </c>
      <c r="D203" t="s">
        <v>1084</v>
      </c>
    </row>
    <row r="204" spans="1:4" x14ac:dyDescent="0.3">
      <c r="A204" s="2">
        <v>43303</v>
      </c>
      <c r="B204">
        <v>2018</v>
      </c>
      <c r="C204" t="s">
        <v>1083</v>
      </c>
      <c r="D204" t="s">
        <v>1084</v>
      </c>
    </row>
    <row r="205" spans="1:4" x14ac:dyDescent="0.3">
      <c r="A205" s="2">
        <v>43304</v>
      </c>
      <c r="B205">
        <v>2018</v>
      </c>
      <c r="C205" t="s">
        <v>1083</v>
      </c>
      <c r="D205" t="s">
        <v>1084</v>
      </c>
    </row>
    <row r="206" spans="1:4" x14ac:dyDescent="0.3">
      <c r="A206" s="2">
        <v>43305</v>
      </c>
      <c r="B206">
        <v>2018</v>
      </c>
      <c r="C206" t="s">
        <v>1083</v>
      </c>
      <c r="D206" t="s">
        <v>1084</v>
      </c>
    </row>
    <row r="207" spans="1:4" x14ac:dyDescent="0.3">
      <c r="A207" s="2">
        <v>43306</v>
      </c>
      <c r="B207">
        <v>2018</v>
      </c>
      <c r="C207" t="s">
        <v>1083</v>
      </c>
      <c r="D207" t="s">
        <v>1084</v>
      </c>
    </row>
    <row r="208" spans="1:4" x14ac:dyDescent="0.3">
      <c r="A208" s="2">
        <v>43307</v>
      </c>
      <c r="B208">
        <v>2018</v>
      </c>
      <c r="C208" t="s">
        <v>1083</v>
      </c>
      <c r="D208" t="s">
        <v>1084</v>
      </c>
    </row>
    <row r="209" spans="1:4" x14ac:dyDescent="0.3">
      <c r="A209" s="2">
        <v>43308</v>
      </c>
      <c r="B209">
        <v>2018</v>
      </c>
      <c r="C209" t="s">
        <v>1083</v>
      </c>
      <c r="D209" t="s">
        <v>1084</v>
      </c>
    </row>
    <row r="210" spans="1:4" x14ac:dyDescent="0.3">
      <c r="A210" s="2">
        <v>43309</v>
      </c>
      <c r="B210">
        <v>2018</v>
      </c>
      <c r="C210" t="s">
        <v>1083</v>
      </c>
      <c r="D210" t="s">
        <v>1084</v>
      </c>
    </row>
    <row r="211" spans="1:4" x14ac:dyDescent="0.3">
      <c r="A211" s="2">
        <v>43310</v>
      </c>
      <c r="B211">
        <v>2018</v>
      </c>
      <c r="C211" t="s">
        <v>1083</v>
      </c>
      <c r="D211" t="s">
        <v>1084</v>
      </c>
    </row>
    <row r="212" spans="1:4" x14ac:dyDescent="0.3">
      <c r="A212" s="2">
        <v>43311</v>
      </c>
      <c r="B212">
        <v>2018</v>
      </c>
      <c r="C212" t="s">
        <v>1083</v>
      </c>
      <c r="D212" t="s">
        <v>1084</v>
      </c>
    </row>
    <row r="213" spans="1:4" x14ac:dyDescent="0.3">
      <c r="A213" s="2">
        <v>43312</v>
      </c>
      <c r="B213">
        <v>2018</v>
      </c>
      <c r="C213" t="s">
        <v>1083</v>
      </c>
      <c r="D213" t="s">
        <v>1084</v>
      </c>
    </row>
    <row r="214" spans="1:4" x14ac:dyDescent="0.3">
      <c r="A214" s="2">
        <v>43313</v>
      </c>
      <c r="B214">
        <v>2018</v>
      </c>
      <c r="C214" t="s">
        <v>1083</v>
      </c>
      <c r="D214" t="s">
        <v>1085</v>
      </c>
    </row>
    <row r="215" spans="1:4" x14ac:dyDescent="0.3">
      <c r="A215" s="2">
        <v>43314</v>
      </c>
      <c r="B215">
        <v>2018</v>
      </c>
      <c r="C215" t="s">
        <v>1083</v>
      </c>
      <c r="D215" t="s">
        <v>1085</v>
      </c>
    </row>
    <row r="216" spans="1:4" x14ac:dyDescent="0.3">
      <c r="A216" s="2">
        <v>43315</v>
      </c>
      <c r="B216">
        <v>2018</v>
      </c>
      <c r="C216" t="s">
        <v>1083</v>
      </c>
      <c r="D216" t="s">
        <v>1085</v>
      </c>
    </row>
    <row r="217" spans="1:4" x14ac:dyDescent="0.3">
      <c r="A217" s="2">
        <v>43316</v>
      </c>
      <c r="B217">
        <v>2018</v>
      </c>
      <c r="C217" t="s">
        <v>1083</v>
      </c>
      <c r="D217" t="s">
        <v>1085</v>
      </c>
    </row>
    <row r="218" spans="1:4" x14ac:dyDescent="0.3">
      <c r="A218" s="2">
        <v>43317</v>
      </c>
      <c r="B218">
        <v>2018</v>
      </c>
      <c r="C218" t="s">
        <v>1083</v>
      </c>
      <c r="D218" t="s">
        <v>1085</v>
      </c>
    </row>
    <row r="219" spans="1:4" x14ac:dyDescent="0.3">
      <c r="A219" s="2">
        <v>43318</v>
      </c>
      <c r="B219">
        <v>2018</v>
      </c>
      <c r="C219" t="s">
        <v>1083</v>
      </c>
      <c r="D219" t="s">
        <v>1085</v>
      </c>
    </row>
    <row r="220" spans="1:4" x14ac:dyDescent="0.3">
      <c r="A220" s="2">
        <v>43319</v>
      </c>
      <c r="B220">
        <v>2018</v>
      </c>
      <c r="C220" t="s">
        <v>1083</v>
      </c>
      <c r="D220" t="s">
        <v>1085</v>
      </c>
    </row>
    <row r="221" spans="1:4" x14ac:dyDescent="0.3">
      <c r="A221" s="2">
        <v>43320</v>
      </c>
      <c r="B221">
        <v>2018</v>
      </c>
      <c r="C221" t="s">
        <v>1083</v>
      </c>
      <c r="D221" t="s">
        <v>1085</v>
      </c>
    </row>
    <row r="222" spans="1:4" x14ac:dyDescent="0.3">
      <c r="A222" s="2">
        <v>43321</v>
      </c>
      <c r="B222">
        <v>2018</v>
      </c>
      <c r="C222" t="s">
        <v>1083</v>
      </c>
      <c r="D222" t="s">
        <v>1085</v>
      </c>
    </row>
    <row r="223" spans="1:4" x14ac:dyDescent="0.3">
      <c r="A223" s="2">
        <v>43322</v>
      </c>
      <c r="B223">
        <v>2018</v>
      </c>
      <c r="C223" t="s">
        <v>1083</v>
      </c>
      <c r="D223" t="s">
        <v>1085</v>
      </c>
    </row>
    <row r="224" spans="1:4" x14ac:dyDescent="0.3">
      <c r="A224" s="2">
        <v>43323</v>
      </c>
      <c r="B224">
        <v>2018</v>
      </c>
      <c r="C224" t="s">
        <v>1083</v>
      </c>
      <c r="D224" t="s">
        <v>1085</v>
      </c>
    </row>
    <row r="225" spans="1:4" x14ac:dyDescent="0.3">
      <c r="A225" s="2">
        <v>43324</v>
      </c>
      <c r="B225">
        <v>2018</v>
      </c>
      <c r="C225" t="s">
        <v>1083</v>
      </c>
      <c r="D225" t="s">
        <v>1085</v>
      </c>
    </row>
    <row r="226" spans="1:4" x14ac:dyDescent="0.3">
      <c r="A226" s="2">
        <v>43325</v>
      </c>
      <c r="B226">
        <v>2018</v>
      </c>
      <c r="C226" t="s">
        <v>1083</v>
      </c>
      <c r="D226" t="s">
        <v>1085</v>
      </c>
    </row>
    <row r="227" spans="1:4" x14ac:dyDescent="0.3">
      <c r="A227" s="2">
        <v>43326</v>
      </c>
      <c r="B227">
        <v>2018</v>
      </c>
      <c r="C227" t="s">
        <v>1083</v>
      </c>
      <c r="D227" t="s">
        <v>1085</v>
      </c>
    </row>
    <row r="228" spans="1:4" x14ac:dyDescent="0.3">
      <c r="A228" s="2">
        <v>43327</v>
      </c>
      <c r="B228">
        <v>2018</v>
      </c>
      <c r="C228" t="s">
        <v>1083</v>
      </c>
      <c r="D228" t="s">
        <v>1085</v>
      </c>
    </row>
    <row r="229" spans="1:4" x14ac:dyDescent="0.3">
      <c r="A229" s="2">
        <v>43328</v>
      </c>
      <c r="B229">
        <v>2018</v>
      </c>
      <c r="C229" t="s">
        <v>1083</v>
      </c>
      <c r="D229" t="s">
        <v>1085</v>
      </c>
    </row>
    <row r="230" spans="1:4" x14ac:dyDescent="0.3">
      <c r="A230" s="2">
        <v>43329</v>
      </c>
      <c r="B230">
        <v>2018</v>
      </c>
      <c r="C230" t="s">
        <v>1083</v>
      </c>
      <c r="D230" t="s">
        <v>1085</v>
      </c>
    </row>
    <row r="231" spans="1:4" x14ac:dyDescent="0.3">
      <c r="A231" s="2">
        <v>43330</v>
      </c>
      <c r="B231">
        <v>2018</v>
      </c>
      <c r="C231" t="s">
        <v>1083</v>
      </c>
      <c r="D231" t="s">
        <v>1085</v>
      </c>
    </row>
    <row r="232" spans="1:4" x14ac:dyDescent="0.3">
      <c r="A232" s="2">
        <v>43331</v>
      </c>
      <c r="B232">
        <v>2018</v>
      </c>
      <c r="C232" t="s">
        <v>1083</v>
      </c>
      <c r="D232" t="s">
        <v>1085</v>
      </c>
    </row>
    <row r="233" spans="1:4" x14ac:dyDescent="0.3">
      <c r="A233" s="2">
        <v>43332</v>
      </c>
      <c r="B233">
        <v>2018</v>
      </c>
      <c r="C233" t="s">
        <v>1083</v>
      </c>
      <c r="D233" t="s">
        <v>1085</v>
      </c>
    </row>
    <row r="234" spans="1:4" x14ac:dyDescent="0.3">
      <c r="A234" s="2">
        <v>43333</v>
      </c>
      <c r="B234">
        <v>2018</v>
      </c>
      <c r="C234" t="s">
        <v>1083</v>
      </c>
      <c r="D234" t="s">
        <v>1085</v>
      </c>
    </row>
    <row r="235" spans="1:4" x14ac:dyDescent="0.3">
      <c r="A235" s="2">
        <v>43334</v>
      </c>
      <c r="B235">
        <v>2018</v>
      </c>
      <c r="C235" t="s">
        <v>1083</v>
      </c>
      <c r="D235" t="s">
        <v>1085</v>
      </c>
    </row>
    <row r="236" spans="1:4" x14ac:dyDescent="0.3">
      <c r="A236" s="2">
        <v>43335</v>
      </c>
      <c r="B236">
        <v>2018</v>
      </c>
      <c r="C236" t="s">
        <v>1083</v>
      </c>
      <c r="D236" t="s">
        <v>1085</v>
      </c>
    </row>
    <row r="237" spans="1:4" x14ac:dyDescent="0.3">
      <c r="A237" s="2">
        <v>43336</v>
      </c>
      <c r="B237">
        <v>2018</v>
      </c>
      <c r="C237" t="s">
        <v>1083</v>
      </c>
      <c r="D237" t="s">
        <v>1085</v>
      </c>
    </row>
    <row r="238" spans="1:4" x14ac:dyDescent="0.3">
      <c r="A238" s="2">
        <v>43337</v>
      </c>
      <c r="B238">
        <v>2018</v>
      </c>
      <c r="C238" t="s">
        <v>1083</v>
      </c>
      <c r="D238" t="s">
        <v>1085</v>
      </c>
    </row>
    <row r="239" spans="1:4" x14ac:dyDescent="0.3">
      <c r="A239" s="2">
        <v>43338</v>
      </c>
      <c r="B239">
        <v>2018</v>
      </c>
      <c r="C239" t="s">
        <v>1083</v>
      </c>
      <c r="D239" t="s">
        <v>1085</v>
      </c>
    </row>
    <row r="240" spans="1:4" x14ac:dyDescent="0.3">
      <c r="A240" s="2">
        <v>43339</v>
      </c>
      <c r="B240">
        <v>2018</v>
      </c>
      <c r="C240" t="s">
        <v>1083</v>
      </c>
      <c r="D240" t="s">
        <v>1085</v>
      </c>
    </row>
    <row r="241" spans="1:4" x14ac:dyDescent="0.3">
      <c r="A241" s="2">
        <v>43340</v>
      </c>
      <c r="B241">
        <v>2018</v>
      </c>
      <c r="C241" t="s">
        <v>1083</v>
      </c>
      <c r="D241" t="s">
        <v>1085</v>
      </c>
    </row>
    <row r="242" spans="1:4" x14ac:dyDescent="0.3">
      <c r="A242" s="2">
        <v>43341</v>
      </c>
      <c r="B242">
        <v>2018</v>
      </c>
      <c r="C242" t="s">
        <v>1083</v>
      </c>
      <c r="D242" t="s">
        <v>1085</v>
      </c>
    </row>
    <row r="243" spans="1:4" x14ac:dyDescent="0.3">
      <c r="A243" s="2">
        <v>43342</v>
      </c>
      <c r="B243">
        <v>2018</v>
      </c>
      <c r="C243" t="s">
        <v>1083</v>
      </c>
      <c r="D243" t="s">
        <v>1085</v>
      </c>
    </row>
    <row r="244" spans="1:4" x14ac:dyDescent="0.3">
      <c r="A244" s="2">
        <v>43343</v>
      </c>
      <c r="B244">
        <v>2018</v>
      </c>
      <c r="C244" t="s">
        <v>1083</v>
      </c>
      <c r="D244" t="s">
        <v>1085</v>
      </c>
    </row>
    <row r="245" spans="1:4" x14ac:dyDescent="0.3">
      <c r="A245" s="2">
        <v>43344</v>
      </c>
      <c r="B245">
        <v>2018</v>
      </c>
      <c r="C245" t="s">
        <v>1083</v>
      </c>
      <c r="D245" t="s">
        <v>1086</v>
      </c>
    </row>
    <row r="246" spans="1:4" x14ac:dyDescent="0.3">
      <c r="A246" s="2">
        <v>43345</v>
      </c>
      <c r="B246">
        <v>2018</v>
      </c>
      <c r="C246" t="s">
        <v>1083</v>
      </c>
      <c r="D246" t="s">
        <v>1086</v>
      </c>
    </row>
    <row r="247" spans="1:4" x14ac:dyDescent="0.3">
      <c r="A247" s="2">
        <v>43346</v>
      </c>
      <c r="B247">
        <v>2018</v>
      </c>
      <c r="C247" t="s">
        <v>1083</v>
      </c>
      <c r="D247" t="s">
        <v>1086</v>
      </c>
    </row>
    <row r="248" spans="1:4" x14ac:dyDescent="0.3">
      <c r="A248" s="2">
        <v>43347</v>
      </c>
      <c r="B248">
        <v>2018</v>
      </c>
      <c r="C248" t="s">
        <v>1083</v>
      </c>
      <c r="D248" t="s">
        <v>1086</v>
      </c>
    </row>
    <row r="249" spans="1:4" x14ac:dyDescent="0.3">
      <c r="A249" s="2">
        <v>43348</v>
      </c>
      <c r="B249">
        <v>2018</v>
      </c>
      <c r="C249" t="s">
        <v>1083</v>
      </c>
      <c r="D249" t="s">
        <v>1086</v>
      </c>
    </row>
    <row r="250" spans="1:4" x14ac:dyDescent="0.3">
      <c r="A250" s="2">
        <v>43349</v>
      </c>
      <c r="B250">
        <v>2018</v>
      </c>
      <c r="C250" t="s">
        <v>1083</v>
      </c>
      <c r="D250" t="s">
        <v>1086</v>
      </c>
    </row>
    <row r="251" spans="1:4" x14ac:dyDescent="0.3">
      <c r="A251" s="2">
        <v>43350</v>
      </c>
      <c r="B251">
        <v>2018</v>
      </c>
      <c r="C251" t="s">
        <v>1083</v>
      </c>
      <c r="D251" t="s">
        <v>1086</v>
      </c>
    </row>
    <row r="252" spans="1:4" x14ac:dyDescent="0.3">
      <c r="A252" s="2">
        <v>43351</v>
      </c>
      <c r="B252">
        <v>2018</v>
      </c>
      <c r="C252" t="s">
        <v>1083</v>
      </c>
      <c r="D252" t="s">
        <v>1086</v>
      </c>
    </row>
    <row r="253" spans="1:4" x14ac:dyDescent="0.3">
      <c r="A253" s="2">
        <v>43352</v>
      </c>
      <c r="B253">
        <v>2018</v>
      </c>
      <c r="C253" t="s">
        <v>1083</v>
      </c>
      <c r="D253" t="s">
        <v>1086</v>
      </c>
    </row>
    <row r="254" spans="1:4" x14ac:dyDescent="0.3">
      <c r="A254" s="2">
        <v>43353</v>
      </c>
      <c r="B254">
        <v>2018</v>
      </c>
      <c r="C254" t="s">
        <v>1083</v>
      </c>
      <c r="D254" t="s">
        <v>1086</v>
      </c>
    </row>
    <row r="255" spans="1:4" x14ac:dyDescent="0.3">
      <c r="A255" s="2">
        <v>43354</v>
      </c>
      <c r="B255">
        <v>2018</v>
      </c>
      <c r="C255" t="s">
        <v>1083</v>
      </c>
      <c r="D255" t="s">
        <v>1086</v>
      </c>
    </row>
    <row r="256" spans="1:4" x14ac:dyDescent="0.3">
      <c r="A256" s="2">
        <v>43355</v>
      </c>
      <c r="B256">
        <v>2018</v>
      </c>
      <c r="C256" t="s">
        <v>1083</v>
      </c>
      <c r="D256" t="s">
        <v>1086</v>
      </c>
    </row>
    <row r="257" spans="1:4" x14ac:dyDescent="0.3">
      <c r="A257" s="2">
        <v>43356</v>
      </c>
      <c r="B257">
        <v>2018</v>
      </c>
      <c r="C257" t="s">
        <v>1083</v>
      </c>
      <c r="D257" t="s">
        <v>1086</v>
      </c>
    </row>
    <row r="258" spans="1:4" x14ac:dyDescent="0.3">
      <c r="A258" s="2">
        <v>43357</v>
      </c>
      <c r="B258">
        <v>2018</v>
      </c>
      <c r="C258" t="s">
        <v>1083</v>
      </c>
      <c r="D258" t="s">
        <v>1086</v>
      </c>
    </row>
    <row r="259" spans="1:4" x14ac:dyDescent="0.3">
      <c r="A259" s="2">
        <v>43358</v>
      </c>
      <c r="B259">
        <v>2018</v>
      </c>
      <c r="C259" t="s">
        <v>1083</v>
      </c>
      <c r="D259" t="s">
        <v>1086</v>
      </c>
    </row>
    <row r="260" spans="1:4" x14ac:dyDescent="0.3">
      <c r="A260" s="2">
        <v>43359</v>
      </c>
      <c r="B260">
        <v>2018</v>
      </c>
      <c r="C260" t="s">
        <v>1083</v>
      </c>
      <c r="D260" t="s">
        <v>1086</v>
      </c>
    </row>
    <row r="261" spans="1:4" x14ac:dyDescent="0.3">
      <c r="A261" s="2">
        <v>43360</v>
      </c>
      <c r="B261">
        <v>2018</v>
      </c>
      <c r="C261" t="s">
        <v>1083</v>
      </c>
      <c r="D261" t="s">
        <v>1086</v>
      </c>
    </row>
    <row r="262" spans="1:4" x14ac:dyDescent="0.3">
      <c r="A262" s="2">
        <v>43361</v>
      </c>
      <c r="B262">
        <v>2018</v>
      </c>
      <c r="C262" t="s">
        <v>1083</v>
      </c>
      <c r="D262" t="s">
        <v>1086</v>
      </c>
    </row>
    <row r="263" spans="1:4" x14ac:dyDescent="0.3">
      <c r="A263" s="2">
        <v>43362</v>
      </c>
      <c r="B263">
        <v>2018</v>
      </c>
      <c r="C263" t="s">
        <v>1083</v>
      </c>
      <c r="D263" t="s">
        <v>1086</v>
      </c>
    </row>
    <row r="264" spans="1:4" x14ac:dyDescent="0.3">
      <c r="A264" s="2">
        <v>43363</v>
      </c>
      <c r="B264">
        <v>2018</v>
      </c>
      <c r="C264" t="s">
        <v>1083</v>
      </c>
      <c r="D264" t="s">
        <v>1086</v>
      </c>
    </row>
    <row r="265" spans="1:4" x14ac:dyDescent="0.3">
      <c r="A265" s="2">
        <v>43364</v>
      </c>
      <c r="B265">
        <v>2018</v>
      </c>
      <c r="C265" t="s">
        <v>1083</v>
      </c>
      <c r="D265" t="s">
        <v>1086</v>
      </c>
    </row>
    <row r="266" spans="1:4" x14ac:dyDescent="0.3">
      <c r="A266" s="2">
        <v>43365</v>
      </c>
      <c r="B266">
        <v>2018</v>
      </c>
      <c r="C266" t="s">
        <v>1083</v>
      </c>
      <c r="D266" t="s">
        <v>1086</v>
      </c>
    </row>
    <row r="267" spans="1:4" x14ac:dyDescent="0.3">
      <c r="A267" s="2">
        <v>43366</v>
      </c>
      <c r="B267">
        <v>2018</v>
      </c>
      <c r="C267" t="s">
        <v>1083</v>
      </c>
      <c r="D267" t="s">
        <v>1086</v>
      </c>
    </row>
    <row r="268" spans="1:4" x14ac:dyDescent="0.3">
      <c r="A268" s="2">
        <v>43367</v>
      </c>
      <c r="B268">
        <v>2018</v>
      </c>
      <c r="C268" t="s">
        <v>1083</v>
      </c>
      <c r="D268" t="s">
        <v>1086</v>
      </c>
    </row>
    <row r="269" spans="1:4" x14ac:dyDescent="0.3">
      <c r="A269" s="2">
        <v>43368</v>
      </c>
      <c r="B269">
        <v>2018</v>
      </c>
      <c r="C269" t="s">
        <v>1083</v>
      </c>
      <c r="D269" t="s">
        <v>1086</v>
      </c>
    </row>
    <row r="270" spans="1:4" x14ac:dyDescent="0.3">
      <c r="A270" s="2">
        <v>43369</v>
      </c>
      <c r="B270">
        <v>2018</v>
      </c>
      <c r="C270" t="s">
        <v>1083</v>
      </c>
      <c r="D270" t="s">
        <v>1086</v>
      </c>
    </row>
    <row r="271" spans="1:4" x14ac:dyDescent="0.3">
      <c r="A271" s="2">
        <v>43370</v>
      </c>
      <c r="B271">
        <v>2018</v>
      </c>
      <c r="C271" t="s">
        <v>1083</v>
      </c>
      <c r="D271" t="s">
        <v>1086</v>
      </c>
    </row>
    <row r="272" spans="1:4" x14ac:dyDescent="0.3">
      <c r="A272" s="2">
        <v>43371</v>
      </c>
      <c r="B272">
        <v>2018</v>
      </c>
      <c r="C272" t="s">
        <v>1083</v>
      </c>
      <c r="D272" t="s">
        <v>1086</v>
      </c>
    </row>
    <row r="273" spans="1:4" x14ac:dyDescent="0.3">
      <c r="A273" s="2">
        <v>43372</v>
      </c>
      <c r="B273">
        <v>2018</v>
      </c>
      <c r="C273" t="s">
        <v>1083</v>
      </c>
      <c r="D273" t="s">
        <v>1086</v>
      </c>
    </row>
    <row r="274" spans="1:4" x14ac:dyDescent="0.3">
      <c r="A274" s="2">
        <v>43373</v>
      </c>
      <c r="B274">
        <v>2018</v>
      </c>
      <c r="C274" t="s">
        <v>1083</v>
      </c>
      <c r="D274" t="s">
        <v>1086</v>
      </c>
    </row>
    <row r="275" spans="1:4" x14ac:dyDescent="0.3">
      <c r="A275" s="2">
        <v>43374</v>
      </c>
      <c r="B275">
        <v>2018</v>
      </c>
      <c r="C275" t="s">
        <v>1087</v>
      </c>
      <c r="D275" t="s">
        <v>1088</v>
      </c>
    </row>
    <row r="276" spans="1:4" x14ac:dyDescent="0.3">
      <c r="A276" s="2">
        <v>43375</v>
      </c>
      <c r="B276">
        <v>2018</v>
      </c>
      <c r="C276" t="s">
        <v>1087</v>
      </c>
      <c r="D276" t="s">
        <v>1088</v>
      </c>
    </row>
    <row r="277" spans="1:4" x14ac:dyDescent="0.3">
      <c r="A277" s="2">
        <v>43376</v>
      </c>
      <c r="B277">
        <v>2018</v>
      </c>
      <c r="C277" t="s">
        <v>1087</v>
      </c>
      <c r="D277" t="s">
        <v>1088</v>
      </c>
    </row>
    <row r="278" spans="1:4" x14ac:dyDescent="0.3">
      <c r="A278" s="2">
        <v>43377</v>
      </c>
      <c r="B278">
        <v>2018</v>
      </c>
      <c r="C278" t="s">
        <v>1087</v>
      </c>
      <c r="D278" t="s">
        <v>1088</v>
      </c>
    </row>
    <row r="279" spans="1:4" x14ac:dyDescent="0.3">
      <c r="A279" s="2">
        <v>43378</v>
      </c>
      <c r="B279">
        <v>2018</v>
      </c>
      <c r="C279" t="s">
        <v>1087</v>
      </c>
      <c r="D279" t="s">
        <v>1088</v>
      </c>
    </row>
    <row r="280" spans="1:4" x14ac:dyDescent="0.3">
      <c r="A280" s="2">
        <v>43379</v>
      </c>
      <c r="B280">
        <v>2018</v>
      </c>
      <c r="C280" t="s">
        <v>1087</v>
      </c>
      <c r="D280" t="s">
        <v>1088</v>
      </c>
    </row>
    <row r="281" spans="1:4" x14ac:dyDescent="0.3">
      <c r="A281" s="2">
        <v>43380</v>
      </c>
      <c r="B281">
        <v>2018</v>
      </c>
      <c r="C281" t="s">
        <v>1087</v>
      </c>
      <c r="D281" t="s">
        <v>1088</v>
      </c>
    </row>
    <row r="282" spans="1:4" x14ac:dyDescent="0.3">
      <c r="A282" s="2">
        <v>43381</v>
      </c>
      <c r="B282">
        <v>2018</v>
      </c>
      <c r="C282" t="s">
        <v>1087</v>
      </c>
      <c r="D282" t="s">
        <v>1088</v>
      </c>
    </row>
    <row r="283" spans="1:4" x14ac:dyDescent="0.3">
      <c r="A283" s="2">
        <v>43382</v>
      </c>
      <c r="B283">
        <v>2018</v>
      </c>
      <c r="C283" t="s">
        <v>1087</v>
      </c>
      <c r="D283" t="s">
        <v>1088</v>
      </c>
    </row>
    <row r="284" spans="1:4" x14ac:dyDescent="0.3">
      <c r="A284" s="2">
        <v>43383</v>
      </c>
      <c r="B284">
        <v>2018</v>
      </c>
      <c r="C284" t="s">
        <v>1087</v>
      </c>
      <c r="D284" t="s">
        <v>1088</v>
      </c>
    </row>
    <row r="285" spans="1:4" x14ac:dyDescent="0.3">
      <c r="A285" s="2">
        <v>43384</v>
      </c>
      <c r="B285">
        <v>2018</v>
      </c>
      <c r="C285" t="s">
        <v>1087</v>
      </c>
      <c r="D285" t="s">
        <v>1088</v>
      </c>
    </row>
    <row r="286" spans="1:4" x14ac:dyDescent="0.3">
      <c r="A286" s="2">
        <v>43385</v>
      </c>
      <c r="B286">
        <v>2018</v>
      </c>
      <c r="C286" t="s">
        <v>1087</v>
      </c>
      <c r="D286" t="s">
        <v>1088</v>
      </c>
    </row>
    <row r="287" spans="1:4" x14ac:dyDescent="0.3">
      <c r="A287" s="2">
        <v>43386</v>
      </c>
      <c r="B287">
        <v>2018</v>
      </c>
      <c r="C287" t="s">
        <v>1087</v>
      </c>
      <c r="D287" t="s">
        <v>1088</v>
      </c>
    </row>
    <row r="288" spans="1:4" x14ac:dyDescent="0.3">
      <c r="A288" s="2">
        <v>43387</v>
      </c>
      <c r="B288">
        <v>2018</v>
      </c>
      <c r="C288" t="s">
        <v>1087</v>
      </c>
      <c r="D288" t="s">
        <v>1088</v>
      </c>
    </row>
    <row r="289" spans="1:4" x14ac:dyDescent="0.3">
      <c r="A289" s="2">
        <v>43388</v>
      </c>
      <c r="B289">
        <v>2018</v>
      </c>
      <c r="C289" t="s">
        <v>1087</v>
      </c>
      <c r="D289" t="s">
        <v>1088</v>
      </c>
    </row>
    <row r="290" spans="1:4" x14ac:dyDescent="0.3">
      <c r="A290" s="2">
        <v>43389</v>
      </c>
      <c r="B290">
        <v>2018</v>
      </c>
      <c r="C290" t="s">
        <v>1087</v>
      </c>
      <c r="D290" t="s">
        <v>1088</v>
      </c>
    </row>
    <row r="291" spans="1:4" x14ac:dyDescent="0.3">
      <c r="A291" s="2">
        <v>43390</v>
      </c>
      <c r="B291">
        <v>2018</v>
      </c>
      <c r="C291" t="s">
        <v>1087</v>
      </c>
      <c r="D291" t="s">
        <v>1088</v>
      </c>
    </row>
    <row r="292" spans="1:4" x14ac:dyDescent="0.3">
      <c r="A292" s="2">
        <v>43391</v>
      </c>
      <c r="B292">
        <v>2018</v>
      </c>
      <c r="C292" t="s">
        <v>1087</v>
      </c>
      <c r="D292" t="s">
        <v>1088</v>
      </c>
    </row>
    <row r="293" spans="1:4" x14ac:dyDescent="0.3">
      <c r="A293" s="2">
        <v>43392</v>
      </c>
      <c r="B293">
        <v>2018</v>
      </c>
      <c r="C293" t="s">
        <v>1087</v>
      </c>
      <c r="D293" t="s">
        <v>1088</v>
      </c>
    </row>
    <row r="294" spans="1:4" x14ac:dyDescent="0.3">
      <c r="A294" s="2">
        <v>43393</v>
      </c>
      <c r="B294">
        <v>2018</v>
      </c>
      <c r="C294" t="s">
        <v>1087</v>
      </c>
      <c r="D294" t="s">
        <v>1088</v>
      </c>
    </row>
    <row r="295" spans="1:4" x14ac:dyDescent="0.3">
      <c r="A295" s="2">
        <v>43394</v>
      </c>
      <c r="B295">
        <v>2018</v>
      </c>
      <c r="C295" t="s">
        <v>1087</v>
      </c>
      <c r="D295" t="s">
        <v>1088</v>
      </c>
    </row>
    <row r="296" spans="1:4" x14ac:dyDescent="0.3">
      <c r="A296" s="2">
        <v>43395</v>
      </c>
      <c r="B296">
        <v>2018</v>
      </c>
      <c r="C296" t="s">
        <v>1087</v>
      </c>
      <c r="D296" t="s">
        <v>1088</v>
      </c>
    </row>
    <row r="297" spans="1:4" x14ac:dyDescent="0.3">
      <c r="A297" s="2">
        <v>43396</v>
      </c>
      <c r="B297">
        <v>2018</v>
      </c>
      <c r="C297" t="s">
        <v>1087</v>
      </c>
      <c r="D297" t="s">
        <v>1088</v>
      </c>
    </row>
    <row r="298" spans="1:4" x14ac:dyDescent="0.3">
      <c r="A298" s="2">
        <v>43397</v>
      </c>
      <c r="B298">
        <v>2018</v>
      </c>
      <c r="C298" t="s">
        <v>1087</v>
      </c>
      <c r="D298" t="s">
        <v>1088</v>
      </c>
    </row>
    <row r="299" spans="1:4" x14ac:dyDescent="0.3">
      <c r="A299" s="2">
        <v>43398</v>
      </c>
      <c r="B299">
        <v>2018</v>
      </c>
      <c r="C299" t="s">
        <v>1087</v>
      </c>
      <c r="D299" t="s">
        <v>1088</v>
      </c>
    </row>
    <row r="300" spans="1:4" x14ac:dyDescent="0.3">
      <c r="A300" s="2">
        <v>43399</v>
      </c>
      <c r="B300">
        <v>2018</v>
      </c>
      <c r="C300" t="s">
        <v>1087</v>
      </c>
      <c r="D300" t="s">
        <v>1088</v>
      </c>
    </row>
    <row r="301" spans="1:4" x14ac:dyDescent="0.3">
      <c r="A301" s="2">
        <v>43400</v>
      </c>
      <c r="B301">
        <v>2018</v>
      </c>
      <c r="C301" t="s">
        <v>1087</v>
      </c>
      <c r="D301" t="s">
        <v>1088</v>
      </c>
    </row>
    <row r="302" spans="1:4" x14ac:dyDescent="0.3">
      <c r="A302" s="2">
        <v>43401</v>
      </c>
      <c r="B302">
        <v>2018</v>
      </c>
      <c r="C302" t="s">
        <v>1087</v>
      </c>
      <c r="D302" t="s">
        <v>1088</v>
      </c>
    </row>
    <row r="303" spans="1:4" x14ac:dyDescent="0.3">
      <c r="A303" s="2">
        <v>43402</v>
      </c>
      <c r="B303">
        <v>2018</v>
      </c>
      <c r="C303" t="s">
        <v>1087</v>
      </c>
      <c r="D303" t="s">
        <v>1088</v>
      </c>
    </row>
    <row r="304" spans="1:4" x14ac:dyDescent="0.3">
      <c r="A304" s="2">
        <v>43403</v>
      </c>
      <c r="B304">
        <v>2018</v>
      </c>
      <c r="C304" t="s">
        <v>1087</v>
      </c>
      <c r="D304" t="s">
        <v>1088</v>
      </c>
    </row>
    <row r="305" spans="1:4" x14ac:dyDescent="0.3">
      <c r="A305" s="2">
        <v>43404</v>
      </c>
      <c r="B305">
        <v>2018</v>
      </c>
      <c r="C305" t="s">
        <v>1087</v>
      </c>
      <c r="D305" t="s">
        <v>1088</v>
      </c>
    </row>
    <row r="306" spans="1:4" x14ac:dyDescent="0.3">
      <c r="A306" s="2">
        <v>43405</v>
      </c>
      <c r="B306">
        <v>2018</v>
      </c>
      <c r="C306" t="s">
        <v>1087</v>
      </c>
      <c r="D306" t="s">
        <v>1089</v>
      </c>
    </row>
    <row r="307" spans="1:4" x14ac:dyDescent="0.3">
      <c r="A307" s="2">
        <v>43406</v>
      </c>
      <c r="B307">
        <v>2018</v>
      </c>
      <c r="C307" t="s">
        <v>1087</v>
      </c>
      <c r="D307" t="s">
        <v>1089</v>
      </c>
    </row>
    <row r="308" spans="1:4" x14ac:dyDescent="0.3">
      <c r="A308" s="2">
        <v>43407</v>
      </c>
      <c r="B308">
        <v>2018</v>
      </c>
      <c r="C308" t="s">
        <v>1087</v>
      </c>
      <c r="D308" t="s">
        <v>1089</v>
      </c>
    </row>
    <row r="309" spans="1:4" x14ac:dyDescent="0.3">
      <c r="A309" s="2">
        <v>43408</v>
      </c>
      <c r="B309">
        <v>2018</v>
      </c>
      <c r="C309" t="s">
        <v>1087</v>
      </c>
      <c r="D309" t="s">
        <v>1089</v>
      </c>
    </row>
    <row r="310" spans="1:4" x14ac:dyDescent="0.3">
      <c r="A310" s="2">
        <v>43409</v>
      </c>
      <c r="B310">
        <v>2018</v>
      </c>
      <c r="C310" t="s">
        <v>1087</v>
      </c>
      <c r="D310" t="s">
        <v>1089</v>
      </c>
    </row>
    <row r="311" spans="1:4" x14ac:dyDescent="0.3">
      <c r="A311" s="2">
        <v>43410</v>
      </c>
      <c r="B311">
        <v>2018</v>
      </c>
      <c r="C311" t="s">
        <v>1087</v>
      </c>
      <c r="D311" t="s">
        <v>1089</v>
      </c>
    </row>
    <row r="312" spans="1:4" x14ac:dyDescent="0.3">
      <c r="A312" s="2">
        <v>43411</v>
      </c>
      <c r="B312">
        <v>2018</v>
      </c>
      <c r="C312" t="s">
        <v>1087</v>
      </c>
      <c r="D312" t="s">
        <v>1089</v>
      </c>
    </row>
    <row r="313" spans="1:4" x14ac:dyDescent="0.3">
      <c r="A313" s="2">
        <v>43412</v>
      </c>
      <c r="B313">
        <v>2018</v>
      </c>
      <c r="C313" t="s">
        <v>1087</v>
      </c>
      <c r="D313" t="s">
        <v>1089</v>
      </c>
    </row>
    <row r="314" spans="1:4" x14ac:dyDescent="0.3">
      <c r="A314" s="2">
        <v>43413</v>
      </c>
      <c r="B314">
        <v>2018</v>
      </c>
      <c r="C314" t="s">
        <v>1087</v>
      </c>
      <c r="D314" t="s">
        <v>1089</v>
      </c>
    </row>
    <row r="315" spans="1:4" x14ac:dyDescent="0.3">
      <c r="A315" s="2">
        <v>43414</v>
      </c>
      <c r="B315">
        <v>2018</v>
      </c>
      <c r="C315" t="s">
        <v>1087</v>
      </c>
      <c r="D315" t="s">
        <v>1089</v>
      </c>
    </row>
    <row r="316" spans="1:4" x14ac:dyDescent="0.3">
      <c r="A316" s="2">
        <v>43415</v>
      </c>
      <c r="B316">
        <v>2018</v>
      </c>
      <c r="C316" t="s">
        <v>1087</v>
      </c>
      <c r="D316" t="s">
        <v>1089</v>
      </c>
    </row>
    <row r="317" spans="1:4" x14ac:dyDescent="0.3">
      <c r="A317" s="2">
        <v>43416</v>
      </c>
      <c r="B317">
        <v>2018</v>
      </c>
      <c r="C317" t="s">
        <v>1087</v>
      </c>
      <c r="D317" t="s">
        <v>1089</v>
      </c>
    </row>
    <row r="318" spans="1:4" x14ac:dyDescent="0.3">
      <c r="A318" s="2">
        <v>43417</v>
      </c>
      <c r="B318">
        <v>2018</v>
      </c>
      <c r="C318" t="s">
        <v>1087</v>
      </c>
      <c r="D318" t="s">
        <v>1089</v>
      </c>
    </row>
    <row r="319" spans="1:4" x14ac:dyDescent="0.3">
      <c r="A319" s="2">
        <v>43418</v>
      </c>
      <c r="B319">
        <v>2018</v>
      </c>
      <c r="C319" t="s">
        <v>1087</v>
      </c>
      <c r="D319" t="s">
        <v>1089</v>
      </c>
    </row>
    <row r="320" spans="1:4" x14ac:dyDescent="0.3">
      <c r="A320" s="2">
        <v>43419</v>
      </c>
      <c r="B320">
        <v>2018</v>
      </c>
      <c r="C320" t="s">
        <v>1087</v>
      </c>
      <c r="D320" t="s">
        <v>1089</v>
      </c>
    </row>
    <row r="321" spans="1:4" x14ac:dyDescent="0.3">
      <c r="A321" s="2">
        <v>43420</v>
      </c>
      <c r="B321">
        <v>2018</v>
      </c>
      <c r="C321" t="s">
        <v>1087</v>
      </c>
      <c r="D321" t="s">
        <v>1089</v>
      </c>
    </row>
    <row r="322" spans="1:4" x14ac:dyDescent="0.3">
      <c r="A322" s="2">
        <v>43421</v>
      </c>
      <c r="B322">
        <v>2018</v>
      </c>
      <c r="C322" t="s">
        <v>1087</v>
      </c>
      <c r="D322" t="s">
        <v>1089</v>
      </c>
    </row>
    <row r="323" spans="1:4" x14ac:dyDescent="0.3">
      <c r="A323" s="2">
        <v>43422</v>
      </c>
      <c r="B323">
        <v>2018</v>
      </c>
      <c r="C323" t="s">
        <v>1087</v>
      </c>
      <c r="D323" t="s">
        <v>1089</v>
      </c>
    </row>
    <row r="324" spans="1:4" x14ac:dyDescent="0.3">
      <c r="A324" s="2">
        <v>43423</v>
      </c>
      <c r="B324">
        <v>2018</v>
      </c>
      <c r="C324" t="s">
        <v>1087</v>
      </c>
      <c r="D324" t="s">
        <v>1089</v>
      </c>
    </row>
    <row r="325" spans="1:4" x14ac:dyDescent="0.3">
      <c r="A325" s="2">
        <v>43424</v>
      </c>
      <c r="B325">
        <v>2018</v>
      </c>
      <c r="C325" t="s">
        <v>1087</v>
      </c>
      <c r="D325" t="s">
        <v>1089</v>
      </c>
    </row>
    <row r="326" spans="1:4" x14ac:dyDescent="0.3">
      <c r="A326" s="2">
        <v>43425</v>
      </c>
      <c r="B326">
        <v>2018</v>
      </c>
      <c r="C326" t="s">
        <v>1087</v>
      </c>
      <c r="D326" t="s">
        <v>1089</v>
      </c>
    </row>
    <row r="327" spans="1:4" x14ac:dyDescent="0.3">
      <c r="A327" s="2">
        <v>43426</v>
      </c>
      <c r="B327">
        <v>2018</v>
      </c>
      <c r="C327" t="s">
        <v>1087</v>
      </c>
      <c r="D327" t="s">
        <v>1089</v>
      </c>
    </row>
    <row r="328" spans="1:4" x14ac:dyDescent="0.3">
      <c r="A328" s="2">
        <v>43427</v>
      </c>
      <c r="B328">
        <v>2018</v>
      </c>
      <c r="C328" t="s">
        <v>1087</v>
      </c>
      <c r="D328" t="s">
        <v>1089</v>
      </c>
    </row>
    <row r="329" spans="1:4" x14ac:dyDescent="0.3">
      <c r="A329" s="2">
        <v>43428</v>
      </c>
      <c r="B329">
        <v>2018</v>
      </c>
      <c r="C329" t="s">
        <v>1087</v>
      </c>
      <c r="D329" t="s">
        <v>1089</v>
      </c>
    </row>
    <row r="330" spans="1:4" x14ac:dyDescent="0.3">
      <c r="A330" s="2">
        <v>43429</v>
      </c>
      <c r="B330">
        <v>2018</v>
      </c>
      <c r="C330" t="s">
        <v>1087</v>
      </c>
      <c r="D330" t="s">
        <v>1089</v>
      </c>
    </row>
    <row r="331" spans="1:4" x14ac:dyDescent="0.3">
      <c r="A331" s="2">
        <v>43430</v>
      </c>
      <c r="B331">
        <v>2018</v>
      </c>
      <c r="C331" t="s">
        <v>1087</v>
      </c>
      <c r="D331" t="s">
        <v>1089</v>
      </c>
    </row>
    <row r="332" spans="1:4" x14ac:dyDescent="0.3">
      <c r="A332" s="2">
        <v>43431</v>
      </c>
      <c r="B332">
        <v>2018</v>
      </c>
      <c r="C332" t="s">
        <v>1087</v>
      </c>
      <c r="D332" t="s">
        <v>1089</v>
      </c>
    </row>
    <row r="333" spans="1:4" x14ac:dyDescent="0.3">
      <c r="A333" s="2">
        <v>43432</v>
      </c>
      <c r="B333">
        <v>2018</v>
      </c>
      <c r="C333" t="s">
        <v>1087</v>
      </c>
      <c r="D333" t="s">
        <v>1089</v>
      </c>
    </row>
    <row r="334" spans="1:4" x14ac:dyDescent="0.3">
      <c r="A334" s="2">
        <v>43433</v>
      </c>
      <c r="B334">
        <v>2018</v>
      </c>
      <c r="C334" t="s">
        <v>1087</v>
      </c>
      <c r="D334" t="s">
        <v>1089</v>
      </c>
    </row>
    <row r="335" spans="1:4" x14ac:dyDescent="0.3">
      <c r="A335" s="2">
        <v>43434</v>
      </c>
      <c r="B335">
        <v>2018</v>
      </c>
      <c r="C335" t="s">
        <v>1087</v>
      </c>
      <c r="D335" t="s">
        <v>1089</v>
      </c>
    </row>
    <row r="336" spans="1:4" x14ac:dyDescent="0.3">
      <c r="A336" s="2">
        <v>43435</v>
      </c>
      <c r="B336">
        <v>2018</v>
      </c>
      <c r="C336" t="s">
        <v>1087</v>
      </c>
      <c r="D336" t="s">
        <v>1090</v>
      </c>
    </row>
    <row r="337" spans="1:4" x14ac:dyDescent="0.3">
      <c r="A337" s="2">
        <v>43436</v>
      </c>
      <c r="B337">
        <v>2018</v>
      </c>
      <c r="C337" t="s">
        <v>1087</v>
      </c>
      <c r="D337" t="s">
        <v>1090</v>
      </c>
    </row>
    <row r="338" spans="1:4" x14ac:dyDescent="0.3">
      <c r="A338" s="2">
        <v>43437</v>
      </c>
      <c r="B338">
        <v>2018</v>
      </c>
      <c r="C338" t="s">
        <v>1087</v>
      </c>
      <c r="D338" t="s">
        <v>1090</v>
      </c>
    </row>
    <row r="339" spans="1:4" x14ac:dyDescent="0.3">
      <c r="A339" s="2">
        <v>43438</v>
      </c>
      <c r="B339">
        <v>2018</v>
      </c>
      <c r="C339" t="s">
        <v>1087</v>
      </c>
      <c r="D339" t="s">
        <v>1090</v>
      </c>
    </row>
    <row r="340" spans="1:4" x14ac:dyDescent="0.3">
      <c r="A340" s="2">
        <v>43439</v>
      </c>
      <c r="B340">
        <v>2018</v>
      </c>
      <c r="C340" t="s">
        <v>1087</v>
      </c>
      <c r="D340" t="s">
        <v>1090</v>
      </c>
    </row>
    <row r="341" spans="1:4" x14ac:dyDescent="0.3">
      <c r="A341" s="2">
        <v>43440</v>
      </c>
      <c r="B341">
        <v>2018</v>
      </c>
      <c r="C341" t="s">
        <v>1087</v>
      </c>
      <c r="D341" t="s">
        <v>1090</v>
      </c>
    </row>
    <row r="342" spans="1:4" x14ac:dyDescent="0.3">
      <c r="A342" s="2">
        <v>43441</v>
      </c>
      <c r="B342">
        <v>2018</v>
      </c>
      <c r="C342" t="s">
        <v>1087</v>
      </c>
      <c r="D342" t="s">
        <v>1090</v>
      </c>
    </row>
    <row r="343" spans="1:4" x14ac:dyDescent="0.3">
      <c r="A343" s="2">
        <v>43442</v>
      </c>
      <c r="B343">
        <v>2018</v>
      </c>
      <c r="C343" t="s">
        <v>1087</v>
      </c>
      <c r="D343" t="s">
        <v>1090</v>
      </c>
    </row>
    <row r="344" spans="1:4" x14ac:dyDescent="0.3">
      <c r="A344" s="2">
        <v>43443</v>
      </c>
      <c r="B344">
        <v>2018</v>
      </c>
      <c r="C344" t="s">
        <v>1087</v>
      </c>
      <c r="D344" t="s">
        <v>1090</v>
      </c>
    </row>
    <row r="345" spans="1:4" x14ac:dyDescent="0.3">
      <c r="A345" s="2">
        <v>43444</v>
      </c>
      <c r="B345">
        <v>2018</v>
      </c>
      <c r="C345" t="s">
        <v>1087</v>
      </c>
      <c r="D345" t="s">
        <v>1090</v>
      </c>
    </row>
    <row r="346" spans="1:4" x14ac:dyDescent="0.3">
      <c r="A346" s="2">
        <v>43445</v>
      </c>
      <c r="B346">
        <v>2018</v>
      </c>
      <c r="C346" t="s">
        <v>1087</v>
      </c>
      <c r="D346" t="s">
        <v>1090</v>
      </c>
    </row>
    <row r="347" spans="1:4" x14ac:dyDescent="0.3">
      <c r="A347" s="2">
        <v>43446</v>
      </c>
      <c r="B347">
        <v>2018</v>
      </c>
      <c r="C347" t="s">
        <v>1087</v>
      </c>
      <c r="D347" t="s">
        <v>1090</v>
      </c>
    </row>
    <row r="348" spans="1:4" x14ac:dyDescent="0.3">
      <c r="A348" s="2">
        <v>43447</v>
      </c>
      <c r="B348">
        <v>2018</v>
      </c>
      <c r="C348" t="s">
        <v>1087</v>
      </c>
      <c r="D348" t="s">
        <v>1090</v>
      </c>
    </row>
    <row r="349" spans="1:4" x14ac:dyDescent="0.3">
      <c r="A349" s="2">
        <v>43448</v>
      </c>
      <c r="B349">
        <v>2018</v>
      </c>
      <c r="C349" t="s">
        <v>1087</v>
      </c>
      <c r="D349" t="s">
        <v>1090</v>
      </c>
    </row>
    <row r="350" spans="1:4" x14ac:dyDescent="0.3">
      <c r="A350" s="2">
        <v>43449</v>
      </c>
      <c r="B350">
        <v>2018</v>
      </c>
      <c r="C350" t="s">
        <v>1087</v>
      </c>
      <c r="D350" t="s">
        <v>1090</v>
      </c>
    </row>
    <row r="351" spans="1:4" x14ac:dyDescent="0.3">
      <c r="A351" s="2">
        <v>43450</v>
      </c>
      <c r="B351">
        <v>2018</v>
      </c>
      <c r="C351" t="s">
        <v>1087</v>
      </c>
      <c r="D351" t="s">
        <v>1090</v>
      </c>
    </row>
    <row r="352" spans="1:4" x14ac:dyDescent="0.3">
      <c r="A352" s="2">
        <v>43451</v>
      </c>
      <c r="B352">
        <v>2018</v>
      </c>
      <c r="C352" t="s">
        <v>1087</v>
      </c>
      <c r="D352" t="s">
        <v>1090</v>
      </c>
    </row>
    <row r="353" spans="1:4" x14ac:dyDescent="0.3">
      <c r="A353" s="2">
        <v>43452</v>
      </c>
      <c r="B353">
        <v>2018</v>
      </c>
      <c r="C353" t="s">
        <v>1087</v>
      </c>
      <c r="D353" t="s">
        <v>1090</v>
      </c>
    </row>
    <row r="354" spans="1:4" x14ac:dyDescent="0.3">
      <c r="A354" s="2">
        <v>43453</v>
      </c>
      <c r="B354">
        <v>2018</v>
      </c>
      <c r="C354" t="s">
        <v>1087</v>
      </c>
      <c r="D354" t="s">
        <v>1090</v>
      </c>
    </row>
    <row r="355" spans="1:4" x14ac:dyDescent="0.3">
      <c r="A355" s="2">
        <v>43454</v>
      </c>
      <c r="B355">
        <v>2018</v>
      </c>
      <c r="C355" t="s">
        <v>1087</v>
      </c>
      <c r="D355" t="s">
        <v>1090</v>
      </c>
    </row>
    <row r="356" spans="1:4" x14ac:dyDescent="0.3">
      <c r="A356" s="2">
        <v>43455</v>
      </c>
      <c r="B356">
        <v>2018</v>
      </c>
      <c r="C356" t="s">
        <v>1087</v>
      </c>
      <c r="D356" t="s">
        <v>1090</v>
      </c>
    </row>
    <row r="357" spans="1:4" x14ac:dyDescent="0.3">
      <c r="A357" s="2">
        <v>43456</v>
      </c>
      <c r="B357">
        <v>2018</v>
      </c>
      <c r="C357" t="s">
        <v>1087</v>
      </c>
      <c r="D357" t="s">
        <v>1090</v>
      </c>
    </row>
    <row r="358" spans="1:4" x14ac:dyDescent="0.3">
      <c r="A358" s="2">
        <v>43457</v>
      </c>
      <c r="B358">
        <v>2018</v>
      </c>
      <c r="C358" t="s">
        <v>1087</v>
      </c>
      <c r="D358" t="s">
        <v>1090</v>
      </c>
    </row>
    <row r="359" spans="1:4" x14ac:dyDescent="0.3">
      <c r="A359" s="2">
        <v>43458</v>
      </c>
      <c r="B359">
        <v>2018</v>
      </c>
      <c r="C359" t="s">
        <v>1087</v>
      </c>
      <c r="D359" t="s">
        <v>1090</v>
      </c>
    </row>
    <row r="360" spans="1:4" x14ac:dyDescent="0.3">
      <c r="A360" s="2">
        <v>43459</v>
      </c>
      <c r="B360">
        <v>2018</v>
      </c>
      <c r="C360" t="s">
        <v>1087</v>
      </c>
      <c r="D360" t="s">
        <v>1090</v>
      </c>
    </row>
    <row r="361" spans="1:4" x14ac:dyDescent="0.3">
      <c r="A361" s="2">
        <v>43460</v>
      </c>
      <c r="B361">
        <v>2018</v>
      </c>
      <c r="C361" t="s">
        <v>1087</v>
      </c>
      <c r="D361" t="s">
        <v>1090</v>
      </c>
    </row>
    <row r="362" spans="1:4" x14ac:dyDescent="0.3">
      <c r="A362" s="2">
        <v>43461</v>
      </c>
      <c r="B362">
        <v>2018</v>
      </c>
      <c r="C362" t="s">
        <v>1087</v>
      </c>
      <c r="D362" t="s">
        <v>1090</v>
      </c>
    </row>
    <row r="363" spans="1:4" x14ac:dyDescent="0.3">
      <c r="A363" s="2">
        <v>43462</v>
      </c>
      <c r="B363">
        <v>2018</v>
      </c>
      <c r="C363" t="s">
        <v>1087</v>
      </c>
      <c r="D363" t="s">
        <v>1090</v>
      </c>
    </row>
    <row r="364" spans="1:4" x14ac:dyDescent="0.3">
      <c r="A364" s="2">
        <v>43463</v>
      </c>
      <c r="B364">
        <v>2018</v>
      </c>
      <c r="C364" t="s">
        <v>1087</v>
      </c>
      <c r="D364" t="s">
        <v>1090</v>
      </c>
    </row>
    <row r="365" spans="1:4" x14ac:dyDescent="0.3">
      <c r="A365" s="2">
        <v>43464</v>
      </c>
      <c r="B365">
        <v>2018</v>
      </c>
      <c r="C365" t="s">
        <v>1087</v>
      </c>
      <c r="D365" t="s">
        <v>1090</v>
      </c>
    </row>
    <row r="366" spans="1:4" x14ac:dyDescent="0.3">
      <c r="A366" s="2">
        <v>43465</v>
      </c>
      <c r="B366">
        <v>2018</v>
      </c>
      <c r="C366" t="s">
        <v>1087</v>
      </c>
      <c r="D366" t="s">
        <v>1090</v>
      </c>
    </row>
    <row r="367" spans="1:4" x14ac:dyDescent="0.3">
      <c r="A367" s="2">
        <v>43466</v>
      </c>
      <c r="B367">
        <v>2019</v>
      </c>
      <c r="C367" t="s">
        <v>1075</v>
      </c>
      <c r="D367" t="s">
        <v>1076</v>
      </c>
    </row>
    <row r="368" spans="1:4" x14ac:dyDescent="0.3">
      <c r="A368" s="2">
        <v>43467</v>
      </c>
      <c r="B368">
        <v>2019</v>
      </c>
      <c r="C368" t="s">
        <v>1075</v>
      </c>
      <c r="D368" t="s">
        <v>1076</v>
      </c>
    </row>
    <row r="369" spans="1:4" x14ac:dyDescent="0.3">
      <c r="A369" s="2">
        <v>43468</v>
      </c>
      <c r="B369">
        <v>2019</v>
      </c>
      <c r="C369" t="s">
        <v>1075</v>
      </c>
      <c r="D369" t="s">
        <v>1076</v>
      </c>
    </row>
    <row r="370" spans="1:4" x14ac:dyDescent="0.3">
      <c r="A370" s="2">
        <v>43469</v>
      </c>
      <c r="B370">
        <v>2019</v>
      </c>
      <c r="C370" t="s">
        <v>1075</v>
      </c>
      <c r="D370" t="s">
        <v>1076</v>
      </c>
    </row>
    <row r="371" spans="1:4" x14ac:dyDescent="0.3">
      <c r="A371" s="2">
        <v>43470</v>
      </c>
      <c r="B371">
        <v>2019</v>
      </c>
      <c r="C371" t="s">
        <v>1075</v>
      </c>
      <c r="D371" t="s">
        <v>1076</v>
      </c>
    </row>
    <row r="372" spans="1:4" x14ac:dyDescent="0.3">
      <c r="A372" s="2">
        <v>43471</v>
      </c>
      <c r="B372">
        <v>2019</v>
      </c>
      <c r="C372" t="s">
        <v>1075</v>
      </c>
      <c r="D372" t="s">
        <v>1076</v>
      </c>
    </row>
    <row r="373" spans="1:4" x14ac:dyDescent="0.3">
      <c r="A373" s="2">
        <v>43472</v>
      </c>
      <c r="B373">
        <v>2019</v>
      </c>
      <c r="C373" t="s">
        <v>1075</v>
      </c>
      <c r="D373" t="s">
        <v>1076</v>
      </c>
    </row>
    <row r="374" spans="1:4" x14ac:dyDescent="0.3">
      <c r="A374" s="2">
        <v>43473</v>
      </c>
      <c r="B374">
        <v>2019</v>
      </c>
      <c r="C374" t="s">
        <v>1075</v>
      </c>
      <c r="D374" t="s">
        <v>1076</v>
      </c>
    </row>
    <row r="375" spans="1:4" x14ac:dyDescent="0.3">
      <c r="A375" s="2">
        <v>43474</v>
      </c>
      <c r="B375">
        <v>2019</v>
      </c>
      <c r="C375" t="s">
        <v>1075</v>
      </c>
      <c r="D375" t="s">
        <v>1076</v>
      </c>
    </row>
    <row r="376" spans="1:4" x14ac:dyDescent="0.3">
      <c r="A376" s="2">
        <v>43475</v>
      </c>
      <c r="B376">
        <v>2019</v>
      </c>
      <c r="C376" t="s">
        <v>1075</v>
      </c>
      <c r="D376" t="s">
        <v>1076</v>
      </c>
    </row>
    <row r="377" spans="1:4" x14ac:dyDescent="0.3">
      <c r="A377" s="2">
        <v>43476</v>
      </c>
      <c r="B377">
        <v>2019</v>
      </c>
      <c r="C377" t="s">
        <v>1075</v>
      </c>
      <c r="D377" t="s">
        <v>1076</v>
      </c>
    </row>
    <row r="378" spans="1:4" x14ac:dyDescent="0.3">
      <c r="A378" s="2">
        <v>43477</v>
      </c>
      <c r="B378">
        <v>2019</v>
      </c>
      <c r="C378" t="s">
        <v>1075</v>
      </c>
      <c r="D378" t="s">
        <v>1076</v>
      </c>
    </row>
    <row r="379" spans="1:4" x14ac:dyDescent="0.3">
      <c r="A379" s="2">
        <v>43478</v>
      </c>
      <c r="B379">
        <v>2019</v>
      </c>
      <c r="C379" t="s">
        <v>1075</v>
      </c>
      <c r="D379" t="s">
        <v>1076</v>
      </c>
    </row>
    <row r="380" spans="1:4" x14ac:dyDescent="0.3">
      <c r="A380" s="2">
        <v>43479</v>
      </c>
      <c r="B380">
        <v>2019</v>
      </c>
      <c r="C380" t="s">
        <v>1075</v>
      </c>
      <c r="D380" t="s">
        <v>1076</v>
      </c>
    </row>
    <row r="381" spans="1:4" x14ac:dyDescent="0.3">
      <c r="A381" s="2">
        <v>43480</v>
      </c>
      <c r="B381">
        <v>2019</v>
      </c>
      <c r="C381" t="s">
        <v>1075</v>
      </c>
      <c r="D381" t="s">
        <v>1076</v>
      </c>
    </row>
    <row r="382" spans="1:4" x14ac:dyDescent="0.3">
      <c r="A382" s="2">
        <v>43481</v>
      </c>
      <c r="B382">
        <v>2019</v>
      </c>
      <c r="C382" t="s">
        <v>1075</v>
      </c>
      <c r="D382" t="s">
        <v>1076</v>
      </c>
    </row>
    <row r="383" spans="1:4" x14ac:dyDescent="0.3">
      <c r="A383" s="2">
        <v>43482</v>
      </c>
      <c r="B383">
        <v>2019</v>
      </c>
      <c r="C383" t="s">
        <v>1075</v>
      </c>
      <c r="D383" t="s">
        <v>1076</v>
      </c>
    </row>
    <row r="384" spans="1:4" x14ac:dyDescent="0.3">
      <c r="A384" s="2">
        <v>43483</v>
      </c>
      <c r="B384">
        <v>2019</v>
      </c>
      <c r="C384" t="s">
        <v>1075</v>
      </c>
      <c r="D384" t="s">
        <v>1076</v>
      </c>
    </row>
    <row r="385" spans="1:4" x14ac:dyDescent="0.3">
      <c r="A385" s="2">
        <v>43484</v>
      </c>
      <c r="B385">
        <v>2019</v>
      </c>
      <c r="C385" t="s">
        <v>1075</v>
      </c>
      <c r="D385" t="s">
        <v>1076</v>
      </c>
    </row>
    <row r="386" spans="1:4" x14ac:dyDescent="0.3">
      <c r="A386" s="2">
        <v>43485</v>
      </c>
      <c r="B386">
        <v>2019</v>
      </c>
      <c r="C386" t="s">
        <v>1075</v>
      </c>
      <c r="D386" t="s">
        <v>1076</v>
      </c>
    </row>
    <row r="387" spans="1:4" x14ac:dyDescent="0.3">
      <c r="A387" s="2">
        <v>43486</v>
      </c>
      <c r="B387">
        <v>2019</v>
      </c>
      <c r="C387" t="s">
        <v>1075</v>
      </c>
      <c r="D387" t="s">
        <v>1076</v>
      </c>
    </row>
    <row r="388" spans="1:4" x14ac:dyDescent="0.3">
      <c r="A388" s="2">
        <v>43487</v>
      </c>
      <c r="B388">
        <v>2019</v>
      </c>
      <c r="C388" t="s">
        <v>1075</v>
      </c>
      <c r="D388" t="s">
        <v>1076</v>
      </c>
    </row>
    <row r="389" spans="1:4" x14ac:dyDescent="0.3">
      <c r="A389" s="2">
        <v>43488</v>
      </c>
      <c r="B389">
        <v>2019</v>
      </c>
      <c r="C389" t="s">
        <v>1075</v>
      </c>
      <c r="D389" t="s">
        <v>1076</v>
      </c>
    </row>
    <row r="390" spans="1:4" x14ac:dyDescent="0.3">
      <c r="A390" s="2">
        <v>43489</v>
      </c>
      <c r="B390">
        <v>2019</v>
      </c>
      <c r="C390" t="s">
        <v>1075</v>
      </c>
      <c r="D390" t="s">
        <v>1076</v>
      </c>
    </row>
    <row r="391" spans="1:4" x14ac:dyDescent="0.3">
      <c r="A391" s="2">
        <v>43490</v>
      </c>
      <c r="B391">
        <v>2019</v>
      </c>
      <c r="C391" t="s">
        <v>1075</v>
      </c>
      <c r="D391" t="s">
        <v>1076</v>
      </c>
    </row>
    <row r="392" spans="1:4" x14ac:dyDescent="0.3">
      <c r="A392" s="2">
        <v>43491</v>
      </c>
      <c r="B392">
        <v>2019</v>
      </c>
      <c r="C392" t="s">
        <v>1075</v>
      </c>
      <c r="D392" t="s">
        <v>1076</v>
      </c>
    </row>
    <row r="393" spans="1:4" x14ac:dyDescent="0.3">
      <c r="A393" s="2">
        <v>43492</v>
      </c>
      <c r="B393">
        <v>2019</v>
      </c>
      <c r="C393" t="s">
        <v>1075</v>
      </c>
      <c r="D393" t="s">
        <v>1076</v>
      </c>
    </row>
    <row r="394" spans="1:4" x14ac:dyDescent="0.3">
      <c r="A394" s="2">
        <v>43493</v>
      </c>
      <c r="B394">
        <v>2019</v>
      </c>
      <c r="C394" t="s">
        <v>1075</v>
      </c>
      <c r="D394" t="s">
        <v>1076</v>
      </c>
    </row>
    <row r="395" spans="1:4" x14ac:dyDescent="0.3">
      <c r="A395" s="2">
        <v>43494</v>
      </c>
      <c r="B395">
        <v>2019</v>
      </c>
      <c r="C395" t="s">
        <v>1075</v>
      </c>
      <c r="D395" t="s">
        <v>1076</v>
      </c>
    </row>
    <row r="396" spans="1:4" x14ac:dyDescent="0.3">
      <c r="A396" s="2">
        <v>43495</v>
      </c>
      <c r="B396">
        <v>2019</v>
      </c>
      <c r="C396" t="s">
        <v>1075</v>
      </c>
      <c r="D396" t="s">
        <v>1076</v>
      </c>
    </row>
    <row r="397" spans="1:4" x14ac:dyDescent="0.3">
      <c r="A397" s="2">
        <v>43496</v>
      </c>
      <c r="B397">
        <v>2019</v>
      </c>
      <c r="C397" t="s">
        <v>1075</v>
      </c>
      <c r="D397" t="s">
        <v>1076</v>
      </c>
    </row>
    <row r="398" spans="1:4" x14ac:dyDescent="0.3">
      <c r="A398" s="2">
        <v>43497</v>
      </c>
      <c r="B398">
        <v>2019</v>
      </c>
      <c r="C398" t="s">
        <v>1075</v>
      </c>
      <c r="D398" t="s">
        <v>1077</v>
      </c>
    </row>
    <row r="399" spans="1:4" x14ac:dyDescent="0.3">
      <c r="A399" s="2">
        <v>43498</v>
      </c>
      <c r="B399">
        <v>2019</v>
      </c>
      <c r="C399" t="s">
        <v>1075</v>
      </c>
      <c r="D399" t="s">
        <v>1077</v>
      </c>
    </row>
    <row r="400" spans="1:4" x14ac:dyDescent="0.3">
      <c r="A400" s="2">
        <v>43499</v>
      </c>
      <c r="B400">
        <v>2019</v>
      </c>
      <c r="C400" t="s">
        <v>1075</v>
      </c>
      <c r="D400" t="s">
        <v>1077</v>
      </c>
    </row>
    <row r="401" spans="1:4" x14ac:dyDescent="0.3">
      <c r="A401" s="2">
        <v>43500</v>
      </c>
      <c r="B401">
        <v>2019</v>
      </c>
      <c r="C401" t="s">
        <v>1075</v>
      </c>
      <c r="D401" t="s">
        <v>1077</v>
      </c>
    </row>
    <row r="402" spans="1:4" x14ac:dyDescent="0.3">
      <c r="A402" s="2">
        <v>43501</v>
      </c>
      <c r="B402">
        <v>2019</v>
      </c>
      <c r="C402" t="s">
        <v>1075</v>
      </c>
      <c r="D402" t="s">
        <v>1077</v>
      </c>
    </row>
    <row r="403" spans="1:4" x14ac:dyDescent="0.3">
      <c r="A403" s="2">
        <v>43502</v>
      </c>
      <c r="B403">
        <v>2019</v>
      </c>
      <c r="C403" t="s">
        <v>1075</v>
      </c>
      <c r="D403" t="s">
        <v>1077</v>
      </c>
    </row>
    <row r="404" spans="1:4" x14ac:dyDescent="0.3">
      <c r="A404" s="2">
        <v>43503</v>
      </c>
      <c r="B404">
        <v>2019</v>
      </c>
      <c r="C404" t="s">
        <v>1075</v>
      </c>
      <c r="D404" t="s">
        <v>1077</v>
      </c>
    </row>
    <row r="405" spans="1:4" x14ac:dyDescent="0.3">
      <c r="A405" s="2">
        <v>43504</v>
      </c>
      <c r="B405">
        <v>2019</v>
      </c>
      <c r="C405" t="s">
        <v>1075</v>
      </c>
      <c r="D405" t="s">
        <v>1077</v>
      </c>
    </row>
    <row r="406" spans="1:4" x14ac:dyDescent="0.3">
      <c r="A406" s="2">
        <v>43505</v>
      </c>
      <c r="B406">
        <v>2019</v>
      </c>
      <c r="C406" t="s">
        <v>1075</v>
      </c>
      <c r="D406" t="s">
        <v>1077</v>
      </c>
    </row>
    <row r="407" spans="1:4" x14ac:dyDescent="0.3">
      <c r="A407" s="2">
        <v>43506</v>
      </c>
      <c r="B407">
        <v>2019</v>
      </c>
      <c r="C407" t="s">
        <v>1075</v>
      </c>
      <c r="D407" t="s">
        <v>1077</v>
      </c>
    </row>
    <row r="408" spans="1:4" x14ac:dyDescent="0.3">
      <c r="A408" s="2">
        <v>43507</v>
      </c>
      <c r="B408">
        <v>2019</v>
      </c>
      <c r="C408" t="s">
        <v>1075</v>
      </c>
      <c r="D408" t="s">
        <v>1077</v>
      </c>
    </row>
    <row r="409" spans="1:4" x14ac:dyDescent="0.3">
      <c r="A409" s="2">
        <v>43508</v>
      </c>
      <c r="B409">
        <v>2019</v>
      </c>
      <c r="C409" t="s">
        <v>1075</v>
      </c>
      <c r="D409" t="s">
        <v>1077</v>
      </c>
    </row>
    <row r="410" spans="1:4" x14ac:dyDescent="0.3">
      <c r="A410" s="2">
        <v>43509</v>
      </c>
      <c r="B410">
        <v>2019</v>
      </c>
      <c r="C410" t="s">
        <v>1075</v>
      </c>
      <c r="D410" t="s">
        <v>1077</v>
      </c>
    </row>
    <row r="411" spans="1:4" x14ac:dyDescent="0.3">
      <c r="A411" s="2">
        <v>43510</v>
      </c>
      <c r="B411">
        <v>2019</v>
      </c>
      <c r="C411" t="s">
        <v>1075</v>
      </c>
      <c r="D411" t="s">
        <v>1077</v>
      </c>
    </row>
    <row r="412" spans="1:4" x14ac:dyDescent="0.3">
      <c r="A412" s="2">
        <v>43511</v>
      </c>
      <c r="B412">
        <v>2019</v>
      </c>
      <c r="C412" t="s">
        <v>1075</v>
      </c>
      <c r="D412" t="s">
        <v>1077</v>
      </c>
    </row>
    <row r="413" spans="1:4" x14ac:dyDescent="0.3">
      <c r="A413" s="2">
        <v>43512</v>
      </c>
      <c r="B413">
        <v>2019</v>
      </c>
      <c r="C413" t="s">
        <v>1075</v>
      </c>
      <c r="D413" t="s">
        <v>1077</v>
      </c>
    </row>
    <row r="414" spans="1:4" x14ac:dyDescent="0.3">
      <c r="A414" s="2">
        <v>43513</v>
      </c>
      <c r="B414">
        <v>2019</v>
      </c>
      <c r="C414" t="s">
        <v>1075</v>
      </c>
      <c r="D414" t="s">
        <v>1077</v>
      </c>
    </row>
    <row r="415" spans="1:4" x14ac:dyDescent="0.3">
      <c r="A415" s="2">
        <v>43514</v>
      </c>
      <c r="B415">
        <v>2019</v>
      </c>
      <c r="C415" t="s">
        <v>1075</v>
      </c>
      <c r="D415" t="s">
        <v>1077</v>
      </c>
    </row>
    <row r="416" spans="1:4" x14ac:dyDescent="0.3">
      <c r="A416" s="2">
        <v>43515</v>
      </c>
      <c r="B416">
        <v>2019</v>
      </c>
      <c r="C416" t="s">
        <v>1075</v>
      </c>
      <c r="D416" t="s">
        <v>1077</v>
      </c>
    </row>
    <row r="417" spans="1:4" x14ac:dyDescent="0.3">
      <c r="A417" s="2">
        <v>43516</v>
      </c>
      <c r="B417">
        <v>2019</v>
      </c>
      <c r="C417" t="s">
        <v>1075</v>
      </c>
      <c r="D417" t="s">
        <v>1077</v>
      </c>
    </row>
    <row r="418" spans="1:4" x14ac:dyDescent="0.3">
      <c r="A418" s="2">
        <v>43517</v>
      </c>
      <c r="B418">
        <v>2019</v>
      </c>
      <c r="C418" t="s">
        <v>1075</v>
      </c>
      <c r="D418" t="s">
        <v>1077</v>
      </c>
    </row>
    <row r="419" spans="1:4" x14ac:dyDescent="0.3">
      <c r="A419" s="2">
        <v>43518</v>
      </c>
      <c r="B419">
        <v>2019</v>
      </c>
      <c r="C419" t="s">
        <v>1075</v>
      </c>
      <c r="D419" t="s">
        <v>1077</v>
      </c>
    </row>
    <row r="420" spans="1:4" x14ac:dyDescent="0.3">
      <c r="A420" s="2">
        <v>43519</v>
      </c>
      <c r="B420">
        <v>2019</v>
      </c>
      <c r="C420" t="s">
        <v>1075</v>
      </c>
      <c r="D420" t="s">
        <v>1077</v>
      </c>
    </row>
    <row r="421" spans="1:4" x14ac:dyDescent="0.3">
      <c r="A421" s="2">
        <v>43520</v>
      </c>
      <c r="B421">
        <v>2019</v>
      </c>
      <c r="C421" t="s">
        <v>1075</v>
      </c>
      <c r="D421" t="s">
        <v>1077</v>
      </c>
    </row>
    <row r="422" spans="1:4" x14ac:dyDescent="0.3">
      <c r="A422" s="2">
        <v>43521</v>
      </c>
      <c r="B422">
        <v>2019</v>
      </c>
      <c r="C422" t="s">
        <v>1075</v>
      </c>
      <c r="D422" t="s">
        <v>1077</v>
      </c>
    </row>
    <row r="423" spans="1:4" x14ac:dyDescent="0.3">
      <c r="A423" s="2">
        <v>43522</v>
      </c>
      <c r="B423">
        <v>2019</v>
      </c>
      <c r="C423" t="s">
        <v>1075</v>
      </c>
      <c r="D423" t="s">
        <v>1077</v>
      </c>
    </row>
    <row r="424" spans="1:4" x14ac:dyDescent="0.3">
      <c r="A424" s="2">
        <v>43523</v>
      </c>
      <c r="B424">
        <v>2019</v>
      </c>
      <c r="C424" t="s">
        <v>1075</v>
      </c>
      <c r="D424" t="s">
        <v>1077</v>
      </c>
    </row>
    <row r="425" spans="1:4" x14ac:dyDescent="0.3">
      <c r="A425" s="2">
        <v>43524</v>
      </c>
      <c r="B425">
        <v>2019</v>
      </c>
      <c r="C425" t="s">
        <v>1075</v>
      </c>
      <c r="D425" t="s">
        <v>1077</v>
      </c>
    </row>
    <row r="426" spans="1:4" x14ac:dyDescent="0.3">
      <c r="A426" s="2">
        <v>43525</v>
      </c>
      <c r="B426">
        <v>2019</v>
      </c>
      <c r="C426" t="s">
        <v>1075</v>
      </c>
      <c r="D426" t="s">
        <v>1078</v>
      </c>
    </row>
    <row r="427" spans="1:4" x14ac:dyDescent="0.3">
      <c r="A427" s="2">
        <v>43526</v>
      </c>
      <c r="B427">
        <v>2019</v>
      </c>
      <c r="C427" t="s">
        <v>1075</v>
      </c>
      <c r="D427" t="s">
        <v>1078</v>
      </c>
    </row>
    <row r="428" spans="1:4" x14ac:dyDescent="0.3">
      <c r="A428" s="2">
        <v>43527</v>
      </c>
      <c r="B428">
        <v>2019</v>
      </c>
      <c r="C428" t="s">
        <v>1075</v>
      </c>
      <c r="D428" t="s">
        <v>1078</v>
      </c>
    </row>
    <row r="429" spans="1:4" x14ac:dyDescent="0.3">
      <c r="A429" s="2">
        <v>43528</v>
      </c>
      <c r="B429">
        <v>2019</v>
      </c>
      <c r="C429" t="s">
        <v>1075</v>
      </c>
      <c r="D429" t="s">
        <v>1078</v>
      </c>
    </row>
    <row r="430" spans="1:4" x14ac:dyDescent="0.3">
      <c r="A430" s="2">
        <v>43529</v>
      </c>
      <c r="B430">
        <v>2019</v>
      </c>
      <c r="C430" t="s">
        <v>1075</v>
      </c>
      <c r="D430" t="s">
        <v>1078</v>
      </c>
    </row>
    <row r="431" spans="1:4" x14ac:dyDescent="0.3">
      <c r="A431" s="2">
        <v>43530</v>
      </c>
      <c r="B431">
        <v>2019</v>
      </c>
      <c r="C431" t="s">
        <v>1075</v>
      </c>
      <c r="D431" t="s">
        <v>1078</v>
      </c>
    </row>
    <row r="432" spans="1:4" x14ac:dyDescent="0.3">
      <c r="A432" s="2">
        <v>43531</v>
      </c>
      <c r="B432">
        <v>2019</v>
      </c>
      <c r="C432" t="s">
        <v>1075</v>
      </c>
      <c r="D432" t="s">
        <v>1078</v>
      </c>
    </row>
    <row r="433" spans="1:4" x14ac:dyDescent="0.3">
      <c r="A433" s="2">
        <v>43532</v>
      </c>
      <c r="B433">
        <v>2019</v>
      </c>
      <c r="C433" t="s">
        <v>1075</v>
      </c>
      <c r="D433" t="s">
        <v>1078</v>
      </c>
    </row>
    <row r="434" spans="1:4" x14ac:dyDescent="0.3">
      <c r="A434" s="2">
        <v>43533</v>
      </c>
      <c r="B434">
        <v>2019</v>
      </c>
      <c r="C434" t="s">
        <v>1075</v>
      </c>
      <c r="D434" t="s">
        <v>1078</v>
      </c>
    </row>
    <row r="435" spans="1:4" x14ac:dyDescent="0.3">
      <c r="A435" s="2">
        <v>43534</v>
      </c>
      <c r="B435">
        <v>2019</v>
      </c>
      <c r="C435" t="s">
        <v>1075</v>
      </c>
      <c r="D435" t="s">
        <v>1078</v>
      </c>
    </row>
    <row r="436" spans="1:4" x14ac:dyDescent="0.3">
      <c r="A436" s="2">
        <v>43535</v>
      </c>
      <c r="B436">
        <v>2019</v>
      </c>
      <c r="C436" t="s">
        <v>1075</v>
      </c>
      <c r="D436" t="s">
        <v>1078</v>
      </c>
    </row>
    <row r="437" spans="1:4" x14ac:dyDescent="0.3">
      <c r="A437" s="2">
        <v>43536</v>
      </c>
      <c r="B437">
        <v>2019</v>
      </c>
      <c r="C437" t="s">
        <v>1075</v>
      </c>
      <c r="D437" t="s">
        <v>1078</v>
      </c>
    </row>
    <row r="438" spans="1:4" x14ac:dyDescent="0.3">
      <c r="A438" s="2">
        <v>43537</v>
      </c>
      <c r="B438">
        <v>2019</v>
      </c>
      <c r="C438" t="s">
        <v>1075</v>
      </c>
      <c r="D438" t="s">
        <v>1078</v>
      </c>
    </row>
    <row r="439" spans="1:4" x14ac:dyDescent="0.3">
      <c r="A439" s="2">
        <v>43538</v>
      </c>
      <c r="B439">
        <v>2019</v>
      </c>
      <c r="C439" t="s">
        <v>1075</v>
      </c>
      <c r="D439" t="s">
        <v>1078</v>
      </c>
    </row>
    <row r="440" spans="1:4" x14ac:dyDescent="0.3">
      <c r="A440" s="2">
        <v>43539</v>
      </c>
      <c r="B440">
        <v>2019</v>
      </c>
      <c r="C440" t="s">
        <v>1075</v>
      </c>
      <c r="D440" t="s">
        <v>1078</v>
      </c>
    </row>
    <row r="441" spans="1:4" x14ac:dyDescent="0.3">
      <c r="A441" s="2">
        <v>43540</v>
      </c>
      <c r="B441">
        <v>2019</v>
      </c>
      <c r="C441" t="s">
        <v>1075</v>
      </c>
      <c r="D441" t="s">
        <v>1078</v>
      </c>
    </row>
    <row r="442" spans="1:4" x14ac:dyDescent="0.3">
      <c r="A442" s="2">
        <v>43541</v>
      </c>
      <c r="B442">
        <v>2019</v>
      </c>
      <c r="C442" t="s">
        <v>1075</v>
      </c>
      <c r="D442" t="s">
        <v>1078</v>
      </c>
    </row>
    <row r="443" spans="1:4" x14ac:dyDescent="0.3">
      <c r="A443" s="2">
        <v>43542</v>
      </c>
      <c r="B443">
        <v>2019</v>
      </c>
      <c r="C443" t="s">
        <v>1075</v>
      </c>
      <c r="D443" t="s">
        <v>1078</v>
      </c>
    </row>
    <row r="444" spans="1:4" x14ac:dyDescent="0.3">
      <c r="A444" s="2">
        <v>43543</v>
      </c>
      <c r="B444">
        <v>2019</v>
      </c>
      <c r="C444" t="s">
        <v>1075</v>
      </c>
      <c r="D444" t="s">
        <v>1078</v>
      </c>
    </row>
    <row r="445" spans="1:4" x14ac:dyDescent="0.3">
      <c r="A445" s="2">
        <v>43544</v>
      </c>
      <c r="B445">
        <v>2019</v>
      </c>
      <c r="C445" t="s">
        <v>1075</v>
      </c>
      <c r="D445" t="s">
        <v>1078</v>
      </c>
    </row>
    <row r="446" spans="1:4" x14ac:dyDescent="0.3">
      <c r="A446" s="2">
        <v>43545</v>
      </c>
      <c r="B446">
        <v>2019</v>
      </c>
      <c r="C446" t="s">
        <v>1075</v>
      </c>
      <c r="D446" t="s">
        <v>1078</v>
      </c>
    </row>
    <row r="447" spans="1:4" x14ac:dyDescent="0.3">
      <c r="A447" s="2">
        <v>43546</v>
      </c>
      <c r="B447">
        <v>2019</v>
      </c>
      <c r="C447" t="s">
        <v>1075</v>
      </c>
      <c r="D447" t="s">
        <v>1078</v>
      </c>
    </row>
    <row r="448" spans="1:4" x14ac:dyDescent="0.3">
      <c r="A448" s="2">
        <v>43547</v>
      </c>
      <c r="B448">
        <v>2019</v>
      </c>
      <c r="C448" t="s">
        <v>1075</v>
      </c>
      <c r="D448" t="s">
        <v>1078</v>
      </c>
    </row>
    <row r="449" spans="1:4" x14ac:dyDescent="0.3">
      <c r="A449" s="2">
        <v>43548</v>
      </c>
      <c r="B449">
        <v>2019</v>
      </c>
      <c r="C449" t="s">
        <v>1075</v>
      </c>
      <c r="D449" t="s">
        <v>1078</v>
      </c>
    </row>
    <row r="450" spans="1:4" x14ac:dyDescent="0.3">
      <c r="A450" s="2">
        <v>43549</v>
      </c>
      <c r="B450">
        <v>2019</v>
      </c>
      <c r="C450" t="s">
        <v>1075</v>
      </c>
      <c r="D450" t="s">
        <v>1078</v>
      </c>
    </row>
    <row r="451" spans="1:4" x14ac:dyDescent="0.3">
      <c r="A451" s="2">
        <v>43550</v>
      </c>
      <c r="B451">
        <v>2019</v>
      </c>
      <c r="C451" t="s">
        <v>1075</v>
      </c>
      <c r="D451" t="s">
        <v>1078</v>
      </c>
    </row>
    <row r="452" spans="1:4" x14ac:dyDescent="0.3">
      <c r="A452" s="2">
        <v>43551</v>
      </c>
      <c r="B452">
        <v>2019</v>
      </c>
      <c r="C452" t="s">
        <v>1075</v>
      </c>
      <c r="D452" t="s">
        <v>1078</v>
      </c>
    </row>
    <row r="453" spans="1:4" x14ac:dyDescent="0.3">
      <c r="A453" s="2">
        <v>43552</v>
      </c>
      <c r="B453">
        <v>2019</v>
      </c>
      <c r="C453" t="s">
        <v>1075</v>
      </c>
      <c r="D453" t="s">
        <v>1078</v>
      </c>
    </row>
    <row r="454" spans="1:4" x14ac:dyDescent="0.3">
      <c r="A454" s="2">
        <v>43553</v>
      </c>
      <c r="B454">
        <v>2019</v>
      </c>
      <c r="C454" t="s">
        <v>1075</v>
      </c>
      <c r="D454" t="s">
        <v>1078</v>
      </c>
    </row>
    <row r="455" spans="1:4" x14ac:dyDescent="0.3">
      <c r="A455" s="2">
        <v>43554</v>
      </c>
      <c r="B455">
        <v>2019</v>
      </c>
      <c r="C455" t="s">
        <v>1075</v>
      </c>
      <c r="D455" t="s">
        <v>1078</v>
      </c>
    </row>
    <row r="456" spans="1:4" x14ac:dyDescent="0.3">
      <c r="A456" s="2">
        <v>43555</v>
      </c>
      <c r="B456">
        <v>2019</v>
      </c>
      <c r="C456" t="s">
        <v>1075</v>
      </c>
      <c r="D456" t="s">
        <v>1078</v>
      </c>
    </row>
    <row r="457" spans="1:4" x14ac:dyDescent="0.3">
      <c r="A457" s="2">
        <v>43556</v>
      </c>
      <c r="B457">
        <v>2019</v>
      </c>
      <c r="C457" t="s">
        <v>1079</v>
      </c>
      <c r="D457" t="s">
        <v>1080</v>
      </c>
    </row>
    <row r="458" spans="1:4" x14ac:dyDescent="0.3">
      <c r="A458" s="2">
        <v>43557</v>
      </c>
      <c r="B458">
        <v>2019</v>
      </c>
      <c r="C458" t="s">
        <v>1079</v>
      </c>
      <c r="D458" t="s">
        <v>1080</v>
      </c>
    </row>
    <row r="459" spans="1:4" x14ac:dyDescent="0.3">
      <c r="A459" s="2">
        <v>43558</v>
      </c>
      <c r="B459">
        <v>2019</v>
      </c>
      <c r="C459" t="s">
        <v>1079</v>
      </c>
      <c r="D459" t="s">
        <v>1080</v>
      </c>
    </row>
    <row r="460" spans="1:4" x14ac:dyDescent="0.3">
      <c r="A460" s="2">
        <v>43559</v>
      </c>
      <c r="B460">
        <v>2019</v>
      </c>
      <c r="C460" t="s">
        <v>1079</v>
      </c>
      <c r="D460" t="s">
        <v>1080</v>
      </c>
    </row>
    <row r="461" spans="1:4" x14ac:dyDescent="0.3">
      <c r="A461" s="2">
        <v>43560</v>
      </c>
      <c r="B461">
        <v>2019</v>
      </c>
      <c r="C461" t="s">
        <v>1079</v>
      </c>
      <c r="D461" t="s">
        <v>1080</v>
      </c>
    </row>
    <row r="462" spans="1:4" x14ac:dyDescent="0.3">
      <c r="A462" s="2">
        <v>43561</v>
      </c>
      <c r="B462">
        <v>2019</v>
      </c>
      <c r="C462" t="s">
        <v>1079</v>
      </c>
      <c r="D462" t="s">
        <v>1080</v>
      </c>
    </row>
    <row r="463" spans="1:4" x14ac:dyDescent="0.3">
      <c r="A463" s="2">
        <v>43562</v>
      </c>
      <c r="B463">
        <v>2019</v>
      </c>
      <c r="C463" t="s">
        <v>1079</v>
      </c>
      <c r="D463" t="s">
        <v>1080</v>
      </c>
    </row>
    <row r="464" spans="1:4" x14ac:dyDescent="0.3">
      <c r="A464" s="2">
        <v>43563</v>
      </c>
      <c r="B464">
        <v>2019</v>
      </c>
      <c r="C464" t="s">
        <v>1079</v>
      </c>
      <c r="D464" t="s">
        <v>1080</v>
      </c>
    </row>
    <row r="465" spans="1:4" x14ac:dyDescent="0.3">
      <c r="A465" s="2">
        <v>43564</v>
      </c>
      <c r="B465">
        <v>2019</v>
      </c>
      <c r="C465" t="s">
        <v>1079</v>
      </c>
      <c r="D465" t="s">
        <v>1080</v>
      </c>
    </row>
    <row r="466" spans="1:4" x14ac:dyDescent="0.3">
      <c r="A466" s="2">
        <v>43565</v>
      </c>
      <c r="B466">
        <v>2019</v>
      </c>
      <c r="C466" t="s">
        <v>1079</v>
      </c>
      <c r="D466" t="s">
        <v>1080</v>
      </c>
    </row>
    <row r="467" spans="1:4" x14ac:dyDescent="0.3">
      <c r="A467" s="2">
        <v>43566</v>
      </c>
      <c r="B467">
        <v>2019</v>
      </c>
      <c r="C467" t="s">
        <v>1079</v>
      </c>
      <c r="D467" t="s">
        <v>1080</v>
      </c>
    </row>
    <row r="468" spans="1:4" x14ac:dyDescent="0.3">
      <c r="A468" s="2">
        <v>43567</v>
      </c>
      <c r="B468">
        <v>2019</v>
      </c>
      <c r="C468" t="s">
        <v>1079</v>
      </c>
      <c r="D468" t="s">
        <v>1080</v>
      </c>
    </row>
    <row r="469" spans="1:4" x14ac:dyDescent="0.3">
      <c r="A469" s="2">
        <v>43568</v>
      </c>
      <c r="B469">
        <v>2019</v>
      </c>
      <c r="C469" t="s">
        <v>1079</v>
      </c>
      <c r="D469" t="s">
        <v>1080</v>
      </c>
    </row>
    <row r="470" spans="1:4" x14ac:dyDescent="0.3">
      <c r="A470" s="2">
        <v>43569</v>
      </c>
      <c r="B470">
        <v>2019</v>
      </c>
      <c r="C470" t="s">
        <v>1079</v>
      </c>
      <c r="D470" t="s">
        <v>1080</v>
      </c>
    </row>
    <row r="471" spans="1:4" x14ac:dyDescent="0.3">
      <c r="A471" s="2">
        <v>43570</v>
      </c>
      <c r="B471">
        <v>2019</v>
      </c>
      <c r="C471" t="s">
        <v>1079</v>
      </c>
      <c r="D471" t="s">
        <v>1080</v>
      </c>
    </row>
    <row r="472" spans="1:4" x14ac:dyDescent="0.3">
      <c r="A472" s="2">
        <v>43571</v>
      </c>
      <c r="B472">
        <v>2019</v>
      </c>
      <c r="C472" t="s">
        <v>1079</v>
      </c>
      <c r="D472" t="s">
        <v>1080</v>
      </c>
    </row>
    <row r="473" spans="1:4" x14ac:dyDescent="0.3">
      <c r="A473" s="2">
        <v>43572</v>
      </c>
      <c r="B473">
        <v>2019</v>
      </c>
      <c r="C473" t="s">
        <v>1079</v>
      </c>
      <c r="D473" t="s">
        <v>1080</v>
      </c>
    </row>
    <row r="474" spans="1:4" x14ac:dyDescent="0.3">
      <c r="A474" s="2">
        <v>43573</v>
      </c>
      <c r="B474">
        <v>2019</v>
      </c>
      <c r="C474" t="s">
        <v>1079</v>
      </c>
      <c r="D474" t="s">
        <v>1080</v>
      </c>
    </row>
    <row r="475" spans="1:4" x14ac:dyDescent="0.3">
      <c r="A475" s="2">
        <v>43574</v>
      </c>
      <c r="B475">
        <v>2019</v>
      </c>
      <c r="C475" t="s">
        <v>1079</v>
      </c>
      <c r="D475" t="s">
        <v>1080</v>
      </c>
    </row>
    <row r="476" spans="1:4" x14ac:dyDescent="0.3">
      <c r="A476" s="2">
        <v>43575</v>
      </c>
      <c r="B476">
        <v>2019</v>
      </c>
      <c r="C476" t="s">
        <v>1079</v>
      </c>
      <c r="D476" t="s">
        <v>1080</v>
      </c>
    </row>
    <row r="477" spans="1:4" x14ac:dyDescent="0.3">
      <c r="A477" s="2">
        <v>43576</v>
      </c>
      <c r="B477">
        <v>2019</v>
      </c>
      <c r="C477" t="s">
        <v>1079</v>
      </c>
      <c r="D477" t="s">
        <v>1080</v>
      </c>
    </row>
    <row r="478" spans="1:4" x14ac:dyDescent="0.3">
      <c r="A478" s="2">
        <v>43577</v>
      </c>
      <c r="B478">
        <v>2019</v>
      </c>
      <c r="C478" t="s">
        <v>1079</v>
      </c>
      <c r="D478" t="s">
        <v>1080</v>
      </c>
    </row>
    <row r="479" spans="1:4" x14ac:dyDescent="0.3">
      <c r="A479" s="2">
        <v>43578</v>
      </c>
      <c r="B479">
        <v>2019</v>
      </c>
      <c r="C479" t="s">
        <v>1079</v>
      </c>
      <c r="D479" t="s">
        <v>1080</v>
      </c>
    </row>
    <row r="480" spans="1:4" x14ac:dyDescent="0.3">
      <c r="A480" s="2">
        <v>43579</v>
      </c>
      <c r="B480">
        <v>2019</v>
      </c>
      <c r="C480" t="s">
        <v>1079</v>
      </c>
      <c r="D480" t="s">
        <v>1080</v>
      </c>
    </row>
    <row r="481" spans="1:4" x14ac:dyDescent="0.3">
      <c r="A481" s="2">
        <v>43580</v>
      </c>
      <c r="B481">
        <v>2019</v>
      </c>
      <c r="C481" t="s">
        <v>1079</v>
      </c>
      <c r="D481" t="s">
        <v>1080</v>
      </c>
    </row>
    <row r="482" spans="1:4" x14ac:dyDescent="0.3">
      <c r="A482" s="2">
        <v>43581</v>
      </c>
      <c r="B482">
        <v>2019</v>
      </c>
      <c r="C482" t="s">
        <v>1079</v>
      </c>
      <c r="D482" t="s">
        <v>1080</v>
      </c>
    </row>
    <row r="483" spans="1:4" x14ac:dyDescent="0.3">
      <c r="A483" s="2">
        <v>43582</v>
      </c>
      <c r="B483">
        <v>2019</v>
      </c>
      <c r="C483" t="s">
        <v>1079</v>
      </c>
      <c r="D483" t="s">
        <v>1080</v>
      </c>
    </row>
    <row r="484" spans="1:4" x14ac:dyDescent="0.3">
      <c r="A484" s="2">
        <v>43583</v>
      </c>
      <c r="B484">
        <v>2019</v>
      </c>
      <c r="C484" t="s">
        <v>1079</v>
      </c>
      <c r="D484" t="s">
        <v>1080</v>
      </c>
    </row>
    <row r="485" spans="1:4" x14ac:dyDescent="0.3">
      <c r="A485" s="2">
        <v>43584</v>
      </c>
      <c r="B485">
        <v>2019</v>
      </c>
      <c r="C485" t="s">
        <v>1079</v>
      </c>
      <c r="D485" t="s">
        <v>1080</v>
      </c>
    </row>
    <row r="486" spans="1:4" x14ac:dyDescent="0.3">
      <c r="A486" s="2">
        <v>43585</v>
      </c>
      <c r="B486">
        <v>2019</v>
      </c>
      <c r="C486" t="s">
        <v>1079</v>
      </c>
      <c r="D486" t="s">
        <v>1080</v>
      </c>
    </row>
    <row r="487" spans="1:4" x14ac:dyDescent="0.3">
      <c r="A487" s="2">
        <v>43586</v>
      </c>
      <c r="B487">
        <v>2019</v>
      </c>
      <c r="C487" t="s">
        <v>1079</v>
      </c>
      <c r="D487" t="s">
        <v>1081</v>
      </c>
    </row>
    <row r="488" spans="1:4" x14ac:dyDescent="0.3">
      <c r="A488" s="2">
        <v>43587</v>
      </c>
      <c r="B488">
        <v>2019</v>
      </c>
      <c r="C488" t="s">
        <v>1079</v>
      </c>
      <c r="D488" t="s">
        <v>1081</v>
      </c>
    </row>
    <row r="489" spans="1:4" x14ac:dyDescent="0.3">
      <c r="A489" s="2">
        <v>43588</v>
      </c>
      <c r="B489">
        <v>2019</v>
      </c>
      <c r="C489" t="s">
        <v>1079</v>
      </c>
      <c r="D489" t="s">
        <v>1081</v>
      </c>
    </row>
    <row r="490" spans="1:4" x14ac:dyDescent="0.3">
      <c r="A490" s="2">
        <v>43589</v>
      </c>
      <c r="B490">
        <v>2019</v>
      </c>
      <c r="C490" t="s">
        <v>1079</v>
      </c>
      <c r="D490" t="s">
        <v>1081</v>
      </c>
    </row>
    <row r="491" spans="1:4" x14ac:dyDescent="0.3">
      <c r="A491" s="2">
        <v>43590</v>
      </c>
      <c r="B491">
        <v>2019</v>
      </c>
      <c r="C491" t="s">
        <v>1079</v>
      </c>
      <c r="D491" t="s">
        <v>1081</v>
      </c>
    </row>
    <row r="492" spans="1:4" x14ac:dyDescent="0.3">
      <c r="A492" s="2">
        <v>43591</v>
      </c>
      <c r="B492">
        <v>2019</v>
      </c>
      <c r="C492" t="s">
        <v>1079</v>
      </c>
      <c r="D492" t="s">
        <v>1081</v>
      </c>
    </row>
    <row r="493" spans="1:4" x14ac:dyDescent="0.3">
      <c r="A493" s="2">
        <v>43592</v>
      </c>
      <c r="B493">
        <v>2019</v>
      </c>
      <c r="C493" t="s">
        <v>1079</v>
      </c>
      <c r="D493" t="s">
        <v>1081</v>
      </c>
    </row>
    <row r="494" spans="1:4" x14ac:dyDescent="0.3">
      <c r="A494" s="2">
        <v>43593</v>
      </c>
      <c r="B494">
        <v>2019</v>
      </c>
      <c r="C494" t="s">
        <v>1079</v>
      </c>
      <c r="D494" t="s">
        <v>1081</v>
      </c>
    </row>
    <row r="495" spans="1:4" x14ac:dyDescent="0.3">
      <c r="A495" s="2">
        <v>43594</v>
      </c>
      <c r="B495">
        <v>2019</v>
      </c>
      <c r="C495" t="s">
        <v>1079</v>
      </c>
      <c r="D495" t="s">
        <v>1081</v>
      </c>
    </row>
    <row r="496" spans="1:4" x14ac:dyDescent="0.3">
      <c r="A496" s="2">
        <v>43595</v>
      </c>
      <c r="B496">
        <v>2019</v>
      </c>
      <c r="C496" t="s">
        <v>1079</v>
      </c>
      <c r="D496" t="s">
        <v>1081</v>
      </c>
    </row>
    <row r="497" spans="1:4" x14ac:dyDescent="0.3">
      <c r="A497" s="2">
        <v>43596</v>
      </c>
      <c r="B497">
        <v>2019</v>
      </c>
      <c r="C497" t="s">
        <v>1079</v>
      </c>
      <c r="D497" t="s">
        <v>1081</v>
      </c>
    </row>
    <row r="498" spans="1:4" x14ac:dyDescent="0.3">
      <c r="A498" s="2">
        <v>43597</v>
      </c>
      <c r="B498">
        <v>2019</v>
      </c>
      <c r="C498" t="s">
        <v>1079</v>
      </c>
      <c r="D498" t="s">
        <v>1081</v>
      </c>
    </row>
    <row r="499" spans="1:4" x14ac:dyDescent="0.3">
      <c r="A499" s="2">
        <v>43598</v>
      </c>
      <c r="B499">
        <v>2019</v>
      </c>
      <c r="C499" t="s">
        <v>1079</v>
      </c>
      <c r="D499" t="s">
        <v>1081</v>
      </c>
    </row>
    <row r="500" spans="1:4" x14ac:dyDescent="0.3">
      <c r="A500" s="2">
        <v>43599</v>
      </c>
      <c r="B500">
        <v>2019</v>
      </c>
      <c r="C500" t="s">
        <v>1079</v>
      </c>
      <c r="D500" t="s">
        <v>1081</v>
      </c>
    </row>
    <row r="501" spans="1:4" x14ac:dyDescent="0.3">
      <c r="A501" s="2">
        <v>43600</v>
      </c>
      <c r="B501">
        <v>2019</v>
      </c>
      <c r="C501" t="s">
        <v>1079</v>
      </c>
      <c r="D501" t="s">
        <v>1081</v>
      </c>
    </row>
    <row r="502" spans="1:4" x14ac:dyDescent="0.3">
      <c r="A502" s="2">
        <v>43601</v>
      </c>
      <c r="B502">
        <v>2019</v>
      </c>
      <c r="C502" t="s">
        <v>1079</v>
      </c>
      <c r="D502" t="s">
        <v>1081</v>
      </c>
    </row>
    <row r="503" spans="1:4" x14ac:dyDescent="0.3">
      <c r="A503" s="2">
        <v>43602</v>
      </c>
      <c r="B503">
        <v>2019</v>
      </c>
      <c r="C503" t="s">
        <v>1079</v>
      </c>
      <c r="D503" t="s">
        <v>1081</v>
      </c>
    </row>
    <row r="504" spans="1:4" x14ac:dyDescent="0.3">
      <c r="A504" s="2">
        <v>43603</v>
      </c>
      <c r="B504">
        <v>2019</v>
      </c>
      <c r="C504" t="s">
        <v>1079</v>
      </c>
      <c r="D504" t="s">
        <v>1081</v>
      </c>
    </row>
    <row r="505" spans="1:4" x14ac:dyDescent="0.3">
      <c r="A505" s="2">
        <v>43604</v>
      </c>
      <c r="B505">
        <v>2019</v>
      </c>
      <c r="C505" t="s">
        <v>1079</v>
      </c>
      <c r="D505" t="s">
        <v>1081</v>
      </c>
    </row>
    <row r="506" spans="1:4" x14ac:dyDescent="0.3">
      <c r="A506" s="2">
        <v>43605</v>
      </c>
      <c r="B506">
        <v>2019</v>
      </c>
      <c r="C506" t="s">
        <v>1079</v>
      </c>
      <c r="D506" t="s">
        <v>1081</v>
      </c>
    </row>
    <row r="507" spans="1:4" x14ac:dyDescent="0.3">
      <c r="A507" s="2">
        <v>43606</v>
      </c>
      <c r="B507">
        <v>2019</v>
      </c>
      <c r="C507" t="s">
        <v>1079</v>
      </c>
      <c r="D507" t="s">
        <v>1081</v>
      </c>
    </row>
    <row r="508" spans="1:4" x14ac:dyDescent="0.3">
      <c r="A508" s="2">
        <v>43607</v>
      </c>
      <c r="B508">
        <v>2019</v>
      </c>
      <c r="C508" t="s">
        <v>1079</v>
      </c>
      <c r="D508" t="s">
        <v>1081</v>
      </c>
    </row>
    <row r="509" spans="1:4" x14ac:dyDescent="0.3">
      <c r="A509" s="2">
        <v>43608</v>
      </c>
      <c r="B509">
        <v>2019</v>
      </c>
      <c r="C509" t="s">
        <v>1079</v>
      </c>
      <c r="D509" t="s">
        <v>1081</v>
      </c>
    </row>
    <row r="510" spans="1:4" x14ac:dyDescent="0.3">
      <c r="A510" s="2">
        <v>43609</v>
      </c>
      <c r="B510">
        <v>2019</v>
      </c>
      <c r="C510" t="s">
        <v>1079</v>
      </c>
      <c r="D510" t="s">
        <v>1081</v>
      </c>
    </row>
    <row r="511" spans="1:4" x14ac:dyDescent="0.3">
      <c r="A511" s="2">
        <v>43610</v>
      </c>
      <c r="B511">
        <v>2019</v>
      </c>
      <c r="C511" t="s">
        <v>1079</v>
      </c>
      <c r="D511" t="s">
        <v>1081</v>
      </c>
    </row>
    <row r="512" spans="1:4" x14ac:dyDescent="0.3">
      <c r="A512" s="2">
        <v>43611</v>
      </c>
      <c r="B512">
        <v>2019</v>
      </c>
      <c r="C512" t="s">
        <v>1079</v>
      </c>
      <c r="D512" t="s">
        <v>1081</v>
      </c>
    </row>
    <row r="513" spans="1:4" x14ac:dyDescent="0.3">
      <c r="A513" s="2">
        <v>43612</v>
      </c>
      <c r="B513">
        <v>2019</v>
      </c>
      <c r="C513" t="s">
        <v>1079</v>
      </c>
      <c r="D513" t="s">
        <v>1081</v>
      </c>
    </row>
    <row r="514" spans="1:4" x14ac:dyDescent="0.3">
      <c r="A514" s="2">
        <v>43613</v>
      </c>
      <c r="B514">
        <v>2019</v>
      </c>
      <c r="C514" t="s">
        <v>1079</v>
      </c>
      <c r="D514" t="s">
        <v>1081</v>
      </c>
    </row>
    <row r="515" spans="1:4" x14ac:dyDescent="0.3">
      <c r="A515" s="2">
        <v>43614</v>
      </c>
      <c r="B515">
        <v>2019</v>
      </c>
      <c r="C515" t="s">
        <v>1079</v>
      </c>
      <c r="D515" t="s">
        <v>1081</v>
      </c>
    </row>
    <row r="516" spans="1:4" x14ac:dyDescent="0.3">
      <c r="A516" s="2">
        <v>43615</v>
      </c>
      <c r="B516">
        <v>2019</v>
      </c>
      <c r="C516" t="s">
        <v>1079</v>
      </c>
      <c r="D516" t="s">
        <v>1081</v>
      </c>
    </row>
    <row r="517" spans="1:4" x14ac:dyDescent="0.3">
      <c r="A517" s="2">
        <v>43616</v>
      </c>
      <c r="B517">
        <v>2019</v>
      </c>
      <c r="C517" t="s">
        <v>1079</v>
      </c>
      <c r="D517" t="s">
        <v>1081</v>
      </c>
    </row>
    <row r="518" spans="1:4" x14ac:dyDescent="0.3">
      <c r="A518" s="2">
        <v>43617</v>
      </c>
      <c r="B518">
        <v>2019</v>
      </c>
      <c r="C518" t="s">
        <v>1079</v>
      </c>
      <c r="D518" t="s">
        <v>1082</v>
      </c>
    </row>
    <row r="519" spans="1:4" x14ac:dyDescent="0.3">
      <c r="A519" s="2">
        <v>43618</v>
      </c>
      <c r="B519">
        <v>2019</v>
      </c>
      <c r="C519" t="s">
        <v>1079</v>
      </c>
      <c r="D519" t="s">
        <v>1082</v>
      </c>
    </row>
    <row r="520" spans="1:4" x14ac:dyDescent="0.3">
      <c r="A520" s="2">
        <v>43619</v>
      </c>
      <c r="B520">
        <v>2019</v>
      </c>
      <c r="C520" t="s">
        <v>1079</v>
      </c>
      <c r="D520" t="s">
        <v>1082</v>
      </c>
    </row>
    <row r="521" spans="1:4" x14ac:dyDescent="0.3">
      <c r="A521" s="2">
        <v>43620</v>
      </c>
      <c r="B521">
        <v>2019</v>
      </c>
      <c r="C521" t="s">
        <v>1079</v>
      </c>
      <c r="D521" t="s">
        <v>1082</v>
      </c>
    </row>
    <row r="522" spans="1:4" x14ac:dyDescent="0.3">
      <c r="A522" s="2">
        <v>43621</v>
      </c>
      <c r="B522">
        <v>2019</v>
      </c>
      <c r="C522" t="s">
        <v>1079</v>
      </c>
      <c r="D522" t="s">
        <v>1082</v>
      </c>
    </row>
    <row r="523" spans="1:4" x14ac:dyDescent="0.3">
      <c r="A523" s="2">
        <v>43622</v>
      </c>
      <c r="B523">
        <v>2019</v>
      </c>
      <c r="C523" t="s">
        <v>1079</v>
      </c>
      <c r="D523" t="s">
        <v>1082</v>
      </c>
    </row>
    <row r="524" spans="1:4" x14ac:dyDescent="0.3">
      <c r="A524" s="2">
        <v>43623</v>
      </c>
      <c r="B524">
        <v>2019</v>
      </c>
      <c r="C524" t="s">
        <v>1079</v>
      </c>
      <c r="D524" t="s">
        <v>1082</v>
      </c>
    </row>
    <row r="525" spans="1:4" x14ac:dyDescent="0.3">
      <c r="A525" s="2">
        <v>43624</v>
      </c>
      <c r="B525">
        <v>2019</v>
      </c>
      <c r="C525" t="s">
        <v>1079</v>
      </c>
      <c r="D525" t="s">
        <v>1082</v>
      </c>
    </row>
    <row r="526" spans="1:4" x14ac:dyDescent="0.3">
      <c r="A526" s="2">
        <v>43625</v>
      </c>
      <c r="B526">
        <v>2019</v>
      </c>
      <c r="C526" t="s">
        <v>1079</v>
      </c>
      <c r="D526" t="s">
        <v>1082</v>
      </c>
    </row>
    <row r="527" spans="1:4" x14ac:dyDescent="0.3">
      <c r="A527" s="2">
        <v>43626</v>
      </c>
      <c r="B527">
        <v>2019</v>
      </c>
      <c r="C527" t="s">
        <v>1079</v>
      </c>
      <c r="D527" t="s">
        <v>1082</v>
      </c>
    </row>
    <row r="528" spans="1:4" x14ac:dyDescent="0.3">
      <c r="A528" s="2">
        <v>43627</v>
      </c>
      <c r="B528">
        <v>2019</v>
      </c>
      <c r="C528" t="s">
        <v>1079</v>
      </c>
      <c r="D528" t="s">
        <v>1082</v>
      </c>
    </row>
    <row r="529" spans="1:4" x14ac:dyDescent="0.3">
      <c r="A529" s="2">
        <v>43628</v>
      </c>
      <c r="B529">
        <v>2019</v>
      </c>
      <c r="C529" t="s">
        <v>1079</v>
      </c>
      <c r="D529" t="s">
        <v>1082</v>
      </c>
    </row>
    <row r="530" spans="1:4" x14ac:dyDescent="0.3">
      <c r="A530" s="2">
        <v>43629</v>
      </c>
      <c r="B530">
        <v>2019</v>
      </c>
      <c r="C530" t="s">
        <v>1079</v>
      </c>
      <c r="D530" t="s">
        <v>1082</v>
      </c>
    </row>
    <row r="531" spans="1:4" x14ac:dyDescent="0.3">
      <c r="A531" s="2">
        <v>43630</v>
      </c>
      <c r="B531">
        <v>2019</v>
      </c>
      <c r="C531" t="s">
        <v>1079</v>
      </c>
      <c r="D531" t="s">
        <v>1082</v>
      </c>
    </row>
    <row r="532" spans="1:4" x14ac:dyDescent="0.3">
      <c r="A532" s="2">
        <v>43631</v>
      </c>
      <c r="B532">
        <v>2019</v>
      </c>
      <c r="C532" t="s">
        <v>1079</v>
      </c>
      <c r="D532" t="s">
        <v>1082</v>
      </c>
    </row>
    <row r="533" spans="1:4" x14ac:dyDescent="0.3">
      <c r="A533" s="2">
        <v>43632</v>
      </c>
      <c r="B533">
        <v>2019</v>
      </c>
      <c r="C533" t="s">
        <v>1079</v>
      </c>
      <c r="D533" t="s">
        <v>1082</v>
      </c>
    </row>
    <row r="534" spans="1:4" x14ac:dyDescent="0.3">
      <c r="A534" s="2">
        <v>43633</v>
      </c>
      <c r="B534">
        <v>2019</v>
      </c>
      <c r="C534" t="s">
        <v>1079</v>
      </c>
      <c r="D534" t="s">
        <v>1082</v>
      </c>
    </row>
    <row r="535" spans="1:4" x14ac:dyDescent="0.3">
      <c r="A535" s="2">
        <v>43634</v>
      </c>
      <c r="B535">
        <v>2019</v>
      </c>
      <c r="C535" t="s">
        <v>1079</v>
      </c>
      <c r="D535" t="s">
        <v>1082</v>
      </c>
    </row>
    <row r="536" spans="1:4" x14ac:dyDescent="0.3">
      <c r="A536" s="2">
        <v>43635</v>
      </c>
      <c r="B536">
        <v>2019</v>
      </c>
      <c r="C536" t="s">
        <v>1079</v>
      </c>
      <c r="D536" t="s">
        <v>1082</v>
      </c>
    </row>
    <row r="537" spans="1:4" x14ac:dyDescent="0.3">
      <c r="A537" s="2">
        <v>43636</v>
      </c>
      <c r="B537">
        <v>2019</v>
      </c>
      <c r="C537" t="s">
        <v>1079</v>
      </c>
      <c r="D537" t="s">
        <v>1082</v>
      </c>
    </row>
    <row r="538" spans="1:4" x14ac:dyDescent="0.3">
      <c r="A538" s="2">
        <v>43637</v>
      </c>
      <c r="B538">
        <v>2019</v>
      </c>
      <c r="C538" t="s">
        <v>1079</v>
      </c>
      <c r="D538" t="s">
        <v>1082</v>
      </c>
    </row>
    <row r="539" spans="1:4" x14ac:dyDescent="0.3">
      <c r="A539" s="2">
        <v>43638</v>
      </c>
      <c r="B539">
        <v>2019</v>
      </c>
      <c r="C539" t="s">
        <v>1079</v>
      </c>
      <c r="D539" t="s">
        <v>1082</v>
      </c>
    </row>
    <row r="540" spans="1:4" x14ac:dyDescent="0.3">
      <c r="A540" s="2">
        <v>43639</v>
      </c>
      <c r="B540">
        <v>2019</v>
      </c>
      <c r="C540" t="s">
        <v>1079</v>
      </c>
      <c r="D540" t="s">
        <v>1082</v>
      </c>
    </row>
    <row r="541" spans="1:4" x14ac:dyDescent="0.3">
      <c r="A541" s="2">
        <v>43640</v>
      </c>
      <c r="B541">
        <v>2019</v>
      </c>
      <c r="C541" t="s">
        <v>1079</v>
      </c>
      <c r="D541" t="s">
        <v>1082</v>
      </c>
    </row>
    <row r="542" spans="1:4" x14ac:dyDescent="0.3">
      <c r="A542" s="2">
        <v>43641</v>
      </c>
      <c r="B542">
        <v>2019</v>
      </c>
      <c r="C542" t="s">
        <v>1079</v>
      </c>
      <c r="D542" t="s">
        <v>1082</v>
      </c>
    </row>
    <row r="543" spans="1:4" x14ac:dyDescent="0.3">
      <c r="A543" s="2">
        <v>43642</v>
      </c>
      <c r="B543">
        <v>2019</v>
      </c>
      <c r="C543" t="s">
        <v>1079</v>
      </c>
      <c r="D543" t="s">
        <v>1082</v>
      </c>
    </row>
    <row r="544" spans="1:4" x14ac:dyDescent="0.3">
      <c r="A544" s="2">
        <v>43643</v>
      </c>
      <c r="B544">
        <v>2019</v>
      </c>
      <c r="C544" t="s">
        <v>1079</v>
      </c>
      <c r="D544" t="s">
        <v>1082</v>
      </c>
    </row>
    <row r="545" spans="1:4" x14ac:dyDescent="0.3">
      <c r="A545" s="2">
        <v>43644</v>
      </c>
      <c r="B545">
        <v>2019</v>
      </c>
      <c r="C545" t="s">
        <v>1079</v>
      </c>
      <c r="D545" t="s">
        <v>1082</v>
      </c>
    </row>
    <row r="546" spans="1:4" x14ac:dyDescent="0.3">
      <c r="A546" s="2">
        <v>43645</v>
      </c>
      <c r="B546">
        <v>2019</v>
      </c>
      <c r="C546" t="s">
        <v>1079</v>
      </c>
      <c r="D546" t="s">
        <v>1082</v>
      </c>
    </row>
    <row r="547" spans="1:4" x14ac:dyDescent="0.3">
      <c r="A547" s="2">
        <v>43646</v>
      </c>
      <c r="B547">
        <v>2019</v>
      </c>
      <c r="C547" t="s">
        <v>1079</v>
      </c>
      <c r="D547" t="s">
        <v>1082</v>
      </c>
    </row>
    <row r="548" spans="1:4" x14ac:dyDescent="0.3">
      <c r="A548" s="2">
        <v>43647</v>
      </c>
      <c r="B548">
        <v>2019</v>
      </c>
      <c r="C548" t="s">
        <v>1083</v>
      </c>
      <c r="D548" t="s">
        <v>1084</v>
      </c>
    </row>
    <row r="549" spans="1:4" x14ac:dyDescent="0.3">
      <c r="A549" s="2">
        <v>43648</v>
      </c>
      <c r="B549">
        <v>2019</v>
      </c>
      <c r="C549" t="s">
        <v>1083</v>
      </c>
      <c r="D549" t="s">
        <v>1084</v>
      </c>
    </row>
    <row r="550" spans="1:4" x14ac:dyDescent="0.3">
      <c r="A550" s="2">
        <v>43649</v>
      </c>
      <c r="B550">
        <v>2019</v>
      </c>
      <c r="C550" t="s">
        <v>1083</v>
      </c>
      <c r="D550" t="s">
        <v>1084</v>
      </c>
    </row>
    <row r="551" spans="1:4" x14ac:dyDescent="0.3">
      <c r="A551" s="2">
        <v>43650</v>
      </c>
      <c r="B551">
        <v>2019</v>
      </c>
      <c r="C551" t="s">
        <v>1083</v>
      </c>
      <c r="D551" t="s">
        <v>1084</v>
      </c>
    </row>
    <row r="552" spans="1:4" x14ac:dyDescent="0.3">
      <c r="A552" s="2">
        <v>43651</v>
      </c>
      <c r="B552">
        <v>2019</v>
      </c>
      <c r="C552" t="s">
        <v>1083</v>
      </c>
      <c r="D552" t="s">
        <v>1084</v>
      </c>
    </row>
    <row r="553" spans="1:4" x14ac:dyDescent="0.3">
      <c r="A553" s="2">
        <v>43652</v>
      </c>
      <c r="B553">
        <v>2019</v>
      </c>
      <c r="C553" t="s">
        <v>1083</v>
      </c>
      <c r="D553" t="s">
        <v>1084</v>
      </c>
    </row>
    <row r="554" spans="1:4" x14ac:dyDescent="0.3">
      <c r="A554" s="2">
        <v>43653</v>
      </c>
      <c r="B554">
        <v>2019</v>
      </c>
      <c r="C554" t="s">
        <v>1083</v>
      </c>
      <c r="D554" t="s">
        <v>1084</v>
      </c>
    </row>
    <row r="555" spans="1:4" x14ac:dyDescent="0.3">
      <c r="A555" s="2">
        <v>43654</v>
      </c>
      <c r="B555">
        <v>2019</v>
      </c>
      <c r="C555" t="s">
        <v>1083</v>
      </c>
      <c r="D555" t="s">
        <v>1084</v>
      </c>
    </row>
    <row r="556" spans="1:4" x14ac:dyDescent="0.3">
      <c r="A556" s="2">
        <v>43655</v>
      </c>
      <c r="B556">
        <v>2019</v>
      </c>
      <c r="C556" t="s">
        <v>1083</v>
      </c>
      <c r="D556" t="s">
        <v>1084</v>
      </c>
    </row>
    <row r="557" spans="1:4" x14ac:dyDescent="0.3">
      <c r="A557" s="2">
        <v>43656</v>
      </c>
      <c r="B557">
        <v>2019</v>
      </c>
      <c r="C557" t="s">
        <v>1083</v>
      </c>
      <c r="D557" t="s">
        <v>1084</v>
      </c>
    </row>
    <row r="558" spans="1:4" x14ac:dyDescent="0.3">
      <c r="A558" s="2">
        <v>43657</v>
      </c>
      <c r="B558">
        <v>2019</v>
      </c>
      <c r="C558" t="s">
        <v>1083</v>
      </c>
      <c r="D558" t="s">
        <v>1084</v>
      </c>
    </row>
    <row r="559" spans="1:4" x14ac:dyDescent="0.3">
      <c r="A559" s="2">
        <v>43658</v>
      </c>
      <c r="B559">
        <v>2019</v>
      </c>
      <c r="C559" t="s">
        <v>1083</v>
      </c>
      <c r="D559" t="s">
        <v>1084</v>
      </c>
    </row>
    <row r="560" spans="1:4" x14ac:dyDescent="0.3">
      <c r="A560" s="2">
        <v>43659</v>
      </c>
      <c r="B560">
        <v>2019</v>
      </c>
      <c r="C560" t="s">
        <v>1083</v>
      </c>
      <c r="D560" t="s">
        <v>1084</v>
      </c>
    </row>
    <row r="561" spans="1:4" x14ac:dyDescent="0.3">
      <c r="A561" s="2">
        <v>43660</v>
      </c>
      <c r="B561">
        <v>2019</v>
      </c>
      <c r="C561" t="s">
        <v>1083</v>
      </c>
      <c r="D561" t="s">
        <v>1084</v>
      </c>
    </row>
    <row r="562" spans="1:4" x14ac:dyDescent="0.3">
      <c r="A562" s="2">
        <v>43661</v>
      </c>
      <c r="B562">
        <v>2019</v>
      </c>
      <c r="C562" t="s">
        <v>1083</v>
      </c>
      <c r="D562" t="s">
        <v>1084</v>
      </c>
    </row>
    <row r="563" spans="1:4" x14ac:dyDescent="0.3">
      <c r="A563" s="2">
        <v>43662</v>
      </c>
      <c r="B563">
        <v>2019</v>
      </c>
      <c r="C563" t="s">
        <v>1083</v>
      </c>
      <c r="D563" t="s">
        <v>1084</v>
      </c>
    </row>
    <row r="564" spans="1:4" x14ac:dyDescent="0.3">
      <c r="A564" s="2">
        <v>43663</v>
      </c>
      <c r="B564">
        <v>2019</v>
      </c>
      <c r="C564" t="s">
        <v>1083</v>
      </c>
      <c r="D564" t="s">
        <v>1084</v>
      </c>
    </row>
    <row r="565" spans="1:4" x14ac:dyDescent="0.3">
      <c r="A565" s="2">
        <v>43664</v>
      </c>
      <c r="B565">
        <v>2019</v>
      </c>
      <c r="C565" t="s">
        <v>1083</v>
      </c>
      <c r="D565" t="s">
        <v>1084</v>
      </c>
    </row>
    <row r="566" spans="1:4" x14ac:dyDescent="0.3">
      <c r="A566" s="2">
        <v>43665</v>
      </c>
      <c r="B566">
        <v>2019</v>
      </c>
      <c r="C566" t="s">
        <v>1083</v>
      </c>
      <c r="D566" t="s">
        <v>1084</v>
      </c>
    </row>
    <row r="567" spans="1:4" x14ac:dyDescent="0.3">
      <c r="A567" s="2">
        <v>43666</v>
      </c>
      <c r="B567">
        <v>2019</v>
      </c>
      <c r="C567" t="s">
        <v>1083</v>
      </c>
      <c r="D567" t="s">
        <v>1084</v>
      </c>
    </row>
    <row r="568" spans="1:4" x14ac:dyDescent="0.3">
      <c r="A568" s="2">
        <v>43667</v>
      </c>
      <c r="B568">
        <v>2019</v>
      </c>
      <c r="C568" t="s">
        <v>1083</v>
      </c>
      <c r="D568" t="s">
        <v>1084</v>
      </c>
    </row>
    <row r="569" spans="1:4" x14ac:dyDescent="0.3">
      <c r="A569" s="2">
        <v>43668</v>
      </c>
      <c r="B569">
        <v>2019</v>
      </c>
      <c r="C569" t="s">
        <v>1083</v>
      </c>
      <c r="D569" t="s">
        <v>1084</v>
      </c>
    </row>
    <row r="570" spans="1:4" x14ac:dyDescent="0.3">
      <c r="A570" s="2">
        <v>43669</v>
      </c>
      <c r="B570">
        <v>2019</v>
      </c>
      <c r="C570" t="s">
        <v>1083</v>
      </c>
      <c r="D570" t="s">
        <v>1084</v>
      </c>
    </row>
    <row r="571" spans="1:4" x14ac:dyDescent="0.3">
      <c r="A571" s="2">
        <v>43670</v>
      </c>
      <c r="B571">
        <v>2019</v>
      </c>
      <c r="C571" t="s">
        <v>1083</v>
      </c>
      <c r="D571" t="s">
        <v>1084</v>
      </c>
    </row>
    <row r="572" spans="1:4" x14ac:dyDescent="0.3">
      <c r="A572" s="2">
        <v>43671</v>
      </c>
      <c r="B572">
        <v>2019</v>
      </c>
      <c r="C572" t="s">
        <v>1083</v>
      </c>
      <c r="D572" t="s">
        <v>1084</v>
      </c>
    </row>
    <row r="573" spans="1:4" x14ac:dyDescent="0.3">
      <c r="A573" s="2">
        <v>43672</v>
      </c>
      <c r="B573">
        <v>2019</v>
      </c>
      <c r="C573" t="s">
        <v>1083</v>
      </c>
      <c r="D573" t="s">
        <v>1084</v>
      </c>
    </row>
    <row r="574" spans="1:4" x14ac:dyDescent="0.3">
      <c r="A574" s="2">
        <v>43673</v>
      </c>
      <c r="B574">
        <v>2019</v>
      </c>
      <c r="C574" t="s">
        <v>1083</v>
      </c>
      <c r="D574" t="s">
        <v>1084</v>
      </c>
    </row>
    <row r="575" spans="1:4" x14ac:dyDescent="0.3">
      <c r="A575" s="2">
        <v>43674</v>
      </c>
      <c r="B575">
        <v>2019</v>
      </c>
      <c r="C575" t="s">
        <v>1083</v>
      </c>
      <c r="D575" t="s">
        <v>1084</v>
      </c>
    </row>
    <row r="576" spans="1:4" x14ac:dyDescent="0.3">
      <c r="A576" s="2">
        <v>43675</v>
      </c>
      <c r="B576">
        <v>2019</v>
      </c>
      <c r="C576" t="s">
        <v>1083</v>
      </c>
      <c r="D576" t="s">
        <v>1084</v>
      </c>
    </row>
    <row r="577" spans="1:4" x14ac:dyDescent="0.3">
      <c r="A577" s="2">
        <v>43676</v>
      </c>
      <c r="B577">
        <v>2019</v>
      </c>
      <c r="C577" t="s">
        <v>1083</v>
      </c>
      <c r="D577" t="s">
        <v>1084</v>
      </c>
    </row>
    <row r="578" spans="1:4" x14ac:dyDescent="0.3">
      <c r="A578" s="2">
        <v>43677</v>
      </c>
      <c r="B578">
        <v>2019</v>
      </c>
      <c r="C578" t="s">
        <v>1083</v>
      </c>
      <c r="D578" t="s">
        <v>1084</v>
      </c>
    </row>
    <row r="579" spans="1:4" x14ac:dyDescent="0.3">
      <c r="A579" s="2">
        <v>43678</v>
      </c>
      <c r="B579">
        <v>2019</v>
      </c>
      <c r="C579" t="s">
        <v>1083</v>
      </c>
      <c r="D579" t="s">
        <v>1085</v>
      </c>
    </row>
    <row r="580" spans="1:4" x14ac:dyDescent="0.3">
      <c r="A580" s="2">
        <v>43679</v>
      </c>
      <c r="B580">
        <v>2019</v>
      </c>
      <c r="C580" t="s">
        <v>1083</v>
      </c>
      <c r="D580" t="s">
        <v>1085</v>
      </c>
    </row>
    <row r="581" spans="1:4" x14ac:dyDescent="0.3">
      <c r="A581" s="2">
        <v>43680</v>
      </c>
      <c r="B581">
        <v>2019</v>
      </c>
      <c r="C581" t="s">
        <v>1083</v>
      </c>
      <c r="D581" t="s">
        <v>1085</v>
      </c>
    </row>
    <row r="582" spans="1:4" x14ac:dyDescent="0.3">
      <c r="A582" s="2">
        <v>43681</v>
      </c>
      <c r="B582">
        <v>2019</v>
      </c>
      <c r="C582" t="s">
        <v>1083</v>
      </c>
      <c r="D582" t="s">
        <v>1085</v>
      </c>
    </row>
    <row r="583" spans="1:4" x14ac:dyDescent="0.3">
      <c r="A583" s="2">
        <v>43682</v>
      </c>
      <c r="B583">
        <v>2019</v>
      </c>
      <c r="C583" t="s">
        <v>1083</v>
      </c>
      <c r="D583" t="s">
        <v>1085</v>
      </c>
    </row>
    <row r="584" spans="1:4" x14ac:dyDescent="0.3">
      <c r="A584" s="2">
        <v>43683</v>
      </c>
      <c r="B584">
        <v>2019</v>
      </c>
      <c r="C584" t="s">
        <v>1083</v>
      </c>
      <c r="D584" t="s">
        <v>1085</v>
      </c>
    </row>
    <row r="585" spans="1:4" x14ac:dyDescent="0.3">
      <c r="A585" s="2">
        <v>43684</v>
      </c>
      <c r="B585">
        <v>2019</v>
      </c>
      <c r="C585" t="s">
        <v>1083</v>
      </c>
      <c r="D585" t="s">
        <v>1085</v>
      </c>
    </row>
    <row r="586" spans="1:4" x14ac:dyDescent="0.3">
      <c r="A586" s="2">
        <v>43685</v>
      </c>
      <c r="B586">
        <v>2019</v>
      </c>
      <c r="C586" t="s">
        <v>1083</v>
      </c>
      <c r="D586" t="s">
        <v>1085</v>
      </c>
    </row>
    <row r="587" spans="1:4" x14ac:dyDescent="0.3">
      <c r="A587" s="2">
        <v>43686</v>
      </c>
      <c r="B587">
        <v>2019</v>
      </c>
      <c r="C587" t="s">
        <v>1083</v>
      </c>
      <c r="D587" t="s">
        <v>1085</v>
      </c>
    </row>
    <row r="588" spans="1:4" x14ac:dyDescent="0.3">
      <c r="A588" s="2">
        <v>43687</v>
      </c>
      <c r="B588">
        <v>2019</v>
      </c>
      <c r="C588" t="s">
        <v>1083</v>
      </c>
      <c r="D588" t="s">
        <v>1085</v>
      </c>
    </row>
    <row r="589" spans="1:4" x14ac:dyDescent="0.3">
      <c r="A589" s="2">
        <v>43688</v>
      </c>
      <c r="B589">
        <v>2019</v>
      </c>
      <c r="C589" t="s">
        <v>1083</v>
      </c>
      <c r="D589" t="s">
        <v>1085</v>
      </c>
    </row>
    <row r="590" spans="1:4" x14ac:dyDescent="0.3">
      <c r="A590" s="2">
        <v>43689</v>
      </c>
      <c r="B590">
        <v>2019</v>
      </c>
      <c r="C590" t="s">
        <v>1083</v>
      </c>
      <c r="D590" t="s">
        <v>1085</v>
      </c>
    </row>
    <row r="591" spans="1:4" x14ac:dyDescent="0.3">
      <c r="A591" s="2">
        <v>43690</v>
      </c>
      <c r="B591">
        <v>2019</v>
      </c>
      <c r="C591" t="s">
        <v>1083</v>
      </c>
      <c r="D591" t="s">
        <v>1085</v>
      </c>
    </row>
    <row r="592" spans="1:4" x14ac:dyDescent="0.3">
      <c r="A592" s="2">
        <v>43691</v>
      </c>
      <c r="B592">
        <v>2019</v>
      </c>
      <c r="C592" t="s">
        <v>1083</v>
      </c>
      <c r="D592" t="s">
        <v>1085</v>
      </c>
    </row>
    <row r="593" spans="1:4" x14ac:dyDescent="0.3">
      <c r="A593" s="2">
        <v>43692</v>
      </c>
      <c r="B593">
        <v>2019</v>
      </c>
      <c r="C593" t="s">
        <v>1083</v>
      </c>
      <c r="D593" t="s">
        <v>1085</v>
      </c>
    </row>
    <row r="594" spans="1:4" x14ac:dyDescent="0.3">
      <c r="A594" s="2">
        <v>43693</v>
      </c>
      <c r="B594">
        <v>2019</v>
      </c>
      <c r="C594" t="s">
        <v>1083</v>
      </c>
      <c r="D594" t="s">
        <v>1085</v>
      </c>
    </row>
    <row r="595" spans="1:4" x14ac:dyDescent="0.3">
      <c r="A595" s="2">
        <v>43694</v>
      </c>
      <c r="B595">
        <v>2019</v>
      </c>
      <c r="C595" t="s">
        <v>1083</v>
      </c>
      <c r="D595" t="s">
        <v>1085</v>
      </c>
    </row>
    <row r="596" spans="1:4" x14ac:dyDescent="0.3">
      <c r="A596" s="2">
        <v>43695</v>
      </c>
      <c r="B596">
        <v>2019</v>
      </c>
      <c r="C596" t="s">
        <v>1083</v>
      </c>
      <c r="D596" t="s">
        <v>1085</v>
      </c>
    </row>
    <row r="597" spans="1:4" x14ac:dyDescent="0.3">
      <c r="A597" s="2">
        <v>43696</v>
      </c>
      <c r="B597">
        <v>2019</v>
      </c>
      <c r="C597" t="s">
        <v>1083</v>
      </c>
      <c r="D597" t="s">
        <v>1085</v>
      </c>
    </row>
    <row r="598" spans="1:4" x14ac:dyDescent="0.3">
      <c r="A598" s="2">
        <v>43697</v>
      </c>
      <c r="B598">
        <v>2019</v>
      </c>
      <c r="C598" t="s">
        <v>1083</v>
      </c>
      <c r="D598" t="s">
        <v>1085</v>
      </c>
    </row>
    <row r="599" spans="1:4" x14ac:dyDescent="0.3">
      <c r="A599" s="2">
        <v>43698</v>
      </c>
      <c r="B599">
        <v>2019</v>
      </c>
      <c r="C599" t="s">
        <v>1083</v>
      </c>
      <c r="D599" t="s">
        <v>1085</v>
      </c>
    </row>
    <row r="600" spans="1:4" x14ac:dyDescent="0.3">
      <c r="A600" s="2">
        <v>43699</v>
      </c>
      <c r="B600">
        <v>2019</v>
      </c>
      <c r="C600" t="s">
        <v>1083</v>
      </c>
      <c r="D600" t="s">
        <v>1085</v>
      </c>
    </row>
    <row r="601" spans="1:4" x14ac:dyDescent="0.3">
      <c r="A601" s="2">
        <v>43700</v>
      </c>
      <c r="B601">
        <v>2019</v>
      </c>
      <c r="C601" t="s">
        <v>1083</v>
      </c>
      <c r="D601" t="s">
        <v>1085</v>
      </c>
    </row>
    <row r="602" spans="1:4" x14ac:dyDescent="0.3">
      <c r="A602" s="2">
        <v>43701</v>
      </c>
      <c r="B602">
        <v>2019</v>
      </c>
      <c r="C602" t="s">
        <v>1083</v>
      </c>
      <c r="D602" t="s">
        <v>1085</v>
      </c>
    </row>
    <row r="603" spans="1:4" x14ac:dyDescent="0.3">
      <c r="A603" s="2">
        <v>43702</v>
      </c>
      <c r="B603">
        <v>2019</v>
      </c>
      <c r="C603" t="s">
        <v>1083</v>
      </c>
      <c r="D603" t="s">
        <v>1085</v>
      </c>
    </row>
    <row r="604" spans="1:4" x14ac:dyDescent="0.3">
      <c r="A604" s="2">
        <v>43703</v>
      </c>
      <c r="B604">
        <v>2019</v>
      </c>
      <c r="C604" t="s">
        <v>1083</v>
      </c>
      <c r="D604" t="s">
        <v>1085</v>
      </c>
    </row>
    <row r="605" spans="1:4" x14ac:dyDescent="0.3">
      <c r="A605" s="2">
        <v>43704</v>
      </c>
      <c r="B605">
        <v>2019</v>
      </c>
      <c r="C605" t="s">
        <v>1083</v>
      </c>
      <c r="D605" t="s">
        <v>1085</v>
      </c>
    </row>
    <row r="606" spans="1:4" x14ac:dyDescent="0.3">
      <c r="A606" s="2">
        <v>43705</v>
      </c>
      <c r="B606">
        <v>2019</v>
      </c>
      <c r="C606" t="s">
        <v>1083</v>
      </c>
      <c r="D606" t="s">
        <v>1085</v>
      </c>
    </row>
    <row r="607" spans="1:4" x14ac:dyDescent="0.3">
      <c r="A607" s="2">
        <v>43706</v>
      </c>
      <c r="B607">
        <v>2019</v>
      </c>
      <c r="C607" t="s">
        <v>1083</v>
      </c>
      <c r="D607" t="s">
        <v>1085</v>
      </c>
    </row>
    <row r="608" spans="1:4" x14ac:dyDescent="0.3">
      <c r="A608" s="2">
        <v>43707</v>
      </c>
      <c r="B608">
        <v>2019</v>
      </c>
      <c r="C608" t="s">
        <v>1083</v>
      </c>
      <c r="D608" t="s">
        <v>1085</v>
      </c>
    </row>
    <row r="609" spans="1:4" x14ac:dyDescent="0.3">
      <c r="A609" s="2">
        <v>43708</v>
      </c>
      <c r="B609">
        <v>2019</v>
      </c>
      <c r="C609" t="s">
        <v>1083</v>
      </c>
      <c r="D609" t="s">
        <v>1085</v>
      </c>
    </row>
    <row r="610" spans="1:4" x14ac:dyDescent="0.3">
      <c r="A610" s="2">
        <v>43709</v>
      </c>
      <c r="B610">
        <v>2019</v>
      </c>
      <c r="C610" t="s">
        <v>1083</v>
      </c>
      <c r="D610" t="s">
        <v>1086</v>
      </c>
    </row>
    <row r="611" spans="1:4" x14ac:dyDescent="0.3">
      <c r="A611" s="2">
        <v>43710</v>
      </c>
      <c r="B611">
        <v>2019</v>
      </c>
      <c r="C611" t="s">
        <v>1083</v>
      </c>
      <c r="D611" t="s">
        <v>1086</v>
      </c>
    </row>
    <row r="612" spans="1:4" x14ac:dyDescent="0.3">
      <c r="A612" s="2">
        <v>43711</v>
      </c>
      <c r="B612">
        <v>2019</v>
      </c>
      <c r="C612" t="s">
        <v>1083</v>
      </c>
      <c r="D612" t="s">
        <v>1086</v>
      </c>
    </row>
    <row r="613" spans="1:4" x14ac:dyDescent="0.3">
      <c r="A613" s="2">
        <v>43712</v>
      </c>
      <c r="B613">
        <v>2019</v>
      </c>
      <c r="C613" t="s">
        <v>1083</v>
      </c>
      <c r="D613" t="s">
        <v>1086</v>
      </c>
    </row>
    <row r="614" spans="1:4" x14ac:dyDescent="0.3">
      <c r="A614" s="2">
        <v>43713</v>
      </c>
      <c r="B614">
        <v>2019</v>
      </c>
      <c r="C614" t="s">
        <v>1083</v>
      </c>
      <c r="D614" t="s">
        <v>1086</v>
      </c>
    </row>
    <row r="615" spans="1:4" x14ac:dyDescent="0.3">
      <c r="A615" s="2">
        <v>43714</v>
      </c>
      <c r="B615">
        <v>2019</v>
      </c>
      <c r="C615" t="s">
        <v>1083</v>
      </c>
      <c r="D615" t="s">
        <v>1086</v>
      </c>
    </row>
    <row r="616" spans="1:4" x14ac:dyDescent="0.3">
      <c r="A616" s="2">
        <v>43715</v>
      </c>
      <c r="B616">
        <v>2019</v>
      </c>
      <c r="C616" t="s">
        <v>1083</v>
      </c>
      <c r="D616" t="s">
        <v>1086</v>
      </c>
    </row>
    <row r="617" spans="1:4" x14ac:dyDescent="0.3">
      <c r="A617" s="2">
        <v>43716</v>
      </c>
      <c r="B617">
        <v>2019</v>
      </c>
      <c r="C617" t="s">
        <v>1083</v>
      </c>
      <c r="D617" t="s">
        <v>1086</v>
      </c>
    </row>
    <row r="618" spans="1:4" x14ac:dyDescent="0.3">
      <c r="A618" s="2">
        <v>43717</v>
      </c>
      <c r="B618">
        <v>2019</v>
      </c>
      <c r="C618" t="s">
        <v>1083</v>
      </c>
      <c r="D618" t="s">
        <v>1086</v>
      </c>
    </row>
    <row r="619" spans="1:4" x14ac:dyDescent="0.3">
      <c r="A619" s="2">
        <v>43718</v>
      </c>
      <c r="B619">
        <v>2019</v>
      </c>
      <c r="C619" t="s">
        <v>1083</v>
      </c>
      <c r="D619" t="s">
        <v>1086</v>
      </c>
    </row>
    <row r="620" spans="1:4" x14ac:dyDescent="0.3">
      <c r="A620" s="2">
        <v>43719</v>
      </c>
      <c r="B620">
        <v>2019</v>
      </c>
      <c r="C620" t="s">
        <v>1083</v>
      </c>
      <c r="D620" t="s">
        <v>1086</v>
      </c>
    </row>
    <row r="621" spans="1:4" x14ac:dyDescent="0.3">
      <c r="A621" s="2">
        <v>43720</v>
      </c>
      <c r="B621">
        <v>2019</v>
      </c>
      <c r="C621" t="s">
        <v>1083</v>
      </c>
      <c r="D621" t="s">
        <v>1086</v>
      </c>
    </row>
    <row r="622" spans="1:4" x14ac:dyDescent="0.3">
      <c r="A622" s="2">
        <v>43721</v>
      </c>
      <c r="B622">
        <v>2019</v>
      </c>
      <c r="C622" t="s">
        <v>1083</v>
      </c>
      <c r="D622" t="s">
        <v>1086</v>
      </c>
    </row>
    <row r="623" spans="1:4" x14ac:dyDescent="0.3">
      <c r="A623" s="2">
        <v>43722</v>
      </c>
      <c r="B623">
        <v>2019</v>
      </c>
      <c r="C623" t="s">
        <v>1083</v>
      </c>
      <c r="D623" t="s">
        <v>1086</v>
      </c>
    </row>
    <row r="624" spans="1:4" x14ac:dyDescent="0.3">
      <c r="A624" s="2">
        <v>43723</v>
      </c>
      <c r="B624">
        <v>2019</v>
      </c>
      <c r="C624" t="s">
        <v>1083</v>
      </c>
      <c r="D624" t="s">
        <v>1086</v>
      </c>
    </row>
    <row r="625" spans="1:4" x14ac:dyDescent="0.3">
      <c r="A625" s="2">
        <v>43724</v>
      </c>
      <c r="B625">
        <v>2019</v>
      </c>
      <c r="C625" t="s">
        <v>1083</v>
      </c>
      <c r="D625" t="s">
        <v>1086</v>
      </c>
    </row>
    <row r="626" spans="1:4" x14ac:dyDescent="0.3">
      <c r="A626" s="2">
        <v>43725</v>
      </c>
      <c r="B626">
        <v>2019</v>
      </c>
      <c r="C626" t="s">
        <v>1083</v>
      </c>
      <c r="D626" t="s">
        <v>1086</v>
      </c>
    </row>
    <row r="627" spans="1:4" x14ac:dyDescent="0.3">
      <c r="A627" s="2">
        <v>43726</v>
      </c>
      <c r="B627">
        <v>2019</v>
      </c>
      <c r="C627" t="s">
        <v>1083</v>
      </c>
      <c r="D627" t="s">
        <v>1086</v>
      </c>
    </row>
    <row r="628" spans="1:4" x14ac:dyDescent="0.3">
      <c r="A628" s="2">
        <v>43727</v>
      </c>
      <c r="B628">
        <v>2019</v>
      </c>
      <c r="C628" t="s">
        <v>1083</v>
      </c>
      <c r="D628" t="s">
        <v>1086</v>
      </c>
    </row>
    <row r="629" spans="1:4" x14ac:dyDescent="0.3">
      <c r="A629" s="2">
        <v>43728</v>
      </c>
      <c r="B629">
        <v>2019</v>
      </c>
      <c r="C629" t="s">
        <v>1083</v>
      </c>
      <c r="D629" t="s">
        <v>1086</v>
      </c>
    </row>
    <row r="630" spans="1:4" x14ac:dyDescent="0.3">
      <c r="A630" s="2">
        <v>43729</v>
      </c>
      <c r="B630">
        <v>2019</v>
      </c>
      <c r="C630" t="s">
        <v>1083</v>
      </c>
      <c r="D630" t="s">
        <v>1086</v>
      </c>
    </row>
    <row r="631" spans="1:4" x14ac:dyDescent="0.3">
      <c r="A631" s="2">
        <v>43730</v>
      </c>
      <c r="B631">
        <v>2019</v>
      </c>
      <c r="C631" t="s">
        <v>1083</v>
      </c>
      <c r="D631" t="s">
        <v>1086</v>
      </c>
    </row>
    <row r="632" spans="1:4" x14ac:dyDescent="0.3">
      <c r="A632" s="2">
        <v>43731</v>
      </c>
      <c r="B632">
        <v>2019</v>
      </c>
      <c r="C632" t="s">
        <v>1083</v>
      </c>
      <c r="D632" t="s">
        <v>1086</v>
      </c>
    </row>
    <row r="633" spans="1:4" x14ac:dyDescent="0.3">
      <c r="A633" s="2">
        <v>43732</v>
      </c>
      <c r="B633">
        <v>2019</v>
      </c>
      <c r="C633" t="s">
        <v>1083</v>
      </c>
      <c r="D633" t="s">
        <v>1086</v>
      </c>
    </row>
    <row r="634" spans="1:4" x14ac:dyDescent="0.3">
      <c r="A634" s="2">
        <v>43733</v>
      </c>
      <c r="B634">
        <v>2019</v>
      </c>
      <c r="C634" t="s">
        <v>1083</v>
      </c>
      <c r="D634" t="s">
        <v>1086</v>
      </c>
    </row>
    <row r="635" spans="1:4" x14ac:dyDescent="0.3">
      <c r="A635" s="2">
        <v>43734</v>
      </c>
      <c r="B635">
        <v>2019</v>
      </c>
      <c r="C635" t="s">
        <v>1083</v>
      </c>
      <c r="D635" t="s">
        <v>1086</v>
      </c>
    </row>
    <row r="636" spans="1:4" x14ac:dyDescent="0.3">
      <c r="A636" s="2">
        <v>43735</v>
      </c>
      <c r="B636">
        <v>2019</v>
      </c>
      <c r="C636" t="s">
        <v>1083</v>
      </c>
      <c r="D636" t="s">
        <v>1086</v>
      </c>
    </row>
    <row r="637" spans="1:4" x14ac:dyDescent="0.3">
      <c r="A637" s="2">
        <v>43736</v>
      </c>
      <c r="B637">
        <v>2019</v>
      </c>
      <c r="C637" t="s">
        <v>1083</v>
      </c>
      <c r="D637" t="s">
        <v>1086</v>
      </c>
    </row>
    <row r="638" spans="1:4" x14ac:dyDescent="0.3">
      <c r="A638" s="2">
        <v>43737</v>
      </c>
      <c r="B638">
        <v>2019</v>
      </c>
      <c r="C638" t="s">
        <v>1083</v>
      </c>
      <c r="D638" t="s">
        <v>1086</v>
      </c>
    </row>
    <row r="639" spans="1:4" x14ac:dyDescent="0.3">
      <c r="A639" s="2">
        <v>43738</v>
      </c>
      <c r="B639">
        <v>2019</v>
      </c>
      <c r="C639" t="s">
        <v>1083</v>
      </c>
      <c r="D639" t="s">
        <v>1086</v>
      </c>
    </row>
    <row r="640" spans="1:4" x14ac:dyDescent="0.3">
      <c r="A640" s="2">
        <v>43739</v>
      </c>
      <c r="B640">
        <v>2019</v>
      </c>
      <c r="C640" t="s">
        <v>1087</v>
      </c>
      <c r="D640" t="s">
        <v>1088</v>
      </c>
    </row>
    <row r="641" spans="1:4" x14ac:dyDescent="0.3">
      <c r="A641" s="2">
        <v>43740</v>
      </c>
      <c r="B641">
        <v>2019</v>
      </c>
      <c r="C641" t="s">
        <v>1087</v>
      </c>
      <c r="D641" t="s">
        <v>1088</v>
      </c>
    </row>
    <row r="642" spans="1:4" x14ac:dyDescent="0.3">
      <c r="A642" s="2">
        <v>43741</v>
      </c>
      <c r="B642">
        <v>2019</v>
      </c>
      <c r="C642" t="s">
        <v>1087</v>
      </c>
      <c r="D642" t="s">
        <v>1088</v>
      </c>
    </row>
    <row r="643" spans="1:4" x14ac:dyDescent="0.3">
      <c r="A643" s="2">
        <v>43742</v>
      </c>
      <c r="B643">
        <v>2019</v>
      </c>
      <c r="C643" t="s">
        <v>1087</v>
      </c>
      <c r="D643" t="s">
        <v>1088</v>
      </c>
    </row>
    <row r="644" spans="1:4" x14ac:dyDescent="0.3">
      <c r="A644" s="2">
        <v>43743</v>
      </c>
      <c r="B644">
        <v>2019</v>
      </c>
      <c r="C644" t="s">
        <v>1087</v>
      </c>
      <c r="D644" t="s">
        <v>1088</v>
      </c>
    </row>
    <row r="645" spans="1:4" x14ac:dyDescent="0.3">
      <c r="A645" s="2">
        <v>43744</v>
      </c>
      <c r="B645">
        <v>2019</v>
      </c>
      <c r="C645" t="s">
        <v>1087</v>
      </c>
      <c r="D645" t="s">
        <v>1088</v>
      </c>
    </row>
    <row r="646" spans="1:4" x14ac:dyDescent="0.3">
      <c r="A646" s="2">
        <v>43745</v>
      </c>
      <c r="B646">
        <v>2019</v>
      </c>
      <c r="C646" t="s">
        <v>1087</v>
      </c>
      <c r="D646" t="s">
        <v>1088</v>
      </c>
    </row>
    <row r="647" spans="1:4" x14ac:dyDescent="0.3">
      <c r="A647" s="2">
        <v>43746</v>
      </c>
      <c r="B647">
        <v>2019</v>
      </c>
      <c r="C647" t="s">
        <v>1087</v>
      </c>
      <c r="D647" t="s">
        <v>1088</v>
      </c>
    </row>
    <row r="648" spans="1:4" x14ac:dyDescent="0.3">
      <c r="A648" s="2">
        <v>43747</v>
      </c>
      <c r="B648">
        <v>2019</v>
      </c>
      <c r="C648" t="s">
        <v>1087</v>
      </c>
      <c r="D648" t="s">
        <v>1088</v>
      </c>
    </row>
    <row r="649" spans="1:4" x14ac:dyDescent="0.3">
      <c r="A649" s="2">
        <v>43748</v>
      </c>
      <c r="B649">
        <v>2019</v>
      </c>
      <c r="C649" t="s">
        <v>1087</v>
      </c>
      <c r="D649" t="s">
        <v>1088</v>
      </c>
    </row>
    <row r="650" spans="1:4" x14ac:dyDescent="0.3">
      <c r="A650" s="2">
        <v>43749</v>
      </c>
      <c r="B650">
        <v>2019</v>
      </c>
      <c r="C650" t="s">
        <v>1087</v>
      </c>
      <c r="D650" t="s">
        <v>1088</v>
      </c>
    </row>
    <row r="651" spans="1:4" x14ac:dyDescent="0.3">
      <c r="A651" s="2">
        <v>43750</v>
      </c>
      <c r="B651">
        <v>2019</v>
      </c>
      <c r="C651" t="s">
        <v>1087</v>
      </c>
      <c r="D651" t="s">
        <v>1088</v>
      </c>
    </row>
    <row r="652" spans="1:4" x14ac:dyDescent="0.3">
      <c r="A652" s="2">
        <v>43751</v>
      </c>
      <c r="B652">
        <v>2019</v>
      </c>
      <c r="C652" t="s">
        <v>1087</v>
      </c>
      <c r="D652" t="s">
        <v>1088</v>
      </c>
    </row>
    <row r="653" spans="1:4" x14ac:dyDescent="0.3">
      <c r="A653" s="2">
        <v>43752</v>
      </c>
      <c r="B653">
        <v>2019</v>
      </c>
      <c r="C653" t="s">
        <v>1087</v>
      </c>
      <c r="D653" t="s">
        <v>1088</v>
      </c>
    </row>
    <row r="654" spans="1:4" x14ac:dyDescent="0.3">
      <c r="A654" s="2">
        <v>43753</v>
      </c>
      <c r="B654">
        <v>2019</v>
      </c>
      <c r="C654" t="s">
        <v>1087</v>
      </c>
      <c r="D654" t="s">
        <v>1088</v>
      </c>
    </row>
    <row r="655" spans="1:4" x14ac:dyDescent="0.3">
      <c r="A655" s="2">
        <v>43754</v>
      </c>
      <c r="B655">
        <v>2019</v>
      </c>
      <c r="C655" t="s">
        <v>1087</v>
      </c>
      <c r="D655" t="s">
        <v>1088</v>
      </c>
    </row>
    <row r="656" spans="1:4" x14ac:dyDescent="0.3">
      <c r="A656" s="2">
        <v>43755</v>
      </c>
      <c r="B656">
        <v>2019</v>
      </c>
      <c r="C656" t="s">
        <v>1087</v>
      </c>
      <c r="D656" t="s">
        <v>1088</v>
      </c>
    </row>
    <row r="657" spans="1:4" x14ac:dyDescent="0.3">
      <c r="A657" s="2">
        <v>43756</v>
      </c>
      <c r="B657">
        <v>2019</v>
      </c>
      <c r="C657" t="s">
        <v>1087</v>
      </c>
      <c r="D657" t="s">
        <v>1088</v>
      </c>
    </row>
    <row r="658" spans="1:4" x14ac:dyDescent="0.3">
      <c r="A658" s="2">
        <v>43757</v>
      </c>
      <c r="B658">
        <v>2019</v>
      </c>
      <c r="C658" t="s">
        <v>1087</v>
      </c>
      <c r="D658" t="s">
        <v>1088</v>
      </c>
    </row>
    <row r="659" spans="1:4" x14ac:dyDescent="0.3">
      <c r="A659" s="2">
        <v>43758</v>
      </c>
      <c r="B659">
        <v>2019</v>
      </c>
      <c r="C659" t="s">
        <v>1087</v>
      </c>
      <c r="D659" t="s">
        <v>1088</v>
      </c>
    </row>
    <row r="660" spans="1:4" x14ac:dyDescent="0.3">
      <c r="A660" s="2">
        <v>43759</v>
      </c>
      <c r="B660">
        <v>2019</v>
      </c>
      <c r="C660" t="s">
        <v>1087</v>
      </c>
      <c r="D660" t="s">
        <v>1088</v>
      </c>
    </row>
    <row r="661" spans="1:4" x14ac:dyDescent="0.3">
      <c r="A661" s="2">
        <v>43760</v>
      </c>
      <c r="B661">
        <v>2019</v>
      </c>
      <c r="C661" t="s">
        <v>1087</v>
      </c>
      <c r="D661" t="s">
        <v>1088</v>
      </c>
    </row>
    <row r="662" spans="1:4" x14ac:dyDescent="0.3">
      <c r="A662" s="2">
        <v>43761</v>
      </c>
      <c r="B662">
        <v>2019</v>
      </c>
      <c r="C662" t="s">
        <v>1087</v>
      </c>
      <c r="D662" t="s">
        <v>1088</v>
      </c>
    </row>
    <row r="663" spans="1:4" x14ac:dyDescent="0.3">
      <c r="A663" s="2">
        <v>43762</v>
      </c>
      <c r="B663">
        <v>2019</v>
      </c>
      <c r="C663" t="s">
        <v>1087</v>
      </c>
      <c r="D663" t="s">
        <v>1088</v>
      </c>
    </row>
    <row r="664" spans="1:4" x14ac:dyDescent="0.3">
      <c r="A664" s="2">
        <v>43763</v>
      </c>
      <c r="B664">
        <v>2019</v>
      </c>
      <c r="C664" t="s">
        <v>1087</v>
      </c>
      <c r="D664" t="s">
        <v>1088</v>
      </c>
    </row>
    <row r="665" spans="1:4" x14ac:dyDescent="0.3">
      <c r="A665" s="2">
        <v>43764</v>
      </c>
      <c r="B665">
        <v>2019</v>
      </c>
      <c r="C665" t="s">
        <v>1087</v>
      </c>
      <c r="D665" t="s">
        <v>1088</v>
      </c>
    </row>
    <row r="666" spans="1:4" x14ac:dyDescent="0.3">
      <c r="A666" s="2">
        <v>43765</v>
      </c>
      <c r="B666">
        <v>2019</v>
      </c>
      <c r="C666" t="s">
        <v>1087</v>
      </c>
      <c r="D666" t="s">
        <v>1088</v>
      </c>
    </row>
    <row r="667" spans="1:4" x14ac:dyDescent="0.3">
      <c r="A667" s="2">
        <v>43766</v>
      </c>
      <c r="B667">
        <v>2019</v>
      </c>
      <c r="C667" t="s">
        <v>1087</v>
      </c>
      <c r="D667" t="s">
        <v>1088</v>
      </c>
    </row>
    <row r="668" spans="1:4" x14ac:dyDescent="0.3">
      <c r="A668" s="2">
        <v>43767</v>
      </c>
      <c r="B668">
        <v>2019</v>
      </c>
      <c r="C668" t="s">
        <v>1087</v>
      </c>
      <c r="D668" t="s">
        <v>1088</v>
      </c>
    </row>
    <row r="669" spans="1:4" x14ac:dyDescent="0.3">
      <c r="A669" s="2">
        <v>43768</v>
      </c>
      <c r="B669">
        <v>2019</v>
      </c>
      <c r="C669" t="s">
        <v>1087</v>
      </c>
      <c r="D669" t="s">
        <v>1088</v>
      </c>
    </row>
    <row r="670" spans="1:4" x14ac:dyDescent="0.3">
      <c r="A670" s="2">
        <v>43769</v>
      </c>
      <c r="B670">
        <v>2019</v>
      </c>
      <c r="C670" t="s">
        <v>1087</v>
      </c>
      <c r="D670" t="s">
        <v>1088</v>
      </c>
    </row>
    <row r="671" spans="1:4" x14ac:dyDescent="0.3">
      <c r="A671" s="2">
        <v>43770</v>
      </c>
      <c r="B671">
        <v>2019</v>
      </c>
      <c r="C671" t="s">
        <v>1087</v>
      </c>
      <c r="D671" t="s">
        <v>1089</v>
      </c>
    </row>
    <row r="672" spans="1:4" x14ac:dyDescent="0.3">
      <c r="A672" s="2">
        <v>43771</v>
      </c>
      <c r="B672">
        <v>2019</v>
      </c>
      <c r="C672" t="s">
        <v>1087</v>
      </c>
      <c r="D672" t="s">
        <v>1089</v>
      </c>
    </row>
    <row r="673" spans="1:4" x14ac:dyDescent="0.3">
      <c r="A673" s="2">
        <v>43772</v>
      </c>
      <c r="B673">
        <v>2019</v>
      </c>
      <c r="C673" t="s">
        <v>1087</v>
      </c>
      <c r="D673" t="s">
        <v>1089</v>
      </c>
    </row>
    <row r="674" spans="1:4" x14ac:dyDescent="0.3">
      <c r="A674" s="2">
        <v>43773</v>
      </c>
      <c r="B674">
        <v>2019</v>
      </c>
      <c r="C674" t="s">
        <v>1087</v>
      </c>
      <c r="D674" t="s">
        <v>1089</v>
      </c>
    </row>
    <row r="675" spans="1:4" x14ac:dyDescent="0.3">
      <c r="A675" s="2">
        <v>43774</v>
      </c>
      <c r="B675">
        <v>2019</v>
      </c>
      <c r="C675" t="s">
        <v>1087</v>
      </c>
      <c r="D675" t="s">
        <v>1089</v>
      </c>
    </row>
    <row r="676" spans="1:4" x14ac:dyDescent="0.3">
      <c r="A676" s="2">
        <v>43775</v>
      </c>
      <c r="B676">
        <v>2019</v>
      </c>
      <c r="C676" t="s">
        <v>1087</v>
      </c>
      <c r="D676" t="s">
        <v>1089</v>
      </c>
    </row>
    <row r="677" spans="1:4" x14ac:dyDescent="0.3">
      <c r="A677" s="2">
        <v>43776</v>
      </c>
      <c r="B677">
        <v>2019</v>
      </c>
      <c r="C677" t="s">
        <v>1087</v>
      </c>
      <c r="D677" t="s">
        <v>1089</v>
      </c>
    </row>
    <row r="678" spans="1:4" x14ac:dyDescent="0.3">
      <c r="A678" s="2">
        <v>43777</v>
      </c>
      <c r="B678">
        <v>2019</v>
      </c>
      <c r="C678" t="s">
        <v>1087</v>
      </c>
      <c r="D678" t="s">
        <v>1089</v>
      </c>
    </row>
    <row r="679" spans="1:4" x14ac:dyDescent="0.3">
      <c r="A679" s="2">
        <v>43778</v>
      </c>
      <c r="B679">
        <v>2019</v>
      </c>
      <c r="C679" t="s">
        <v>1087</v>
      </c>
      <c r="D679" t="s">
        <v>1089</v>
      </c>
    </row>
    <row r="680" spans="1:4" x14ac:dyDescent="0.3">
      <c r="A680" s="2">
        <v>43779</v>
      </c>
      <c r="B680">
        <v>2019</v>
      </c>
      <c r="C680" t="s">
        <v>1087</v>
      </c>
      <c r="D680" t="s">
        <v>1089</v>
      </c>
    </row>
    <row r="681" spans="1:4" x14ac:dyDescent="0.3">
      <c r="A681" s="2">
        <v>43780</v>
      </c>
      <c r="B681">
        <v>2019</v>
      </c>
      <c r="C681" t="s">
        <v>1087</v>
      </c>
      <c r="D681" t="s">
        <v>1089</v>
      </c>
    </row>
    <row r="682" spans="1:4" x14ac:dyDescent="0.3">
      <c r="A682" s="2">
        <v>43781</v>
      </c>
      <c r="B682">
        <v>2019</v>
      </c>
      <c r="C682" t="s">
        <v>1087</v>
      </c>
      <c r="D682" t="s">
        <v>1089</v>
      </c>
    </row>
    <row r="683" spans="1:4" x14ac:dyDescent="0.3">
      <c r="A683" s="2">
        <v>43782</v>
      </c>
      <c r="B683">
        <v>2019</v>
      </c>
      <c r="C683" t="s">
        <v>1087</v>
      </c>
      <c r="D683" t="s">
        <v>1089</v>
      </c>
    </row>
    <row r="684" spans="1:4" x14ac:dyDescent="0.3">
      <c r="A684" s="2">
        <v>43783</v>
      </c>
      <c r="B684">
        <v>2019</v>
      </c>
      <c r="C684" t="s">
        <v>1087</v>
      </c>
      <c r="D684" t="s">
        <v>1089</v>
      </c>
    </row>
    <row r="685" spans="1:4" x14ac:dyDescent="0.3">
      <c r="A685" s="2">
        <v>43784</v>
      </c>
      <c r="B685">
        <v>2019</v>
      </c>
      <c r="C685" t="s">
        <v>1087</v>
      </c>
      <c r="D685" t="s">
        <v>1089</v>
      </c>
    </row>
    <row r="686" spans="1:4" x14ac:dyDescent="0.3">
      <c r="A686" s="2">
        <v>43785</v>
      </c>
      <c r="B686">
        <v>2019</v>
      </c>
      <c r="C686" t="s">
        <v>1087</v>
      </c>
      <c r="D686" t="s">
        <v>1089</v>
      </c>
    </row>
    <row r="687" spans="1:4" x14ac:dyDescent="0.3">
      <c r="A687" s="2">
        <v>43786</v>
      </c>
      <c r="B687">
        <v>2019</v>
      </c>
      <c r="C687" t="s">
        <v>1087</v>
      </c>
      <c r="D687" t="s">
        <v>1089</v>
      </c>
    </row>
    <row r="688" spans="1:4" x14ac:dyDescent="0.3">
      <c r="A688" s="2">
        <v>43787</v>
      </c>
      <c r="B688">
        <v>2019</v>
      </c>
      <c r="C688" t="s">
        <v>1087</v>
      </c>
      <c r="D688" t="s">
        <v>1089</v>
      </c>
    </row>
    <row r="689" spans="1:4" x14ac:dyDescent="0.3">
      <c r="A689" s="2">
        <v>43788</v>
      </c>
      <c r="B689">
        <v>2019</v>
      </c>
      <c r="C689" t="s">
        <v>1087</v>
      </c>
      <c r="D689" t="s">
        <v>1089</v>
      </c>
    </row>
    <row r="690" spans="1:4" x14ac:dyDescent="0.3">
      <c r="A690" s="2">
        <v>43789</v>
      </c>
      <c r="B690">
        <v>2019</v>
      </c>
      <c r="C690" t="s">
        <v>1087</v>
      </c>
      <c r="D690" t="s">
        <v>1089</v>
      </c>
    </row>
    <row r="691" spans="1:4" x14ac:dyDescent="0.3">
      <c r="A691" s="2">
        <v>43790</v>
      </c>
      <c r="B691">
        <v>2019</v>
      </c>
      <c r="C691" t="s">
        <v>1087</v>
      </c>
      <c r="D691" t="s">
        <v>1089</v>
      </c>
    </row>
    <row r="692" spans="1:4" x14ac:dyDescent="0.3">
      <c r="A692" s="2">
        <v>43791</v>
      </c>
      <c r="B692">
        <v>2019</v>
      </c>
      <c r="C692" t="s">
        <v>1087</v>
      </c>
      <c r="D692" t="s">
        <v>1089</v>
      </c>
    </row>
    <row r="693" spans="1:4" x14ac:dyDescent="0.3">
      <c r="A693" s="2">
        <v>43792</v>
      </c>
      <c r="B693">
        <v>2019</v>
      </c>
      <c r="C693" t="s">
        <v>1087</v>
      </c>
      <c r="D693" t="s">
        <v>1089</v>
      </c>
    </row>
    <row r="694" spans="1:4" x14ac:dyDescent="0.3">
      <c r="A694" s="2">
        <v>43793</v>
      </c>
      <c r="B694">
        <v>2019</v>
      </c>
      <c r="C694" t="s">
        <v>1087</v>
      </c>
      <c r="D694" t="s">
        <v>1089</v>
      </c>
    </row>
    <row r="695" spans="1:4" x14ac:dyDescent="0.3">
      <c r="A695" s="2">
        <v>43794</v>
      </c>
      <c r="B695">
        <v>2019</v>
      </c>
      <c r="C695" t="s">
        <v>1087</v>
      </c>
      <c r="D695" t="s">
        <v>1089</v>
      </c>
    </row>
    <row r="696" spans="1:4" x14ac:dyDescent="0.3">
      <c r="A696" s="2">
        <v>43795</v>
      </c>
      <c r="B696">
        <v>2019</v>
      </c>
      <c r="C696" t="s">
        <v>1087</v>
      </c>
      <c r="D696" t="s">
        <v>1089</v>
      </c>
    </row>
    <row r="697" spans="1:4" x14ac:dyDescent="0.3">
      <c r="A697" s="2">
        <v>43796</v>
      </c>
      <c r="B697">
        <v>2019</v>
      </c>
      <c r="C697" t="s">
        <v>1087</v>
      </c>
      <c r="D697" t="s">
        <v>1089</v>
      </c>
    </row>
    <row r="698" spans="1:4" x14ac:dyDescent="0.3">
      <c r="A698" s="2">
        <v>43797</v>
      </c>
      <c r="B698">
        <v>2019</v>
      </c>
      <c r="C698" t="s">
        <v>1087</v>
      </c>
      <c r="D698" t="s">
        <v>1089</v>
      </c>
    </row>
    <row r="699" spans="1:4" x14ac:dyDescent="0.3">
      <c r="A699" s="2">
        <v>43798</v>
      </c>
      <c r="B699">
        <v>2019</v>
      </c>
      <c r="C699" t="s">
        <v>1087</v>
      </c>
      <c r="D699" t="s">
        <v>1089</v>
      </c>
    </row>
    <row r="700" spans="1:4" x14ac:dyDescent="0.3">
      <c r="A700" s="2">
        <v>43799</v>
      </c>
      <c r="B700">
        <v>2019</v>
      </c>
      <c r="C700" t="s">
        <v>1087</v>
      </c>
      <c r="D700" t="s">
        <v>1089</v>
      </c>
    </row>
    <row r="701" spans="1:4" x14ac:dyDescent="0.3">
      <c r="A701" s="2">
        <v>43800</v>
      </c>
      <c r="B701">
        <v>2019</v>
      </c>
      <c r="C701" t="s">
        <v>1087</v>
      </c>
      <c r="D701" t="s">
        <v>1090</v>
      </c>
    </row>
    <row r="702" spans="1:4" x14ac:dyDescent="0.3">
      <c r="A702" s="2">
        <v>43801</v>
      </c>
      <c r="B702">
        <v>2019</v>
      </c>
      <c r="C702" t="s">
        <v>1087</v>
      </c>
      <c r="D702" t="s">
        <v>1090</v>
      </c>
    </row>
    <row r="703" spans="1:4" x14ac:dyDescent="0.3">
      <c r="A703" s="2">
        <v>43802</v>
      </c>
      <c r="B703">
        <v>2019</v>
      </c>
      <c r="C703" t="s">
        <v>1087</v>
      </c>
      <c r="D703" t="s">
        <v>1090</v>
      </c>
    </row>
    <row r="704" spans="1:4" x14ac:dyDescent="0.3">
      <c r="A704" s="2">
        <v>43803</v>
      </c>
      <c r="B704">
        <v>2019</v>
      </c>
      <c r="C704" t="s">
        <v>1087</v>
      </c>
      <c r="D704" t="s">
        <v>1090</v>
      </c>
    </row>
    <row r="705" spans="1:4" x14ac:dyDescent="0.3">
      <c r="A705" s="2">
        <v>43804</v>
      </c>
      <c r="B705">
        <v>2019</v>
      </c>
      <c r="C705" t="s">
        <v>1087</v>
      </c>
      <c r="D705" t="s">
        <v>1090</v>
      </c>
    </row>
    <row r="706" spans="1:4" x14ac:dyDescent="0.3">
      <c r="A706" s="2">
        <v>43805</v>
      </c>
      <c r="B706">
        <v>2019</v>
      </c>
      <c r="C706" t="s">
        <v>1087</v>
      </c>
      <c r="D706" t="s">
        <v>1090</v>
      </c>
    </row>
    <row r="707" spans="1:4" x14ac:dyDescent="0.3">
      <c r="A707" s="2">
        <v>43806</v>
      </c>
      <c r="B707">
        <v>2019</v>
      </c>
      <c r="C707" t="s">
        <v>1087</v>
      </c>
      <c r="D707" t="s">
        <v>1090</v>
      </c>
    </row>
    <row r="708" spans="1:4" x14ac:dyDescent="0.3">
      <c r="A708" s="2">
        <v>43807</v>
      </c>
      <c r="B708">
        <v>2019</v>
      </c>
      <c r="C708" t="s">
        <v>1087</v>
      </c>
      <c r="D708" t="s">
        <v>1090</v>
      </c>
    </row>
    <row r="709" spans="1:4" x14ac:dyDescent="0.3">
      <c r="A709" s="2">
        <v>43808</v>
      </c>
      <c r="B709">
        <v>2019</v>
      </c>
      <c r="C709" t="s">
        <v>1087</v>
      </c>
      <c r="D709" t="s">
        <v>1090</v>
      </c>
    </row>
    <row r="710" spans="1:4" x14ac:dyDescent="0.3">
      <c r="A710" s="2">
        <v>43809</v>
      </c>
      <c r="B710">
        <v>2019</v>
      </c>
      <c r="C710" t="s">
        <v>1087</v>
      </c>
      <c r="D710" t="s">
        <v>1090</v>
      </c>
    </row>
    <row r="711" spans="1:4" x14ac:dyDescent="0.3">
      <c r="A711" s="2">
        <v>43810</v>
      </c>
      <c r="B711">
        <v>2019</v>
      </c>
      <c r="C711" t="s">
        <v>1087</v>
      </c>
      <c r="D711" t="s">
        <v>1090</v>
      </c>
    </row>
    <row r="712" spans="1:4" x14ac:dyDescent="0.3">
      <c r="A712" s="2">
        <v>43811</v>
      </c>
      <c r="B712">
        <v>2019</v>
      </c>
      <c r="C712" t="s">
        <v>1087</v>
      </c>
      <c r="D712" t="s">
        <v>1090</v>
      </c>
    </row>
    <row r="713" spans="1:4" x14ac:dyDescent="0.3">
      <c r="A713" s="2">
        <v>43812</v>
      </c>
      <c r="B713">
        <v>2019</v>
      </c>
      <c r="C713" t="s">
        <v>1087</v>
      </c>
      <c r="D713" t="s">
        <v>1090</v>
      </c>
    </row>
    <row r="714" spans="1:4" x14ac:dyDescent="0.3">
      <c r="A714" s="2">
        <v>43813</v>
      </c>
      <c r="B714">
        <v>2019</v>
      </c>
      <c r="C714" t="s">
        <v>1087</v>
      </c>
      <c r="D714" t="s">
        <v>1090</v>
      </c>
    </row>
    <row r="715" spans="1:4" x14ac:dyDescent="0.3">
      <c r="A715" s="2">
        <v>43814</v>
      </c>
      <c r="B715">
        <v>2019</v>
      </c>
      <c r="C715" t="s">
        <v>1087</v>
      </c>
      <c r="D715" t="s">
        <v>1090</v>
      </c>
    </row>
    <row r="716" spans="1:4" x14ac:dyDescent="0.3">
      <c r="A716" s="2">
        <v>43815</v>
      </c>
      <c r="B716">
        <v>2019</v>
      </c>
      <c r="C716" t="s">
        <v>1087</v>
      </c>
      <c r="D716" t="s">
        <v>1090</v>
      </c>
    </row>
    <row r="717" spans="1:4" x14ac:dyDescent="0.3">
      <c r="A717" s="2">
        <v>43816</v>
      </c>
      <c r="B717">
        <v>2019</v>
      </c>
      <c r="C717" t="s">
        <v>1087</v>
      </c>
      <c r="D717" t="s">
        <v>1090</v>
      </c>
    </row>
    <row r="718" spans="1:4" x14ac:dyDescent="0.3">
      <c r="A718" s="2">
        <v>43817</v>
      </c>
      <c r="B718">
        <v>2019</v>
      </c>
      <c r="C718" t="s">
        <v>1087</v>
      </c>
      <c r="D718" t="s">
        <v>1090</v>
      </c>
    </row>
    <row r="719" spans="1:4" x14ac:dyDescent="0.3">
      <c r="A719" s="2">
        <v>43818</v>
      </c>
      <c r="B719">
        <v>2019</v>
      </c>
      <c r="C719" t="s">
        <v>1087</v>
      </c>
      <c r="D719" t="s">
        <v>1090</v>
      </c>
    </row>
    <row r="720" spans="1:4" x14ac:dyDescent="0.3">
      <c r="A720" s="2">
        <v>43819</v>
      </c>
      <c r="B720">
        <v>2019</v>
      </c>
      <c r="C720" t="s">
        <v>1087</v>
      </c>
      <c r="D720" t="s">
        <v>1090</v>
      </c>
    </row>
    <row r="721" spans="1:4" x14ac:dyDescent="0.3">
      <c r="A721" s="2">
        <v>43820</v>
      </c>
      <c r="B721">
        <v>2019</v>
      </c>
      <c r="C721" t="s">
        <v>1087</v>
      </c>
      <c r="D721" t="s">
        <v>1090</v>
      </c>
    </row>
    <row r="722" spans="1:4" x14ac:dyDescent="0.3">
      <c r="A722" s="2">
        <v>43821</v>
      </c>
      <c r="B722">
        <v>2019</v>
      </c>
      <c r="C722" t="s">
        <v>1087</v>
      </c>
      <c r="D722" t="s">
        <v>1090</v>
      </c>
    </row>
    <row r="723" spans="1:4" x14ac:dyDescent="0.3">
      <c r="A723" s="2">
        <v>43822</v>
      </c>
      <c r="B723">
        <v>2019</v>
      </c>
      <c r="C723" t="s">
        <v>1087</v>
      </c>
      <c r="D723" t="s">
        <v>1090</v>
      </c>
    </row>
    <row r="724" spans="1:4" x14ac:dyDescent="0.3">
      <c r="A724" s="2">
        <v>43823</v>
      </c>
      <c r="B724">
        <v>2019</v>
      </c>
      <c r="C724" t="s">
        <v>1087</v>
      </c>
      <c r="D724" t="s">
        <v>1090</v>
      </c>
    </row>
    <row r="725" spans="1:4" x14ac:dyDescent="0.3">
      <c r="A725" s="2">
        <v>43824</v>
      </c>
      <c r="B725">
        <v>2019</v>
      </c>
      <c r="C725" t="s">
        <v>1087</v>
      </c>
      <c r="D725" t="s">
        <v>1090</v>
      </c>
    </row>
    <row r="726" spans="1:4" x14ac:dyDescent="0.3">
      <c r="A726" s="2">
        <v>43825</v>
      </c>
      <c r="B726">
        <v>2019</v>
      </c>
      <c r="C726" t="s">
        <v>1087</v>
      </c>
      <c r="D726" t="s">
        <v>1090</v>
      </c>
    </row>
    <row r="727" spans="1:4" x14ac:dyDescent="0.3">
      <c r="A727" s="2">
        <v>43826</v>
      </c>
      <c r="B727">
        <v>2019</v>
      </c>
      <c r="C727" t="s">
        <v>1087</v>
      </c>
      <c r="D727" t="s">
        <v>1090</v>
      </c>
    </row>
    <row r="728" spans="1:4" x14ac:dyDescent="0.3">
      <c r="A728" s="2">
        <v>43827</v>
      </c>
      <c r="B728">
        <v>2019</v>
      </c>
      <c r="C728" t="s">
        <v>1087</v>
      </c>
      <c r="D728" t="s">
        <v>1090</v>
      </c>
    </row>
    <row r="729" spans="1:4" x14ac:dyDescent="0.3">
      <c r="A729" s="2">
        <v>43828</v>
      </c>
      <c r="B729">
        <v>2019</v>
      </c>
      <c r="C729" t="s">
        <v>1087</v>
      </c>
      <c r="D729" t="s">
        <v>1090</v>
      </c>
    </row>
    <row r="730" spans="1:4" x14ac:dyDescent="0.3">
      <c r="A730" s="2">
        <v>43829</v>
      </c>
      <c r="B730">
        <v>2019</v>
      </c>
      <c r="C730" t="s">
        <v>1087</v>
      </c>
      <c r="D730" t="s">
        <v>1090</v>
      </c>
    </row>
    <row r="731" spans="1:4" x14ac:dyDescent="0.3">
      <c r="A731" s="2">
        <v>43830</v>
      </c>
      <c r="B731">
        <v>2019</v>
      </c>
      <c r="C731" t="s">
        <v>1087</v>
      </c>
      <c r="D731" t="s">
        <v>1090</v>
      </c>
    </row>
    <row r="732" spans="1:4" x14ac:dyDescent="0.3">
      <c r="A732" s="2">
        <v>43831</v>
      </c>
      <c r="B732">
        <v>2020</v>
      </c>
      <c r="C732" t="s">
        <v>1075</v>
      </c>
      <c r="D732" t="s">
        <v>1076</v>
      </c>
    </row>
    <row r="733" spans="1:4" x14ac:dyDescent="0.3">
      <c r="A733" s="2">
        <v>43832</v>
      </c>
      <c r="B733">
        <v>2020</v>
      </c>
      <c r="C733" t="s">
        <v>1075</v>
      </c>
      <c r="D733" t="s">
        <v>1076</v>
      </c>
    </row>
    <row r="734" spans="1:4" x14ac:dyDescent="0.3">
      <c r="A734" s="2">
        <v>43833</v>
      </c>
      <c r="B734">
        <v>2020</v>
      </c>
      <c r="C734" t="s">
        <v>1075</v>
      </c>
      <c r="D734" t="s">
        <v>1076</v>
      </c>
    </row>
    <row r="735" spans="1:4" x14ac:dyDescent="0.3">
      <c r="A735" s="2">
        <v>43834</v>
      </c>
      <c r="B735">
        <v>2020</v>
      </c>
      <c r="C735" t="s">
        <v>1075</v>
      </c>
      <c r="D735" t="s">
        <v>1076</v>
      </c>
    </row>
    <row r="736" spans="1:4" x14ac:dyDescent="0.3">
      <c r="A736" s="2">
        <v>43835</v>
      </c>
      <c r="B736">
        <v>2020</v>
      </c>
      <c r="C736" t="s">
        <v>1075</v>
      </c>
      <c r="D736" t="s">
        <v>1076</v>
      </c>
    </row>
    <row r="737" spans="1:4" x14ac:dyDescent="0.3">
      <c r="A737" s="2">
        <v>43836</v>
      </c>
      <c r="B737">
        <v>2020</v>
      </c>
      <c r="C737" t="s">
        <v>1075</v>
      </c>
      <c r="D737" t="s">
        <v>1076</v>
      </c>
    </row>
    <row r="738" spans="1:4" x14ac:dyDescent="0.3">
      <c r="A738" s="2">
        <v>43837</v>
      </c>
      <c r="B738">
        <v>2020</v>
      </c>
      <c r="C738" t="s">
        <v>1075</v>
      </c>
      <c r="D738" t="s">
        <v>1076</v>
      </c>
    </row>
    <row r="739" spans="1:4" x14ac:dyDescent="0.3">
      <c r="A739" s="2">
        <v>43838</v>
      </c>
      <c r="B739">
        <v>2020</v>
      </c>
      <c r="C739" t="s">
        <v>1075</v>
      </c>
      <c r="D739" t="s">
        <v>1076</v>
      </c>
    </row>
    <row r="740" spans="1:4" x14ac:dyDescent="0.3">
      <c r="A740" s="2">
        <v>43839</v>
      </c>
      <c r="B740">
        <v>2020</v>
      </c>
      <c r="C740" t="s">
        <v>1075</v>
      </c>
      <c r="D740" t="s">
        <v>1076</v>
      </c>
    </row>
    <row r="741" spans="1:4" x14ac:dyDescent="0.3">
      <c r="A741" s="2">
        <v>43840</v>
      </c>
      <c r="B741">
        <v>2020</v>
      </c>
      <c r="C741" t="s">
        <v>1075</v>
      </c>
      <c r="D741" t="s">
        <v>1076</v>
      </c>
    </row>
    <row r="742" spans="1:4" x14ac:dyDescent="0.3">
      <c r="A742" s="2">
        <v>43841</v>
      </c>
      <c r="B742">
        <v>2020</v>
      </c>
      <c r="C742" t="s">
        <v>1075</v>
      </c>
      <c r="D742" t="s">
        <v>1076</v>
      </c>
    </row>
    <row r="743" spans="1:4" x14ac:dyDescent="0.3">
      <c r="A743" s="2">
        <v>43842</v>
      </c>
      <c r="B743">
        <v>2020</v>
      </c>
      <c r="C743" t="s">
        <v>1075</v>
      </c>
      <c r="D743" t="s">
        <v>1076</v>
      </c>
    </row>
    <row r="744" spans="1:4" x14ac:dyDescent="0.3">
      <c r="A744" s="2">
        <v>43843</v>
      </c>
      <c r="B744">
        <v>2020</v>
      </c>
      <c r="C744" t="s">
        <v>1075</v>
      </c>
      <c r="D744" t="s">
        <v>1076</v>
      </c>
    </row>
    <row r="745" spans="1:4" x14ac:dyDescent="0.3">
      <c r="A745" s="2">
        <v>43844</v>
      </c>
      <c r="B745">
        <v>2020</v>
      </c>
      <c r="C745" t="s">
        <v>1075</v>
      </c>
      <c r="D745" t="s">
        <v>1076</v>
      </c>
    </row>
    <row r="746" spans="1:4" x14ac:dyDescent="0.3">
      <c r="A746" s="2">
        <v>43845</v>
      </c>
      <c r="B746">
        <v>2020</v>
      </c>
      <c r="C746" t="s">
        <v>1075</v>
      </c>
      <c r="D746" t="s">
        <v>1076</v>
      </c>
    </row>
    <row r="747" spans="1:4" x14ac:dyDescent="0.3">
      <c r="A747" s="2">
        <v>43846</v>
      </c>
      <c r="B747">
        <v>2020</v>
      </c>
      <c r="C747" t="s">
        <v>1075</v>
      </c>
      <c r="D747" t="s">
        <v>1076</v>
      </c>
    </row>
    <row r="748" spans="1:4" x14ac:dyDescent="0.3">
      <c r="A748" s="2">
        <v>43847</v>
      </c>
      <c r="B748">
        <v>2020</v>
      </c>
      <c r="C748" t="s">
        <v>1075</v>
      </c>
      <c r="D748" t="s">
        <v>1076</v>
      </c>
    </row>
    <row r="749" spans="1:4" x14ac:dyDescent="0.3">
      <c r="A749" s="2">
        <v>43848</v>
      </c>
      <c r="B749">
        <v>2020</v>
      </c>
      <c r="C749" t="s">
        <v>1075</v>
      </c>
      <c r="D749" t="s">
        <v>1076</v>
      </c>
    </row>
    <row r="750" spans="1:4" x14ac:dyDescent="0.3">
      <c r="A750" s="2">
        <v>43849</v>
      </c>
      <c r="B750">
        <v>2020</v>
      </c>
      <c r="C750" t="s">
        <v>1075</v>
      </c>
      <c r="D750" t="s">
        <v>1076</v>
      </c>
    </row>
    <row r="751" spans="1:4" x14ac:dyDescent="0.3">
      <c r="A751" s="2">
        <v>43850</v>
      </c>
      <c r="B751">
        <v>2020</v>
      </c>
      <c r="C751" t="s">
        <v>1075</v>
      </c>
      <c r="D751" t="s">
        <v>1076</v>
      </c>
    </row>
    <row r="752" spans="1:4" x14ac:dyDescent="0.3">
      <c r="A752" s="2">
        <v>43851</v>
      </c>
      <c r="B752">
        <v>2020</v>
      </c>
      <c r="C752" t="s">
        <v>1075</v>
      </c>
      <c r="D752" t="s">
        <v>1076</v>
      </c>
    </row>
    <row r="753" spans="1:4" x14ac:dyDescent="0.3">
      <c r="A753" s="2">
        <v>43852</v>
      </c>
      <c r="B753">
        <v>2020</v>
      </c>
      <c r="C753" t="s">
        <v>1075</v>
      </c>
      <c r="D753" t="s">
        <v>1076</v>
      </c>
    </row>
    <row r="754" spans="1:4" x14ac:dyDescent="0.3">
      <c r="A754" s="2">
        <v>43853</v>
      </c>
      <c r="B754">
        <v>2020</v>
      </c>
      <c r="C754" t="s">
        <v>1075</v>
      </c>
      <c r="D754" t="s">
        <v>1076</v>
      </c>
    </row>
    <row r="755" spans="1:4" x14ac:dyDescent="0.3">
      <c r="A755" s="2">
        <v>43854</v>
      </c>
      <c r="B755">
        <v>2020</v>
      </c>
      <c r="C755" t="s">
        <v>1075</v>
      </c>
      <c r="D755" t="s">
        <v>1076</v>
      </c>
    </row>
    <row r="756" spans="1:4" x14ac:dyDescent="0.3">
      <c r="A756" s="2">
        <v>43855</v>
      </c>
      <c r="B756">
        <v>2020</v>
      </c>
      <c r="C756" t="s">
        <v>1075</v>
      </c>
      <c r="D756" t="s">
        <v>1076</v>
      </c>
    </row>
    <row r="757" spans="1:4" x14ac:dyDescent="0.3">
      <c r="A757" s="2">
        <v>43856</v>
      </c>
      <c r="B757">
        <v>2020</v>
      </c>
      <c r="C757" t="s">
        <v>1075</v>
      </c>
      <c r="D757" t="s">
        <v>1076</v>
      </c>
    </row>
    <row r="758" spans="1:4" x14ac:dyDescent="0.3">
      <c r="A758" s="2">
        <v>43857</v>
      </c>
      <c r="B758">
        <v>2020</v>
      </c>
      <c r="C758" t="s">
        <v>1075</v>
      </c>
      <c r="D758" t="s">
        <v>1076</v>
      </c>
    </row>
    <row r="759" spans="1:4" x14ac:dyDescent="0.3">
      <c r="A759" s="2">
        <v>43858</v>
      </c>
      <c r="B759">
        <v>2020</v>
      </c>
      <c r="C759" t="s">
        <v>1075</v>
      </c>
      <c r="D759" t="s">
        <v>1076</v>
      </c>
    </row>
    <row r="760" spans="1:4" x14ac:dyDescent="0.3">
      <c r="A760" s="2">
        <v>43859</v>
      </c>
      <c r="B760">
        <v>2020</v>
      </c>
      <c r="C760" t="s">
        <v>1075</v>
      </c>
      <c r="D760" t="s">
        <v>1076</v>
      </c>
    </row>
    <row r="761" spans="1:4" x14ac:dyDescent="0.3">
      <c r="A761" s="2">
        <v>43860</v>
      </c>
      <c r="B761">
        <v>2020</v>
      </c>
      <c r="C761" t="s">
        <v>1075</v>
      </c>
      <c r="D761" t="s">
        <v>1076</v>
      </c>
    </row>
    <row r="762" spans="1:4" x14ac:dyDescent="0.3">
      <c r="A762" s="2">
        <v>43861</v>
      </c>
      <c r="B762">
        <v>2020</v>
      </c>
      <c r="C762" t="s">
        <v>1075</v>
      </c>
      <c r="D762" t="s">
        <v>1076</v>
      </c>
    </row>
    <row r="763" spans="1:4" x14ac:dyDescent="0.3">
      <c r="A763" s="2">
        <v>43862</v>
      </c>
      <c r="B763">
        <v>2020</v>
      </c>
      <c r="C763" t="s">
        <v>1075</v>
      </c>
      <c r="D763" t="s">
        <v>1077</v>
      </c>
    </row>
    <row r="764" spans="1:4" x14ac:dyDescent="0.3">
      <c r="A764" s="2">
        <v>43863</v>
      </c>
      <c r="B764">
        <v>2020</v>
      </c>
      <c r="C764" t="s">
        <v>1075</v>
      </c>
      <c r="D764" t="s">
        <v>1077</v>
      </c>
    </row>
    <row r="765" spans="1:4" x14ac:dyDescent="0.3">
      <c r="A765" s="2">
        <v>43864</v>
      </c>
      <c r="B765">
        <v>2020</v>
      </c>
      <c r="C765" t="s">
        <v>1075</v>
      </c>
      <c r="D765" t="s">
        <v>1077</v>
      </c>
    </row>
    <row r="766" spans="1:4" x14ac:dyDescent="0.3">
      <c r="A766" s="2">
        <v>43865</v>
      </c>
      <c r="B766">
        <v>2020</v>
      </c>
      <c r="C766" t="s">
        <v>1075</v>
      </c>
      <c r="D766" t="s">
        <v>1077</v>
      </c>
    </row>
    <row r="767" spans="1:4" x14ac:dyDescent="0.3">
      <c r="A767" s="2">
        <v>43866</v>
      </c>
      <c r="B767">
        <v>2020</v>
      </c>
      <c r="C767" t="s">
        <v>1075</v>
      </c>
      <c r="D767" t="s">
        <v>1077</v>
      </c>
    </row>
    <row r="768" spans="1:4" x14ac:dyDescent="0.3">
      <c r="A768" s="2">
        <v>43867</v>
      </c>
      <c r="B768">
        <v>2020</v>
      </c>
      <c r="C768" t="s">
        <v>1075</v>
      </c>
      <c r="D768" t="s">
        <v>1077</v>
      </c>
    </row>
    <row r="769" spans="1:4" x14ac:dyDescent="0.3">
      <c r="A769" s="2">
        <v>43868</v>
      </c>
      <c r="B769">
        <v>2020</v>
      </c>
      <c r="C769" t="s">
        <v>1075</v>
      </c>
      <c r="D769" t="s">
        <v>1077</v>
      </c>
    </row>
    <row r="770" spans="1:4" x14ac:dyDescent="0.3">
      <c r="A770" s="2">
        <v>43869</v>
      </c>
      <c r="B770">
        <v>2020</v>
      </c>
      <c r="C770" t="s">
        <v>1075</v>
      </c>
      <c r="D770" t="s">
        <v>1077</v>
      </c>
    </row>
    <row r="771" spans="1:4" x14ac:dyDescent="0.3">
      <c r="A771" s="2">
        <v>43870</v>
      </c>
      <c r="B771">
        <v>2020</v>
      </c>
      <c r="C771" t="s">
        <v>1075</v>
      </c>
      <c r="D771" t="s">
        <v>1077</v>
      </c>
    </row>
    <row r="772" spans="1:4" x14ac:dyDescent="0.3">
      <c r="A772" s="2">
        <v>43871</v>
      </c>
      <c r="B772">
        <v>2020</v>
      </c>
      <c r="C772" t="s">
        <v>1075</v>
      </c>
      <c r="D772" t="s">
        <v>1077</v>
      </c>
    </row>
    <row r="773" spans="1:4" x14ac:dyDescent="0.3">
      <c r="A773" s="2">
        <v>43872</v>
      </c>
      <c r="B773">
        <v>2020</v>
      </c>
      <c r="C773" t="s">
        <v>1075</v>
      </c>
      <c r="D773" t="s">
        <v>1077</v>
      </c>
    </row>
    <row r="774" spans="1:4" x14ac:dyDescent="0.3">
      <c r="A774" s="2">
        <v>43873</v>
      </c>
      <c r="B774">
        <v>2020</v>
      </c>
      <c r="C774" t="s">
        <v>1075</v>
      </c>
      <c r="D774" t="s">
        <v>1077</v>
      </c>
    </row>
    <row r="775" spans="1:4" x14ac:dyDescent="0.3">
      <c r="A775" s="2">
        <v>43874</v>
      </c>
      <c r="B775">
        <v>2020</v>
      </c>
      <c r="C775" t="s">
        <v>1075</v>
      </c>
      <c r="D775" t="s">
        <v>1077</v>
      </c>
    </row>
    <row r="776" spans="1:4" x14ac:dyDescent="0.3">
      <c r="A776" s="2">
        <v>43875</v>
      </c>
      <c r="B776">
        <v>2020</v>
      </c>
      <c r="C776" t="s">
        <v>1075</v>
      </c>
      <c r="D776" t="s">
        <v>1077</v>
      </c>
    </row>
    <row r="777" spans="1:4" x14ac:dyDescent="0.3">
      <c r="A777" s="2">
        <v>43876</v>
      </c>
      <c r="B777">
        <v>2020</v>
      </c>
      <c r="C777" t="s">
        <v>1075</v>
      </c>
      <c r="D777" t="s">
        <v>1077</v>
      </c>
    </row>
    <row r="778" spans="1:4" x14ac:dyDescent="0.3">
      <c r="A778" s="2">
        <v>43877</v>
      </c>
      <c r="B778">
        <v>2020</v>
      </c>
      <c r="C778" t="s">
        <v>1075</v>
      </c>
      <c r="D778" t="s">
        <v>1077</v>
      </c>
    </row>
    <row r="779" spans="1:4" x14ac:dyDescent="0.3">
      <c r="A779" s="2">
        <v>43878</v>
      </c>
      <c r="B779">
        <v>2020</v>
      </c>
      <c r="C779" t="s">
        <v>1075</v>
      </c>
      <c r="D779" t="s">
        <v>1077</v>
      </c>
    </row>
    <row r="780" spans="1:4" x14ac:dyDescent="0.3">
      <c r="A780" s="2">
        <v>43879</v>
      </c>
      <c r="B780">
        <v>2020</v>
      </c>
      <c r="C780" t="s">
        <v>1075</v>
      </c>
      <c r="D780" t="s">
        <v>1077</v>
      </c>
    </row>
    <row r="781" spans="1:4" x14ac:dyDescent="0.3">
      <c r="A781" s="2">
        <v>43880</v>
      </c>
      <c r="B781">
        <v>2020</v>
      </c>
      <c r="C781" t="s">
        <v>1075</v>
      </c>
      <c r="D781" t="s">
        <v>1077</v>
      </c>
    </row>
    <row r="782" spans="1:4" x14ac:dyDescent="0.3">
      <c r="A782" s="2">
        <v>43881</v>
      </c>
      <c r="B782">
        <v>2020</v>
      </c>
      <c r="C782" t="s">
        <v>1075</v>
      </c>
      <c r="D782" t="s">
        <v>1077</v>
      </c>
    </row>
    <row r="783" spans="1:4" x14ac:dyDescent="0.3">
      <c r="A783" s="2">
        <v>43882</v>
      </c>
      <c r="B783">
        <v>2020</v>
      </c>
      <c r="C783" t="s">
        <v>1075</v>
      </c>
      <c r="D783" t="s">
        <v>1077</v>
      </c>
    </row>
    <row r="784" spans="1:4" x14ac:dyDescent="0.3">
      <c r="A784" s="2">
        <v>43883</v>
      </c>
      <c r="B784">
        <v>2020</v>
      </c>
      <c r="C784" t="s">
        <v>1075</v>
      </c>
      <c r="D784" t="s">
        <v>1077</v>
      </c>
    </row>
    <row r="785" spans="1:4" x14ac:dyDescent="0.3">
      <c r="A785" s="2">
        <v>43884</v>
      </c>
      <c r="B785">
        <v>2020</v>
      </c>
      <c r="C785" t="s">
        <v>1075</v>
      </c>
      <c r="D785" t="s">
        <v>1077</v>
      </c>
    </row>
    <row r="786" spans="1:4" x14ac:dyDescent="0.3">
      <c r="A786" s="2">
        <v>43885</v>
      </c>
      <c r="B786">
        <v>2020</v>
      </c>
      <c r="C786" t="s">
        <v>1075</v>
      </c>
      <c r="D786" t="s">
        <v>1077</v>
      </c>
    </row>
    <row r="787" spans="1:4" x14ac:dyDescent="0.3">
      <c r="A787" s="2">
        <v>43886</v>
      </c>
      <c r="B787">
        <v>2020</v>
      </c>
      <c r="C787" t="s">
        <v>1075</v>
      </c>
      <c r="D787" t="s">
        <v>1077</v>
      </c>
    </row>
    <row r="788" spans="1:4" x14ac:dyDescent="0.3">
      <c r="A788" s="2">
        <v>43887</v>
      </c>
      <c r="B788">
        <v>2020</v>
      </c>
      <c r="C788" t="s">
        <v>1075</v>
      </c>
      <c r="D788" t="s">
        <v>1077</v>
      </c>
    </row>
    <row r="789" spans="1:4" x14ac:dyDescent="0.3">
      <c r="A789" s="2">
        <v>43888</v>
      </c>
      <c r="B789">
        <v>2020</v>
      </c>
      <c r="C789" t="s">
        <v>1075</v>
      </c>
      <c r="D789" t="s">
        <v>1077</v>
      </c>
    </row>
    <row r="790" spans="1:4" x14ac:dyDescent="0.3">
      <c r="A790" s="2">
        <v>43889</v>
      </c>
      <c r="B790">
        <v>2020</v>
      </c>
      <c r="C790" t="s">
        <v>1075</v>
      </c>
      <c r="D790" t="s">
        <v>1077</v>
      </c>
    </row>
    <row r="791" spans="1:4" x14ac:dyDescent="0.3">
      <c r="A791" s="2">
        <v>43890</v>
      </c>
      <c r="B791">
        <v>2020</v>
      </c>
      <c r="C791" t="s">
        <v>1075</v>
      </c>
      <c r="D791" t="s">
        <v>1077</v>
      </c>
    </row>
    <row r="792" spans="1:4" x14ac:dyDescent="0.3">
      <c r="A792" s="2">
        <v>43891</v>
      </c>
      <c r="B792">
        <v>2020</v>
      </c>
      <c r="C792" t="s">
        <v>1075</v>
      </c>
      <c r="D792" t="s">
        <v>1078</v>
      </c>
    </row>
    <row r="793" spans="1:4" x14ac:dyDescent="0.3">
      <c r="A793" s="2">
        <v>43892</v>
      </c>
      <c r="B793">
        <v>2020</v>
      </c>
      <c r="C793" t="s">
        <v>1075</v>
      </c>
      <c r="D793" t="s">
        <v>1078</v>
      </c>
    </row>
    <row r="794" spans="1:4" x14ac:dyDescent="0.3">
      <c r="A794" s="2">
        <v>43893</v>
      </c>
      <c r="B794">
        <v>2020</v>
      </c>
      <c r="C794" t="s">
        <v>1075</v>
      </c>
      <c r="D794" t="s">
        <v>1078</v>
      </c>
    </row>
    <row r="795" spans="1:4" x14ac:dyDescent="0.3">
      <c r="A795" s="2">
        <v>43894</v>
      </c>
      <c r="B795">
        <v>2020</v>
      </c>
      <c r="C795" t="s">
        <v>1075</v>
      </c>
      <c r="D795" t="s">
        <v>1078</v>
      </c>
    </row>
    <row r="796" spans="1:4" x14ac:dyDescent="0.3">
      <c r="A796" s="2">
        <v>43895</v>
      </c>
      <c r="B796">
        <v>2020</v>
      </c>
      <c r="C796" t="s">
        <v>1075</v>
      </c>
      <c r="D796" t="s">
        <v>1078</v>
      </c>
    </row>
    <row r="797" spans="1:4" x14ac:dyDescent="0.3">
      <c r="A797" s="2">
        <v>43896</v>
      </c>
      <c r="B797">
        <v>2020</v>
      </c>
      <c r="C797" t="s">
        <v>1075</v>
      </c>
      <c r="D797" t="s">
        <v>1078</v>
      </c>
    </row>
    <row r="798" spans="1:4" x14ac:dyDescent="0.3">
      <c r="A798" s="2">
        <v>43897</v>
      </c>
      <c r="B798">
        <v>2020</v>
      </c>
      <c r="C798" t="s">
        <v>1075</v>
      </c>
      <c r="D798" t="s">
        <v>1078</v>
      </c>
    </row>
    <row r="799" spans="1:4" x14ac:dyDescent="0.3">
      <c r="A799" s="2">
        <v>43898</v>
      </c>
      <c r="B799">
        <v>2020</v>
      </c>
      <c r="C799" t="s">
        <v>1075</v>
      </c>
      <c r="D799" t="s">
        <v>1078</v>
      </c>
    </row>
    <row r="800" spans="1:4" x14ac:dyDescent="0.3">
      <c r="A800" s="2">
        <v>43899</v>
      </c>
      <c r="B800">
        <v>2020</v>
      </c>
      <c r="C800" t="s">
        <v>1075</v>
      </c>
      <c r="D800" t="s">
        <v>1078</v>
      </c>
    </row>
    <row r="801" spans="1:4" x14ac:dyDescent="0.3">
      <c r="A801" s="2">
        <v>43900</v>
      </c>
      <c r="B801">
        <v>2020</v>
      </c>
      <c r="C801" t="s">
        <v>1075</v>
      </c>
      <c r="D801" t="s">
        <v>1078</v>
      </c>
    </row>
    <row r="802" spans="1:4" x14ac:dyDescent="0.3">
      <c r="A802" s="2">
        <v>43901</v>
      </c>
      <c r="B802">
        <v>2020</v>
      </c>
      <c r="C802" t="s">
        <v>1075</v>
      </c>
      <c r="D802" t="s">
        <v>1078</v>
      </c>
    </row>
    <row r="803" spans="1:4" x14ac:dyDescent="0.3">
      <c r="A803" s="2">
        <v>43902</v>
      </c>
      <c r="B803">
        <v>2020</v>
      </c>
      <c r="C803" t="s">
        <v>1075</v>
      </c>
      <c r="D803" t="s">
        <v>1078</v>
      </c>
    </row>
    <row r="804" spans="1:4" x14ac:dyDescent="0.3">
      <c r="A804" s="2">
        <v>43903</v>
      </c>
      <c r="B804">
        <v>2020</v>
      </c>
      <c r="C804" t="s">
        <v>1075</v>
      </c>
      <c r="D804" t="s">
        <v>1078</v>
      </c>
    </row>
    <row r="805" spans="1:4" x14ac:dyDescent="0.3">
      <c r="A805" s="2">
        <v>43904</v>
      </c>
      <c r="B805">
        <v>2020</v>
      </c>
      <c r="C805" t="s">
        <v>1075</v>
      </c>
      <c r="D805" t="s">
        <v>1078</v>
      </c>
    </row>
    <row r="806" spans="1:4" x14ac:dyDescent="0.3">
      <c r="A806" s="2">
        <v>43905</v>
      </c>
      <c r="B806">
        <v>2020</v>
      </c>
      <c r="C806" t="s">
        <v>1075</v>
      </c>
      <c r="D806" t="s">
        <v>1078</v>
      </c>
    </row>
    <row r="807" spans="1:4" x14ac:dyDescent="0.3">
      <c r="A807" s="2">
        <v>43906</v>
      </c>
      <c r="B807">
        <v>2020</v>
      </c>
      <c r="C807" t="s">
        <v>1075</v>
      </c>
      <c r="D807" t="s">
        <v>1078</v>
      </c>
    </row>
    <row r="808" spans="1:4" x14ac:dyDescent="0.3">
      <c r="A808" s="2">
        <v>43907</v>
      </c>
      <c r="B808">
        <v>2020</v>
      </c>
      <c r="C808" t="s">
        <v>1075</v>
      </c>
      <c r="D808" t="s">
        <v>1078</v>
      </c>
    </row>
    <row r="809" spans="1:4" x14ac:dyDescent="0.3">
      <c r="A809" s="2">
        <v>43908</v>
      </c>
      <c r="B809">
        <v>2020</v>
      </c>
      <c r="C809" t="s">
        <v>1075</v>
      </c>
      <c r="D809" t="s">
        <v>1078</v>
      </c>
    </row>
    <row r="810" spans="1:4" x14ac:dyDescent="0.3">
      <c r="A810" s="2">
        <v>43909</v>
      </c>
      <c r="B810">
        <v>2020</v>
      </c>
      <c r="C810" t="s">
        <v>1075</v>
      </c>
      <c r="D810" t="s">
        <v>1078</v>
      </c>
    </row>
    <row r="811" spans="1:4" x14ac:dyDescent="0.3">
      <c r="A811" s="2">
        <v>43910</v>
      </c>
      <c r="B811">
        <v>2020</v>
      </c>
      <c r="C811" t="s">
        <v>1075</v>
      </c>
      <c r="D811" t="s">
        <v>1078</v>
      </c>
    </row>
    <row r="812" spans="1:4" x14ac:dyDescent="0.3">
      <c r="A812" s="2">
        <v>43911</v>
      </c>
      <c r="B812">
        <v>2020</v>
      </c>
      <c r="C812" t="s">
        <v>1075</v>
      </c>
      <c r="D812" t="s">
        <v>1078</v>
      </c>
    </row>
    <row r="813" spans="1:4" x14ac:dyDescent="0.3">
      <c r="A813" s="2">
        <v>43912</v>
      </c>
      <c r="B813">
        <v>2020</v>
      </c>
      <c r="C813" t="s">
        <v>1075</v>
      </c>
      <c r="D813" t="s">
        <v>1078</v>
      </c>
    </row>
    <row r="814" spans="1:4" x14ac:dyDescent="0.3">
      <c r="A814" s="2">
        <v>43913</v>
      </c>
      <c r="B814">
        <v>2020</v>
      </c>
      <c r="C814" t="s">
        <v>1075</v>
      </c>
      <c r="D814" t="s">
        <v>1078</v>
      </c>
    </row>
    <row r="815" spans="1:4" x14ac:dyDescent="0.3">
      <c r="A815" s="2">
        <v>43914</v>
      </c>
      <c r="B815">
        <v>2020</v>
      </c>
      <c r="C815" t="s">
        <v>1075</v>
      </c>
      <c r="D815" t="s">
        <v>1078</v>
      </c>
    </row>
    <row r="816" spans="1:4" x14ac:dyDescent="0.3">
      <c r="A816" s="2">
        <v>43915</v>
      </c>
      <c r="B816">
        <v>2020</v>
      </c>
      <c r="C816" t="s">
        <v>1075</v>
      </c>
      <c r="D816" t="s">
        <v>1078</v>
      </c>
    </row>
    <row r="817" spans="1:4" x14ac:dyDescent="0.3">
      <c r="A817" s="2">
        <v>43916</v>
      </c>
      <c r="B817">
        <v>2020</v>
      </c>
      <c r="C817" t="s">
        <v>1075</v>
      </c>
      <c r="D817" t="s">
        <v>1078</v>
      </c>
    </row>
    <row r="818" spans="1:4" x14ac:dyDescent="0.3">
      <c r="A818" s="2">
        <v>43917</v>
      </c>
      <c r="B818">
        <v>2020</v>
      </c>
      <c r="C818" t="s">
        <v>1075</v>
      </c>
      <c r="D818" t="s">
        <v>1078</v>
      </c>
    </row>
    <row r="819" spans="1:4" x14ac:dyDescent="0.3">
      <c r="A819" s="2">
        <v>43918</v>
      </c>
      <c r="B819">
        <v>2020</v>
      </c>
      <c r="C819" t="s">
        <v>1075</v>
      </c>
      <c r="D819" t="s">
        <v>1078</v>
      </c>
    </row>
    <row r="820" spans="1:4" x14ac:dyDescent="0.3">
      <c r="A820" s="2">
        <v>43919</v>
      </c>
      <c r="B820">
        <v>2020</v>
      </c>
      <c r="C820" t="s">
        <v>1075</v>
      </c>
      <c r="D820" t="s">
        <v>1078</v>
      </c>
    </row>
    <row r="821" spans="1:4" x14ac:dyDescent="0.3">
      <c r="A821" s="2">
        <v>43920</v>
      </c>
      <c r="B821">
        <v>2020</v>
      </c>
      <c r="C821" t="s">
        <v>1075</v>
      </c>
      <c r="D821" t="s">
        <v>1078</v>
      </c>
    </row>
    <row r="822" spans="1:4" x14ac:dyDescent="0.3">
      <c r="A822" s="2">
        <v>43921</v>
      </c>
      <c r="B822">
        <v>2020</v>
      </c>
      <c r="C822" t="s">
        <v>1075</v>
      </c>
      <c r="D822" t="s">
        <v>1078</v>
      </c>
    </row>
    <row r="823" spans="1:4" x14ac:dyDescent="0.3">
      <c r="A823" s="2">
        <v>43922</v>
      </c>
      <c r="B823">
        <v>2020</v>
      </c>
      <c r="C823" t="s">
        <v>1079</v>
      </c>
      <c r="D823" t="s">
        <v>1080</v>
      </c>
    </row>
    <row r="824" spans="1:4" x14ac:dyDescent="0.3">
      <c r="A824" s="2">
        <v>43923</v>
      </c>
      <c r="B824">
        <v>2020</v>
      </c>
      <c r="C824" t="s">
        <v>1079</v>
      </c>
      <c r="D824" t="s">
        <v>1080</v>
      </c>
    </row>
    <row r="825" spans="1:4" x14ac:dyDescent="0.3">
      <c r="A825" s="2">
        <v>43924</v>
      </c>
      <c r="B825">
        <v>2020</v>
      </c>
      <c r="C825" t="s">
        <v>1079</v>
      </c>
      <c r="D825" t="s">
        <v>1080</v>
      </c>
    </row>
    <row r="826" spans="1:4" x14ac:dyDescent="0.3">
      <c r="A826" s="2">
        <v>43925</v>
      </c>
      <c r="B826">
        <v>2020</v>
      </c>
      <c r="C826" t="s">
        <v>1079</v>
      </c>
      <c r="D826" t="s">
        <v>1080</v>
      </c>
    </row>
    <row r="827" spans="1:4" x14ac:dyDescent="0.3">
      <c r="A827" s="2">
        <v>43926</v>
      </c>
      <c r="B827">
        <v>2020</v>
      </c>
      <c r="C827" t="s">
        <v>1079</v>
      </c>
      <c r="D827" t="s">
        <v>1080</v>
      </c>
    </row>
    <row r="828" spans="1:4" x14ac:dyDescent="0.3">
      <c r="A828" s="2">
        <v>43927</v>
      </c>
      <c r="B828">
        <v>2020</v>
      </c>
      <c r="C828" t="s">
        <v>1079</v>
      </c>
      <c r="D828" t="s">
        <v>1080</v>
      </c>
    </row>
    <row r="829" spans="1:4" x14ac:dyDescent="0.3">
      <c r="A829" s="2">
        <v>43928</v>
      </c>
      <c r="B829">
        <v>2020</v>
      </c>
      <c r="C829" t="s">
        <v>1079</v>
      </c>
      <c r="D829" t="s">
        <v>1080</v>
      </c>
    </row>
    <row r="830" spans="1:4" x14ac:dyDescent="0.3">
      <c r="A830" s="2">
        <v>43929</v>
      </c>
      <c r="B830">
        <v>2020</v>
      </c>
      <c r="C830" t="s">
        <v>1079</v>
      </c>
      <c r="D830" t="s">
        <v>1080</v>
      </c>
    </row>
    <row r="831" spans="1:4" x14ac:dyDescent="0.3">
      <c r="A831" s="2">
        <v>43930</v>
      </c>
      <c r="B831">
        <v>2020</v>
      </c>
      <c r="C831" t="s">
        <v>1079</v>
      </c>
      <c r="D831" t="s">
        <v>1080</v>
      </c>
    </row>
    <row r="832" spans="1:4" x14ac:dyDescent="0.3">
      <c r="A832" s="2">
        <v>43931</v>
      </c>
      <c r="B832">
        <v>2020</v>
      </c>
      <c r="C832" t="s">
        <v>1079</v>
      </c>
      <c r="D832" t="s">
        <v>1080</v>
      </c>
    </row>
    <row r="833" spans="1:4" x14ac:dyDescent="0.3">
      <c r="A833" s="2">
        <v>43932</v>
      </c>
      <c r="B833">
        <v>2020</v>
      </c>
      <c r="C833" t="s">
        <v>1079</v>
      </c>
      <c r="D833" t="s">
        <v>1080</v>
      </c>
    </row>
    <row r="834" spans="1:4" x14ac:dyDescent="0.3">
      <c r="A834" s="2">
        <v>43933</v>
      </c>
      <c r="B834">
        <v>2020</v>
      </c>
      <c r="C834" t="s">
        <v>1079</v>
      </c>
      <c r="D834" t="s">
        <v>1080</v>
      </c>
    </row>
    <row r="835" spans="1:4" x14ac:dyDescent="0.3">
      <c r="A835" s="2">
        <v>43934</v>
      </c>
      <c r="B835">
        <v>2020</v>
      </c>
      <c r="C835" t="s">
        <v>1079</v>
      </c>
      <c r="D835" t="s">
        <v>1080</v>
      </c>
    </row>
    <row r="836" spans="1:4" x14ac:dyDescent="0.3">
      <c r="A836" s="2">
        <v>43935</v>
      </c>
      <c r="B836">
        <v>2020</v>
      </c>
      <c r="C836" t="s">
        <v>1079</v>
      </c>
      <c r="D836" t="s">
        <v>1080</v>
      </c>
    </row>
    <row r="837" spans="1:4" x14ac:dyDescent="0.3">
      <c r="A837" s="2">
        <v>43936</v>
      </c>
      <c r="B837">
        <v>2020</v>
      </c>
      <c r="C837" t="s">
        <v>1079</v>
      </c>
      <c r="D837" t="s">
        <v>1080</v>
      </c>
    </row>
    <row r="838" spans="1:4" x14ac:dyDescent="0.3">
      <c r="A838" s="2">
        <v>43937</v>
      </c>
      <c r="B838">
        <v>2020</v>
      </c>
      <c r="C838" t="s">
        <v>1079</v>
      </c>
      <c r="D838" t="s">
        <v>1080</v>
      </c>
    </row>
    <row r="839" spans="1:4" x14ac:dyDescent="0.3">
      <c r="A839" s="2">
        <v>43938</v>
      </c>
      <c r="B839">
        <v>2020</v>
      </c>
      <c r="C839" t="s">
        <v>1079</v>
      </c>
      <c r="D839" t="s">
        <v>1080</v>
      </c>
    </row>
    <row r="840" spans="1:4" x14ac:dyDescent="0.3">
      <c r="A840" s="2">
        <v>43939</v>
      </c>
      <c r="B840">
        <v>2020</v>
      </c>
      <c r="C840" t="s">
        <v>1079</v>
      </c>
      <c r="D840" t="s">
        <v>1080</v>
      </c>
    </row>
    <row r="841" spans="1:4" x14ac:dyDescent="0.3">
      <c r="A841" s="2">
        <v>43940</v>
      </c>
      <c r="B841">
        <v>2020</v>
      </c>
      <c r="C841" t="s">
        <v>1079</v>
      </c>
      <c r="D841" t="s">
        <v>1080</v>
      </c>
    </row>
    <row r="842" spans="1:4" x14ac:dyDescent="0.3">
      <c r="A842" s="2">
        <v>43941</v>
      </c>
      <c r="B842">
        <v>2020</v>
      </c>
      <c r="C842" t="s">
        <v>1079</v>
      </c>
      <c r="D842" t="s">
        <v>1080</v>
      </c>
    </row>
    <row r="843" spans="1:4" x14ac:dyDescent="0.3">
      <c r="A843" s="2">
        <v>43942</v>
      </c>
      <c r="B843">
        <v>2020</v>
      </c>
      <c r="C843" t="s">
        <v>1079</v>
      </c>
      <c r="D843" t="s">
        <v>1080</v>
      </c>
    </row>
    <row r="844" spans="1:4" x14ac:dyDescent="0.3">
      <c r="A844" s="2">
        <v>43943</v>
      </c>
      <c r="B844">
        <v>2020</v>
      </c>
      <c r="C844" t="s">
        <v>1079</v>
      </c>
      <c r="D844" t="s">
        <v>1080</v>
      </c>
    </row>
    <row r="845" spans="1:4" x14ac:dyDescent="0.3">
      <c r="A845" s="2">
        <v>43944</v>
      </c>
      <c r="B845">
        <v>2020</v>
      </c>
      <c r="C845" t="s">
        <v>1079</v>
      </c>
      <c r="D845" t="s">
        <v>1080</v>
      </c>
    </row>
    <row r="846" spans="1:4" x14ac:dyDescent="0.3">
      <c r="A846" s="2">
        <v>43945</v>
      </c>
      <c r="B846">
        <v>2020</v>
      </c>
      <c r="C846" t="s">
        <v>1079</v>
      </c>
      <c r="D846" t="s">
        <v>1080</v>
      </c>
    </row>
    <row r="847" spans="1:4" x14ac:dyDescent="0.3">
      <c r="A847" s="2">
        <v>43946</v>
      </c>
      <c r="B847">
        <v>2020</v>
      </c>
      <c r="C847" t="s">
        <v>1079</v>
      </c>
      <c r="D847" t="s">
        <v>1080</v>
      </c>
    </row>
    <row r="848" spans="1:4" x14ac:dyDescent="0.3">
      <c r="A848" s="2">
        <v>43947</v>
      </c>
      <c r="B848">
        <v>2020</v>
      </c>
      <c r="C848" t="s">
        <v>1079</v>
      </c>
      <c r="D848" t="s">
        <v>1080</v>
      </c>
    </row>
    <row r="849" spans="1:4" x14ac:dyDescent="0.3">
      <c r="A849" s="2">
        <v>43948</v>
      </c>
      <c r="B849">
        <v>2020</v>
      </c>
      <c r="C849" t="s">
        <v>1079</v>
      </c>
      <c r="D849" t="s">
        <v>1080</v>
      </c>
    </row>
    <row r="850" spans="1:4" x14ac:dyDescent="0.3">
      <c r="A850" s="2">
        <v>43949</v>
      </c>
      <c r="B850">
        <v>2020</v>
      </c>
      <c r="C850" t="s">
        <v>1079</v>
      </c>
      <c r="D850" t="s">
        <v>1080</v>
      </c>
    </row>
    <row r="851" spans="1:4" x14ac:dyDescent="0.3">
      <c r="A851" s="2">
        <v>43950</v>
      </c>
      <c r="B851">
        <v>2020</v>
      </c>
      <c r="C851" t="s">
        <v>1079</v>
      </c>
      <c r="D851" t="s">
        <v>1080</v>
      </c>
    </row>
    <row r="852" spans="1:4" x14ac:dyDescent="0.3">
      <c r="A852" s="2">
        <v>43951</v>
      </c>
      <c r="B852">
        <v>2020</v>
      </c>
      <c r="C852" t="s">
        <v>1079</v>
      </c>
      <c r="D852" t="s">
        <v>1080</v>
      </c>
    </row>
    <row r="853" spans="1:4" x14ac:dyDescent="0.3">
      <c r="A853" s="2">
        <v>43952</v>
      </c>
      <c r="B853">
        <v>2020</v>
      </c>
      <c r="C853" t="s">
        <v>1079</v>
      </c>
      <c r="D853" t="s">
        <v>1081</v>
      </c>
    </row>
    <row r="854" spans="1:4" x14ac:dyDescent="0.3">
      <c r="A854" s="2">
        <v>43953</v>
      </c>
      <c r="B854">
        <v>2020</v>
      </c>
      <c r="C854" t="s">
        <v>1079</v>
      </c>
      <c r="D854" t="s">
        <v>1081</v>
      </c>
    </row>
    <row r="855" spans="1:4" x14ac:dyDescent="0.3">
      <c r="A855" s="2">
        <v>43954</v>
      </c>
      <c r="B855">
        <v>2020</v>
      </c>
      <c r="C855" t="s">
        <v>1079</v>
      </c>
      <c r="D855" t="s">
        <v>1081</v>
      </c>
    </row>
    <row r="856" spans="1:4" x14ac:dyDescent="0.3">
      <c r="A856" s="2">
        <v>43955</v>
      </c>
      <c r="B856">
        <v>2020</v>
      </c>
      <c r="C856" t="s">
        <v>1079</v>
      </c>
      <c r="D856" t="s">
        <v>1081</v>
      </c>
    </row>
    <row r="857" spans="1:4" x14ac:dyDescent="0.3">
      <c r="A857" s="2">
        <v>43956</v>
      </c>
      <c r="B857">
        <v>2020</v>
      </c>
      <c r="C857" t="s">
        <v>1079</v>
      </c>
      <c r="D857" t="s">
        <v>1081</v>
      </c>
    </row>
    <row r="858" spans="1:4" x14ac:dyDescent="0.3">
      <c r="A858" s="2">
        <v>43957</v>
      </c>
      <c r="B858">
        <v>2020</v>
      </c>
      <c r="C858" t="s">
        <v>1079</v>
      </c>
      <c r="D858" t="s">
        <v>1081</v>
      </c>
    </row>
    <row r="859" spans="1:4" x14ac:dyDescent="0.3">
      <c r="A859" s="2">
        <v>43958</v>
      </c>
      <c r="B859">
        <v>2020</v>
      </c>
      <c r="C859" t="s">
        <v>1079</v>
      </c>
      <c r="D859" t="s">
        <v>1081</v>
      </c>
    </row>
    <row r="860" spans="1:4" x14ac:dyDescent="0.3">
      <c r="A860" s="2">
        <v>43959</v>
      </c>
      <c r="B860">
        <v>2020</v>
      </c>
      <c r="C860" t="s">
        <v>1079</v>
      </c>
      <c r="D860" t="s">
        <v>1081</v>
      </c>
    </row>
    <row r="861" spans="1:4" x14ac:dyDescent="0.3">
      <c r="A861" s="2">
        <v>43960</v>
      </c>
      <c r="B861">
        <v>2020</v>
      </c>
      <c r="C861" t="s">
        <v>1079</v>
      </c>
      <c r="D861" t="s">
        <v>1081</v>
      </c>
    </row>
    <row r="862" spans="1:4" x14ac:dyDescent="0.3">
      <c r="A862" s="2">
        <v>43961</v>
      </c>
      <c r="B862">
        <v>2020</v>
      </c>
      <c r="C862" t="s">
        <v>1079</v>
      </c>
      <c r="D862" t="s">
        <v>1081</v>
      </c>
    </row>
    <row r="863" spans="1:4" x14ac:dyDescent="0.3">
      <c r="A863" s="2">
        <v>43962</v>
      </c>
      <c r="B863">
        <v>2020</v>
      </c>
      <c r="C863" t="s">
        <v>1079</v>
      </c>
      <c r="D863" t="s">
        <v>1081</v>
      </c>
    </row>
    <row r="864" spans="1:4" x14ac:dyDescent="0.3">
      <c r="A864" s="2">
        <v>43963</v>
      </c>
      <c r="B864">
        <v>2020</v>
      </c>
      <c r="C864" t="s">
        <v>1079</v>
      </c>
      <c r="D864" t="s">
        <v>1081</v>
      </c>
    </row>
    <row r="865" spans="1:4" x14ac:dyDescent="0.3">
      <c r="A865" s="2">
        <v>43964</v>
      </c>
      <c r="B865">
        <v>2020</v>
      </c>
      <c r="C865" t="s">
        <v>1079</v>
      </c>
      <c r="D865" t="s">
        <v>1081</v>
      </c>
    </row>
    <row r="866" spans="1:4" x14ac:dyDescent="0.3">
      <c r="A866" s="2">
        <v>43965</v>
      </c>
      <c r="B866">
        <v>2020</v>
      </c>
      <c r="C866" t="s">
        <v>1079</v>
      </c>
      <c r="D866" t="s">
        <v>1081</v>
      </c>
    </row>
    <row r="867" spans="1:4" x14ac:dyDescent="0.3">
      <c r="A867" s="2">
        <v>43966</v>
      </c>
      <c r="B867">
        <v>2020</v>
      </c>
      <c r="C867" t="s">
        <v>1079</v>
      </c>
      <c r="D867" t="s">
        <v>1081</v>
      </c>
    </row>
    <row r="868" spans="1:4" x14ac:dyDescent="0.3">
      <c r="A868" s="2">
        <v>43967</v>
      </c>
      <c r="B868">
        <v>2020</v>
      </c>
      <c r="C868" t="s">
        <v>1079</v>
      </c>
      <c r="D868" t="s">
        <v>1081</v>
      </c>
    </row>
    <row r="869" spans="1:4" x14ac:dyDescent="0.3">
      <c r="A869" s="2">
        <v>43968</v>
      </c>
      <c r="B869">
        <v>2020</v>
      </c>
      <c r="C869" t="s">
        <v>1079</v>
      </c>
      <c r="D869" t="s">
        <v>1081</v>
      </c>
    </row>
    <row r="870" spans="1:4" x14ac:dyDescent="0.3">
      <c r="A870" s="2">
        <v>43969</v>
      </c>
      <c r="B870">
        <v>2020</v>
      </c>
      <c r="C870" t="s">
        <v>1079</v>
      </c>
      <c r="D870" t="s">
        <v>1081</v>
      </c>
    </row>
    <row r="871" spans="1:4" x14ac:dyDescent="0.3">
      <c r="A871" s="2">
        <v>43970</v>
      </c>
      <c r="B871">
        <v>2020</v>
      </c>
      <c r="C871" t="s">
        <v>1079</v>
      </c>
      <c r="D871" t="s">
        <v>1081</v>
      </c>
    </row>
    <row r="872" spans="1:4" x14ac:dyDescent="0.3">
      <c r="A872" s="2">
        <v>43971</v>
      </c>
      <c r="B872">
        <v>2020</v>
      </c>
      <c r="C872" t="s">
        <v>1079</v>
      </c>
      <c r="D872" t="s">
        <v>1081</v>
      </c>
    </row>
    <row r="873" spans="1:4" x14ac:dyDescent="0.3">
      <c r="A873" s="2">
        <v>43972</v>
      </c>
      <c r="B873">
        <v>2020</v>
      </c>
      <c r="C873" t="s">
        <v>1079</v>
      </c>
      <c r="D873" t="s">
        <v>1081</v>
      </c>
    </row>
    <row r="874" spans="1:4" x14ac:dyDescent="0.3">
      <c r="A874" s="2">
        <v>43973</v>
      </c>
      <c r="B874">
        <v>2020</v>
      </c>
      <c r="C874" t="s">
        <v>1079</v>
      </c>
      <c r="D874" t="s">
        <v>1081</v>
      </c>
    </row>
    <row r="875" spans="1:4" x14ac:dyDescent="0.3">
      <c r="A875" s="2">
        <v>43974</v>
      </c>
      <c r="B875">
        <v>2020</v>
      </c>
      <c r="C875" t="s">
        <v>1079</v>
      </c>
      <c r="D875" t="s">
        <v>1081</v>
      </c>
    </row>
    <row r="876" spans="1:4" x14ac:dyDescent="0.3">
      <c r="A876" s="2">
        <v>43975</v>
      </c>
      <c r="B876">
        <v>2020</v>
      </c>
      <c r="C876" t="s">
        <v>1079</v>
      </c>
      <c r="D876" t="s">
        <v>1081</v>
      </c>
    </row>
    <row r="877" spans="1:4" x14ac:dyDescent="0.3">
      <c r="A877" s="2">
        <v>43976</v>
      </c>
      <c r="B877">
        <v>2020</v>
      </c>
      <c r="C877" t="s">
        <v>1079</v>
      </c>
      <c r="D877" t="s">
        <v>1081</v>
      </c>
    </row>
    <row r="878" spans="1:4" x14ac:dyDescent="0.3">
      <c r="A878" s="2">
        <v>43977</v>
      </c>
      <c r="B878">
        <v>2020</v>
      </c>
      <c r="C878" t="s">
        <v>1079</v>
      </c>
      <c r="D878" t="s">
        <v>1081</v>
      </c>
    </row>
    <row r="879" spans="1:4" x14ac:dyDescent="0.3">
      <c r="A879" s="2">
        <v>43978</v>
      </c>
      <c r="B879">
        <v>2020</v>
      </c>
      <c r="C879" t="s">
        <v>1079</v>
      </c>
      <c r="D879" t="s">
        <v>1081</v>
      </c>
    </row>
    <row r="880" spans="1:4" x14ac:dyDescent="0.3">
      <c r="A880" s="2">
        <v>43979</v>
      </c>
      <c r="B880">
        <v>2020</v>
      </c>
      <c r="C880" t="s">
        <v>1079</v>
      </c>
      <c r="D880" t="s">
        <v>1081</v>
      </c>
    </row>
    <row r="881" spans="1:4" x14ac:dyDescent="0.3">
      <c r="A881" s="2">
        <v>43980</v>
      </c>
      <c r="B881">
        <v>2020</v>
      </c>
      <c r="C881" t="s">
        <v>1079</v>
      </c>
      <c r="D881" t="s">
        <v>1081</v>
      </c>
    </row>
    <row r="882" spans="1:4" x14ac:dyDescent="0.3">
      <c r="A882" s="2">
        <v>43981</v>
      </c>
      <c r="B882">
        <v>2020</v>
      </c>
      <c r="C882" t="s">
        <v>1079</v>
      </c>
      <c r="D882" t="s">
        <v>1081</v>
      </c>
    </row>
    <row r="883" spans="1:4" x14ac:dyDescent="0.3">
      <c r="A883" s="2">
        <v>43982</v>
      </c>
      <c r="B883">
        <v>2020</v>
      </c>
      <c r="C883" t="s">
        <v>1079</v>
      </c>
      <c r="D883" t="s">
        <v>1081</v>
      </c>
    </row>
    <row r="884" spans="1:4" x14ac:dyDescent="0.3">
      <c r="A884" s="2">
        <v>43983</v>
      </c>
      <c r="B884">
        <v>2020</v>
      </c>
      <c r="C884" t="s">
        <v>1079</v>
      </c>
      <c r="D884" t="s">
        <v>1082</v>
      </c>
    </row>
    <row r="885" spans="1:4" x14ac:dyDescent="0.3">
      <c r="A885" s="2">
        <v>43984</v>
      </c>
      <c r="B885">
        <v>2020</v>
      </c>
      <c r="C885" t="s">
        <v>1079</v>
      </c>
      <c r="D885" t="s">
        <v>1082</v>
      </c>
    </row>
    <row r="886" spans="1:4" x14ac:dyDescent="0.3">
      <c r="A886" s="2">
        <v>43985</v>
      </c>
      <c r="B886">
        <v>2020</v>
      </c>
      <c r="C886" t="s">
        <v>1079</v>
      </c>
      <c r="D886" t="s">
        <v>1082</v>
      </c>
    </row>
    <row r="887" spans="1:4" x14ac:dyDescent="0.3">
      <c r="A887" s="2">
        <v>43986</v>
      </c>
      <c r="B887">
        <v>2020</v>
      </c>
      <c r="C887" t="s">
        <v>1079</v>
      </c>
      <c r="D887" t="s">
        <v>1082</v>
      </c>
    </row>
    <row r="888" spans="1:4" x14ac:dyDescent="0.3">
      <c r="A888" s="2">
        <v>43987</v>
      </c>
      <c r="B888">
        <v>2020</v>
      </c>
      <c r="C888" t="s">
        <v>1079</v>
      </c>
      <c r="D888" t="s">
        <v>1082</v>
      </c>
    </row>
    <row r="889" spans="1:4" x14ac:dyDescent="0.3">
      <c r="A889" s="2">
        <v>43988</v>
      </c>
      <c r="B889">
        <v>2020</v>
      </c>
      <c r="C889" t="s">
        <v>1079</v>
      </c>
      <c r="D889" t="s">
        <v>1082</v>
      </c>
    </row>
    <row r="890" spans="1:4" x14ac:dyDescent="0.3">
      <c r="A890" s="2">
        <v>43989</v>
      </c>
      <c r="B890">
        <v>2020</v>
      </c>
      <c r="C890" t="s">
        <v>1079</v>
      </c>
      <c r="D890" t="s">
        <v>1082</v>
      </c>
    </row>
    <row r="891" spans="1:4" x14ac:dyDescent="0.3">
      <c r="A891" s="2">
        <v>43990</v>
      </c>
      <c r="B891">
        <v>2020</v>
      </c>
      <c r="C891" t="s">
        <v>1079</v>
      </c>
      <c r="D891" t="s">
        <v>1082</v>
      </c>
    </row>
    <row r="892" spans="1:4" x14ac:dyDescent="0.3">
      <c r="A892" s="2">
        <v>43991</v>
      </c>
      <c r="B892">
        <v>2020</v>
      </c>
      <c r="C892" t="s">
        <v>1079</v>
      </c>
      <c r="D892" t="s">
        <v>1082</v>
      </c>
    </row>
    <row r="893" spans="1:4" x14ac:dyDescent="0.3">
      <c r="A893" s="2">
        <v>43992</v>
      </c>
      <c r="B893">
        <v>2020</v>
      </c>
      <c r="C893" t="s">
        <v>1079</v>
      </c>
      <c r="D893" t="s">
        <v>1082</v>
      </c>
    </row>
    <row r="894" spans="1:4" x14ac:dyDescent="0.3">
      <c r="A894" s="2">
        <v>43993</v>
      </c>
      <c r="B894">
        <v>2020</v>
      </c>
      <c r="C894" t="s">
        <v>1079</v>
      </c>
      <c r="D894" t="s">
        <v>1082</v>
      </c>
    </row>
    <row r="895" spans="1:4" x14ac:dyDescent="0.3">
      <c r="A895" s="2">
        <v>43994</v>
      </c>
      <c r="B895">
        <v>2020</v>
      </c>
      <c r="C895" t="s">
        <v>1079</v>
      </c>
      <c r="D895" t="s">
        <v>1082</v>
      </c>
    </row>
    <row r="896" spans="1:4" x14ac:dyDescent="0.3">
      <c r="A896" s="2">
        <v>43995</v>
      </c>
      <c r="B896">
        <v>2020</v>
      </c>
      <c r="C896" t="s">
        <v>1079</v>
      </c>
      <c r="D896" t="s">
        <v>1082</v>
      </c>
    </row>
    <row r="897" spans="1:4" x14ac:dyDescent="0.3">
      <c r="A897" s="2">
        <v>43996</v>
      </c>
      <c r="B897">
        <v>2020</v>
      </c>
      <c r="C897" t="s">
        <v>1079</v>
      </c>
      <c r="D897" t="s">
        <v>1082</v>
      </c>
    </row>
    <row r="898" spans="1:4" x14ac:dyDescent="0.3">
      <c r="A898" s="2">
        <v>43997</v>
      </c>
      <c r="B898">
        <v>2020</v>
      </c>
      <c r="C898" t="s">
        <v>1079</v>
      </c>
      <c r="D898" t="s">
        <v>1082</v>
      </c>
    </row>
    <row r="899" spans="1:4" x14ac:dyDescent="0.3">
      <c r="A899" s="2">
        <v>43998</v>
      </c>
      <c r="B899">
        <v>2020</v>
      </c>
      <c r="C899" t="s">
        <v>1079</v>
      </c>
      <c r="D899" t="s">
        <v>1082</v>
      </c>
    </row>
    <row r="900" spans="1:4" x14ac:dyDescent="0.3">
      <c r="A900" s="2">
        <v>43999</v>
      </c>
      <c r="B900">
        <v>2020</v>
      </c>
      <c r="C900" t="s">
        <v>1079</v>
      </c>
      <c r="D900" t="s">
        <v>1082</v>
      </c>
    </row>
    <row r="901" spans="1:4" x14ac:dyDescent="0.3">
      <c r="A901" s="2">
        <v>44000</v>
      </c>
      <c r="B901">
        <v>2020</v>
      </c>
      <c r="C901" t="s">
        <v>1079</v>
      </c>
      <c r="D901" t="s">
        <v>1082</v>
      </c>
    </row>
    <row r="902" spans="1:4" x14ac:dyDescent="0.3">
      <c r="A902" s="2">
        <v>44001</v>
      </c>
      <c r="B902">
        <v>2020</v>
      </c>
      <c r="C902" t="s">
        <v>1079</v>
      </c>
      <c r="D902" t="s">
        <v>1082</v>
      </c>
    </row>
    <row r="903" spans="1:4" x14ac:dyDescent="0.3">
      <c r="A903" s="2">
        <v>44002</v>
      </c>
      <c r="B903">
        <v>2020</v>
      </c>
      <c r="C903" t="s">
        <v>1079</v>
      </c>
      <c r="D903" t="s">
        <v>1082</v>
      </c>
    </row>
    <row r="904" spans="1:4" x14ac:dyDescent="0.3">
      <c r="A904" s="2">
        <v>44003</v>
      </c>
      <c r="B904">
        <v>2020</v>
      </c>
      <c r="C904" t="s">
        <v>1079</v>
      </c>
      <c r="D904" t="s">
        <v>1082</v>
      </c>
    </row>
    <row r="905" spans="1:4" x14ac:dyDescent="0.3">
      <c r="A905" s="2">
        <v>44004</v>
      </c>
      <c r="B905">
        <v>2020</v>
      </c>
      <c r="C905" t="s">
        <v>1079</v>
      </c>
      <c r="D905" t="s">
        <v>1082</v>
      </c>
    </row>
    <row r="906" spans="1:4" x14ac:dyDescent="0.3">
      <c r="A906" s="2">
        <v>44005</v>
      </c>
      <c r="B906">
        <v>2020</v>
      </c>
      <c r="C906" t="s">
        <v>1079</v>
      </c>
      <c r="D906" t="s">
        <v>1082</v>
      </c>
    </row>
    <row r="907" spans="1:4" x14ac:dyDescent="0.3">
      <c r="A907" s="2">
        <v>44006</v>
      </c>
      <c r="B907">
        <v>2020</v>
      </c>
      <c r="C907" t="s">
        <v>1079</v>
      </c>
      <c r="D907" t="s">
        <v>1082</v>
      </c>
    </row>
    <row r="908" spans="1:4" x14ac:dyDescent="0.3">
      <c r="A908" s="2">
        <v>44007</v>
      </c>
      <c r="B908">
        <v>2020</v>
      </c>
      <c r="C908" t="s">
        <v>1079</v>
      </c>
      <c r="D908" t="s">
        <v>1082</v>
      </c>
    </row>
    <row r="909" spans="1:4" x14ac:dyDescent="0.3">
      <c r="A909" s="2">
        <v>44008</v>
      </c>
      <c r="B909">
        <v>2020</v>
      </c>
      <c r="C909" t="s">
        <v>1079</v>
      </c>
      <c r="D909" t="s">
        <v>1082</v>
      </c>
    </row>
    <row r="910" spans="1:4" x14ac:dyDescent="0.3">
      <c r="A910" s="2">
        <v>44009</v>
      </c>
      <c r="B910">
        <v>2020</v>
      </c>
      <c r="C910" t="s">
        <v>1079</v>
      </c>
      <c r="D910" t="s">
        <v>1082</v>
      </c>
    </row>
    <row r="911" spans="1:4" x14ac:dyDescent="0.3">
      <c r="A911" s="2">
        <v>44010</v>
      </c>
      <c r="B911">
        <v>2020</v>
      </c>
      <c r="C911" t="s">
        <v>1079</v>
      </c>
      <c r="D911" t="s">
        <v>1082</v>
      </c>
    </row>
    <row r="912" spans="1:4" x14ac:dyDescent="0.3">
      <c r="A912" s="2">
        <v>44011</v>
      </c>
      <c r="B912">
        <v>2020</v>
      </c>
      <c r="C912" t="s">
        <v>1079</v>
      </c>
      <c r="D912" t="s">
        <v>1082</v>
      </c>
    </row>
    <row r="913" spans="1:4" x14ac:dyDescent="0.3">
      <c r="A913" s="2">
        <v>44012</v>
      </c>
      <c r="B913">
        <v>2020</v>
      </c>
      <c r="C913" t="s">
        <v>1079</v>
      </c>
      <c r="D913" t="s">
        <v>1082</v>
      </c>
    </row>
    <row r="914" spans="1:4" x14ac:dyDescent="0.3">
      <c r="A914" s="2">
        <v>44013</v>
      </c>
      <c r="B914">
        <v>2020</v>
      </c>
      <c r="C914" t="s">
        <v>1083</v>
      </c>
      <c r="D914" t="s">
        <v>1084</v>
      </c>
    </row>
    <row r="915" spans="1:4" x14ac:dyDescent="0.3">
      <c r="A915" s="2">
        <v>44014</v>
      </c>
      <c r="B915">
        <v>2020</v>
      </c>
      <c r="C915" t="s">
        <v>1083</v>
      </c>
      <c r="D915" t="s">
        <v>1084</v>
      </c>
    </row>
    <row r="916" spans="1:4" x14ac:dyDescent="0.3">
      <c r="A916" s="2">
        <v>44015</v>
      </c>
      <c r="B916">
        <v>2020</v>
      </c>
      <c r="C916" t="s">
        <v>1083</v>
      </c>
      <c r="D916" t="s">
        <v>1084</v>
      </c>
    </row>
    <row r="917" spans="1:4" x14ac:dyDescent="0.3">
      <c r="A917" s="2">
        <v>44016</v>
      </c>
      <c r="B917">
        <v>2020</v>
      </c>
      <c r="C917" t="s">
        <v>1083</v>
      </c>
      <c r="D917" t="s">
        <v>1084</v>
      </c>
    </row>
    <row r="918" spans="1:4" x14ac:dyDescent="0.3">
      <c r="A918" s="2">
        <v>44017</v>
      </c>
      <c r="B918">
        <v>2020</v>
      </c>
      <c r="C918" t="s">
        <v>1083</v>
      </c>
      <c r="D918" t="s">
        <v>1084</v>
      </c>
    </row>
    <row r="919" spans="1:4" x14ac:dyDescent="0.3">
      <c r="A919" s="2">
        <v>44018</v>
      </c>
      <c r="B919">
        <v>2020</v>
      </c>
      <c r="C919" t="s">
        <v>1083</v>
      </c>
      <c r="D919" t="s">
        <v>1084</v>
      </c>
    </row>
    <row r="920" spans="1:4" x14ac:dyDescent="0.3">
      <c r="A920" s="2">
        <v>44019</v>
      </c>
      <c r="B920">
        <v>2020</v>
      </c>
      <c r="C920" t="s">
        <v>1083</v>
      </c>
      <c r="D920" t="s">
        <v>1084</v>
      </c>
    </row>
    <row r="921" spans="1:4" x14ac:dyDescent="0.3">
      <c r="A921" s="2">
        <v>44020</v>
      </c>
      <c r="B921">
        <v>2020</v>
      </c>
      <c r="C921" t="s">
        <v>1083</v>
      </c>
      <c r="D921" t="s">
        <v>1084</v>
      </c>
    </row>
    <row r="922" spans="1:4" x14ac:dyDescent="0.3">
      <c r="A922" s="2">
        <v>44021</v>
      </c>
      <c r="B922">
        <v>2020</v>
      </c>
      <c r="C922" t="s">
        <v>1083</v>
      </c>
      <c r="D922" t="s">
        <v>1084</v>
      </c>
    </row>
    <row r="923" spans="1:4" x14ac:dyDescent="0.3">
      <c r="A923" s="2">
        <v>44022</v>
      </c>
      <c r="B923">
        <v>2020</v>
      </c>
      <c r="C923" t="s">
        <v>1083</v>
      </c>
      <c r="D923" t="s">
        <v>1084</v>
      </c>
    </row>
    <row r="924" spans="1:4" x14ac:dyDescent="0.3">
      <c r="A924" s="2">
        <v>44023</v>
      </c>
      <c r="B924">
        <v>2020</v>
      </c>
      <c r="C924" t="s">
        <v>1083</v>
      </c>
      <c r="D924" t="s">
        <v>1084</v>
      </c>
    </row>
    <row r="925" spans="1:4" x14ac:dyDescent="0.3">
      <c r="A925" s="2">
        <v>44024</v>
      </c>
      <c r="B925">
        <v>2020</v>
      </c>
      <c r="C925" t="s">
        <v>1083</v>
      </c>
      <c r="D925" t="s">
        <v>1084</v>
      </c>
    </row>
    <row r="926" spans="1:4" x14ac:dyDescent="0.3">
      <c r="A926" s="2">
        <v>44025</v>
      </c>
      <c r="B926">
        <v>2020</v>
      </c>
      <c r="C926" t="s">
        <v>1083</v>
      </c>
      <c r="D926" t="s">
        <v>1084</v>
      </c>
    </row>
    <row r="927" spans="1:4" x14ac:dyDescent="0.3">
      <c r="A927" s="2">
        <v>44026</v>
      </c>
      <c r="B927">
        <v>2020</v>
      </c>
      <c r="C927" t="s">
        <v>1083</v>
      </c>
      <c r="D927" t="s">
        <v>1084</v>
      </c>
    </row>
    <row r="928" spans="1:4" x14ac:dyDescent="0.3">
      <c r="A928" s="2">
        <v>44027</v>
      </c>
      <c r="B928">
        <v>2020</v>
      </c>
      <c r="C928" t="s">
        <v>1083</v>
      </c>
      <c r="D928" t="s">
        <v>1084</v>
      </c>
    </row>
    <row r="929" spans="1:4" x14ac:dyDescent="0.3">
      <c r="A929" s="2">
        <v>44028</v>
      </c>
      <c r="B929">
        <v>2020</v>
      </c>
      <c r="C929" t="s">
        <v>1083</v>
      </c>
      <c r="D929" t="s">
        <v>1084</v>
      </c>
    </row>
    <row r="930" spans="1:4" x14ac:dyDescent="0.3">
      <c r="A930" s="2">
        <v>44029</v>
      </c>
      <c r="B930">
        <v>2020</v>
      </c>
      <c r="C930" t="s">
        <v>1083</v>
      </c>
      <c r="D930" t="s">
        <v>1084</v>
      </c>
    </row>
    <row r="931" spans="1:4" x14ac:dyDescent="0.3">
      <c r="A931" s="2">
        <v>44030</v>
      </c>
      <c r="B931">
        <v>2020</v>
      </c>
      <c r="C931" t="s">
        <v>1083</v>
      </c>
      <c r="D931" t="s">
        <v>1084</v>
      </c>
    </row>
    <row r="932" spans="1:4" x14ac:dyDescent="0.3">
      <c r="A932" s="2">
        <v>44031</v>
      </c>
      <c r="B932">
        <v>2020</v>
      </c>
      <c r="C932" t="s">
        <v>1083</v>
      </c>
      <c r="D932" t="s">
        <v>1084</v>
      </c>
    </row>
    <row r="933" spans="1:4" x14ac:dyDescent="0.3">
      <c r="A933" s="2">
        <v>44032</v>
      </c>
      <c r="B933">
        <v>2020</v>
      </c>
      <c r="C933" t="s">
        <v>1083</v>
      </c>
      <c r="D933" t="s">
        <v>1084</v>
      </c>
    </row>
    <row r="934" spans="1:4" x14ac:dyDescent="0.3">
      <c r="A934" s="2">
        <v>44033</v>
      </c>
      <c r="B934">
        <v>2020</v>
      </c>
      <c r="C934" t="s">
        <v>1083</v>
      </c>
      <c r="D934" t="s">
        <v>1084</v>
      </c>
    </row>
    <row r="935" spans="1:4" x14ac:dyDescent="0.3">
      <c r="A935" s="2">
        <v>44034</v>
      </c>
      <c r="B935">
        <v>2020</v>
      </c>
      <c r="C935" t="s">
        <v>1083</v>
      </c>
      <c r="D935" t="s">
        <v>1084</v>
      </c>
    </row>
    <row r="936" spans="1:4" x14ac:dyDescent="0.3">
      <c r="A936" s="2">
        <v>44035</v>
      </c>
      <c r="B936">
        <v>2020</v>
      </c>
      <c r="C936" t="s">
        <v>1083</v>
      </c>
      <c r="D936" t="s">
        <v>1084</v>
      </c>
    </row>
    <row r="937" spans="1:4" x14ac:dyDescent="0.3">
      <c r="A937" s="2">
        <v>44036</v>
      </c>
      <c r="B937">
        <v>2020</v>
      </c>
      <c r="C937" t="s">
        <v>1083</v>
      </c>
      <c r="D937" t="s">
        <v>1084</v>
      </c>
    </row>
    <row r="938" spans="1:4" x14ac:dyDescent="0.3">
      <c r="A938" s="2">
        <v>44037</v>
      </c>
      <c r="B938">
        <v>2020</v>
      </c>
      <c r="C938" t="s">
        <v>1083</v>
      </c>
      <c r="D938" t="s">
        <v>1084</v>
      </c>
    </row>
    <row r="939" spans="1:4" x14ac:dyDescent="0.3">
      <c r="A939" s="2">
        <v>44038</v>
      </c>
      <c r="B939">
        <v>2020</v>
      </c>
      <c r="C939" t="s">
        <v>1083</v>
      </c>
      <c r="D939" t="s">
        <v>1084</v>
      </c>
    </row>
    <row r="940" spans="1:4" x14ac:dyDescent="0.3">
      <c r="A940" s="2">
        <v>44039</v>
      </c>
      <c r="B940">
        <v>2020</v>
      </c>
      <c r="C940" t="s">
        <v>1083</v>
      </c>
      <c r="D940" t="s">
        <v>1084</v>
      </c>
    </row>
    <row r="941" spans="1:4" x14ac:dyDescent="0.3">
      <c r="A941" s="2">
        <v>44040</v>
      </c>
      <c r="B941">
        <v>2020</v>
      </c>
      <c r="C941" t="s">
        <v>1083</v>
      </c>
      <c r="D941" t="s">
        <v>1084</v>
      </c>
    </row>
    <row r="942" spans="1:4" x14ac:dyDescent="0.3">
      <c r="A942" s="2">
        <v>44041</v>
      </c>
      <c r="B942">
        <v>2020</v>
      </c>
      <c r="C942" t="s">
        <v>1083</v>
      </c>
      <c r="D942" t="s">
        <v>1084</v>
      </c>
    </row>
    <row r="943" spans="1:4" x14ac:dyDescent="0.3">
      <c r="A943" s="2">
        <v>44042</v>
      </c>
      <c r="B943">
        <v>2020</v>
      </c>
      <c r="C943" t="s">
        <v>1083</v>
      </c>
      <c r="D943" t="s">
        <v>1084</v>
      </c>
    </row>
    <row r="944" spans="1:4" x14ac:dyDescent="0.3">
      <c r="A944" s="2">
        <v>44043</v>
      </c>
      <c r="B944">
        <v>2020</v>
      </c>
      <c r="C944" t="s">
        <v>1083</v>
      </c>
      <c r="D944" t="s">
        <v>1084</v>
      </c>
    </row>
    <row r="945" spans="1:4" x14ac:dyDescent="0.3">
      <c r="A945" s="2">
        <v>44044</v>
      </c>
      <c r="B945">
        <v>2020</v>
      </c>
      <c r="C945" t="s">
        <v>1083</v>
      </c>
      <c r="D945" t="s">
        <v>1085</v>
      </c>
    </row>
    <row r="946" spans="1:4" x14ac:dyDescent="0.3">
      <c r="A946" s="2">
        <v>44045</v>
      </c>
      <c r="B946">
        <v>2020</v>
      </c>
      <c r="C946" t="s">
        <v>1083</v>
      </c>
      <c r="D946" t="s">
        <v>1085</v>
      </c>
    </row>
    <row r="947" spans="1:4" x14ac:dyDescent="0.3">
      <c r="A947" s="2">
        <v>44046</v>
      </c>
      <c r="B947">
        <v>2020</v>
      </c>
      <c r="C947" t="s">
        <v>1083</v>
      </c>
      <c r="D947" t="s">
        <v>1085</v>
      </c>
    </row>
    <row r="948" spans="1:4" x14ac:dyDescent="0.3">
      <c r="A948" s="2">
        <v>44047</v>
      </c>
      <c r="B948">
        <v>2020</v>
      </c>
      <c r="C948" t="s">
        <v>1083</v>
      </c>
      <c r="D948" t="s">
        <v>1085</v>
      </c>
    </row>
    <row r="949" spans="1:4" x14ac:dyDescent="0.3">
      <c r="A949" s="2">
        <v>44048</v>
      </c>
      <c r="B949">
        <v>2020</v>
      </c>
      <c r="C949" t="s">
        <v>1083</v>
      </c>
      <c r="D949" t="s">
        <v>1085</v>
      </c>
    </row>
    <row r="950" spans="1:4" x14ac:dyDescent="0.3">
      <c r="A950" s="2">
        <v>44049</v>
      </c>
      <c r="B950">
        <v>2020</v>
      </c>
      <c r="C950" t="s">
        <v>1083</v>
      </c>
      <c r="D950" t="s">
        <v>1085</v>
      </c>
    </row>
    <row r="951" spans="1:4" x14ac:dyDescent="0.3">
      <c r="A951" s="2">
        <v>44050</v>
      </c>
      <c r="B951">
        <v>2020</v>
      </c>
      <c r="C951" t="s">
        <v>1083</v>
      </c>
      <c r="D951" t="s">
        <v>1085</v>
      </c>
    </row>
    <row r="952" spans="1:4" x14ac:dyDescent="0.3">
      <c r="A952" s="2">
        <v>44051</v>
      </c>
      <c r="B952">
        <v>2020</v>
      </c>
      <c r="C952" t="s">
        <v>1083</v>
      </c>
      <c r="D952" t="s">
        <v>1085</v>
      </c>
    </row>
    <row r="953" spans="1:4" x14ac:dyDescent="0.3">
      <c r="A953" s="2">
        <v>44052</v>
      </c>
      <c r="B953">
        <v>2020</v>
      </c>
      <c r="C953" t="s">
        <v>1083</v>
      </c>
      <c r="D953" t="s">
        <v>1085</v>
      </c>
    </row>
    <row r="954" spans="1:4" x14ac:dyDescent="0.3">
      <c r="A954" s="2">
        <v>44053</v>
      </c>
      <c r="B954">
        <v>2020</v>
      </c>
      <c r="C954" t="s">
        <v>1083</v>
      </c>
      <c r="D954" t="s">
        <v>1085</v>
      </c>
    </row>
    <row r="955" spans="1:4" x14ac:dyDescent="0.3">
      <c r="A955" s="2">
        <v>44054</v>
      </c>
      <c r="B955">
        <v>2020</v>
      </c>
      <c r="C955" t="s">
        <v>1083</v>
      </c>
      <c r="D955" t="s">
        <v>1085</v>
      </c>
    </row>
    <row r="956" spans="1:4" x14ac:dyDescent="0.3">
      <c r="A956" s="2">
        <v>44055</v>
      </c>
      <c r="B956">
        <v>2020</v>
      </c>
      <c r="C956" t="s">
        <v>1083</v>
      </c>
      <c r="D956" t="s">
        <v>1085</v>
      </c>
    </row>
    <row r="957" spans="1:4" x14ac:dyDescent="0.3">
      <c r="A957" s="2">
        <v>44056</v>
      </c>
      <c r="B957">
        <v>2020</v>
      </c>
      <c r="C957" t="s">
        <v>1083</v>
      </c>
      <c r="D957" t="s">
        <v>1085</v>
      </c>
    </row>
    <row r="958" spans="1:4" x14ac:dyDescent="0.3">
      <c r="A958" s="2">
        <v>44057</v>
      </c>
      <c r="B958">
        <v>2020</v>
      </c>
      <c r="C958" t="s">
        <v>1083</v>
      </c>
      <c r="D958" t="s">
        <v>1085</v>
      </c>
    </row>
    <row r="959" spans="1:4" x14ac:dyDescent="0.3">
      <c r="A959" s="2">
        <v>44058</v>
      </c>
      <c r="B959">
        <v>2020</v>
      </c>
      <c r="C959" t="s">
        <v>1083</v>
      </c>
      <c r="D959" t="s">
        <v>1085</v>
      </c>
    </row>
    <row r="960" spans="1:4" x14ac:dyDescent="0.3">
      <c r="A960" s="2">
        <v>44059</v>
      </c>
      <c r="B960">
        <v>2020</v>
      </c>
      <c r="C960" t="s">
        <v>1083</v>
      </c>
      <c r="D960" t="s">
        <v>1085</v>
      </c>
    </row>
    <row r="961" spans="1:4" x14ac:dyDescent="0.3">
      <c r="A961" s="2">
        <v>44060</v>
      </c>
      <c r="B961">
        <v>2020</v>
      </c>
      <c r="C961" t="s">
        <v>1083</v>
      </c>
      <c r="D961" t="s">
        <v>1085</v>
      </c>
    </row>
    <row r="962" spans="1:4" x14ac:dyDescent="0.3">
      <c r="A962" s="2">
        <v>44061</v>
      </c>
      <c r="B962">
        <v>2020</v>
      </c>
      <c r="C962" t="s">
        <v>1083</v>
      </c>
      <c r="D962" t="s">
        <v>1085</v>
      </c>
    </row>
    <row r="963" spans="1:4" x14ac:dyDescent="0.3">
      <c r="A963" s="2">
        <v>44062</v>
      </c>
      <c r="B963">
        <v>2020</v>
      </c>
      <c r="C963" t="s">
        <v>1083</v>
      </c>
      <c r="D963" t="s">
        <v>1085</v>
      </c>
    </row>
    <row r="964" spans="1:4" x14ac:dyDescent="0.3">
      <c r="A964" s="2">
        <v>44063</v>
      </c>
      <c r="B964">
        <v>2020</v>
      </c>
      <c r="C964" t="s">
        <v>1083</v>
      </c>
      <c r="D964" t="s">
        <v>1085</v>
      </c>
    </row>
    <row r="965" spans="1:4" x14ac:dyDescent="0.3">
      <c r="A965" s="2">
        <v>44064</v>
      </c>
      <c r="B965">
        <v>2020</v>
      </c>
      <c r="C965" t="s">
        <v>1083</v>
      </c>
      <c r="D965" t="s">
        <v>1085</v>
      </c>
    </row>
    <row r="966" spans="1:4" x14ac:dyDescent="0.3">
      <c r="A966" s="2">
        <v>44065</v>
      </c>
      <c r="B966">
        <v>2020</v>
      </c>
      <c r="C966" t="s">
        <v>1083</v>
      </c>
      <c r="D966" t="s">
        <v>1085</v>
      </c>
    </row>
    <row r="967" spans="1:4" x14ac:dyDescent="0.3">
      <c r="A967" s="2">
        <v>44066</v>
      </c>
      <c r="B967">
        <v>2020</v>
      </c>
      <c r="C967" t="s">
        <v>1083</v>
      </c>
      <c r="D967" t="s">
        <v>1085</v>
      </c>
    </row>
    <row r="968" spans="1:4" x14ac:dyDescent="0.3">
      <c r="A968" s="2">
        <v>44067</v>
      </c>
      <c r="B968">
        <v>2020</v>
      </c>
      <c r="C968" t="s">
        <v>1083</v>
      </c>
      <c r="D968" t="s">
        <v>1085</v>
      </c>
    </row>
    <row r="969" spans="1:4" x14ac:dyDescent="0.3">
      <c r="A969" s="2">
        <v>44068</v>
      </c>
      <c r="B969">
        <v>2020</v>
      </c>
      <c r="C969" t="s">
        <v>1083</v>
      </c>
      <c r="D969" t="s">
        <v>1085</v>
      </c>
    </row>
    <row r="970" spans="1:4" x14ac:dyDescent="0.3">
      <c r="A970" s="2">
        <v>44069</v>
      </c>
      <c r="B970">
        <v>2020</v>
      </c>
      <c r="C970" t="s">
        <v>1083</v>
      </c>
      <c r="D970" t="s">
        <v>1085</v>
      </c>
    </row>
    <row r="971" spans="1:4" x14ac:dyDescent="0.3">
      <c r="A971" s="2">
        <v>44070</v>
      </c>
      <c r="B971">
        <v>2020</v>
      </c>
      <c r="C971" t="s">
        <v>1083</v>
      </c>
      <c r="D971" t="s">
        <v>1085</v>
      </c>
    </row>
    <row r="972" spans="1:4" x14ac:dyDescent="0.3">
      <c r="A972" s="2">
        <v>44071</v>
      </c>
      <c r="B972">
        <v>2020</v>
      </c>
      <c r="C972" t="s">
        <v>1083</v>
      </c>
      <c r="D972" t="s">
        <v>1085</v>
      </c>
    </row>
    <row r="973" spans="1:4" x14ac:dyDescent="0.3">
      <c r="A973" s="2">
        <v>44072</v>
      </c>
      <c r="B973">
        <v>2020</v>
      </c>
      <c r="C973" t="s">
        <v>1083</v>
      </c>
      <c r="D973" t="s">
        <v>1085</v>
      </c>
    </row>
    <row r="974" spans="1:4" x14ac:dyDescent="0.3">
      <c r="A974" s="2">
        <v>44073</v>
      </c>
      <c r="B974">
        <v>2020</v>
      </c>
      <c r="C974" t="s">
        <v>1083</v>
      </c>
      <c r="D974" t="s">
        <v>1085</v>
      </c>
    </row>
    <row r="975" spans="1:4" x14ac:dyDescent="0.3">
      <c r="A975" s="2">
        <v>44074</v>
      </c>
      <c r="B975">
        <v>2020</v>
      </c>
      <c r="C975" t="s">
        <v>1083</v>
      </c>
      <c r="D975" t="s">
        <v>1085</v>
      </c>
    </row>
    <row r="976" spans="1:4" x14ac:dyDescent="0.3">
      <c r="A976" s="2">
        <v>44075</v>
      </c>
      <c r="B976">
        <v>2020</v>
      </c>
      <c r="C976" t="s">
        <v>1083</v>
      </c>
      <c r="D976" t="s">
        <v>1086</v>
      </c>
    </row>
    <row r="977" spans="1:4" x14ac:dyDescent="0.3">
      <c r="A977" s="2">
        <v>44076</v>
      </c>
      <c r="B977">
        <v>2020</v>
      </c>
      <c r="C977" t="s">
        <v>1083</v>
      </c>
      <c r="D977" t="s">
        <v>1086</v>
      </c>
    </row>
    <row r="978" spans="1:4" x14ac:dyDescent="0.3">
      <c r="A978" s="2">
        <v>44077</v>
      </c>
      <c r="B978">
        <v>2020</v>
      </c>
      <c r="C978" t="s">
        <v>1083</v>
      </c>
      <c r="D978" t="s">
        <v>1086</v>
      </c>
    </row>
    <row r="979" spans="1:4" x14ac:dyDescent="0.3">
      <c r="A979" s="2">
        <v>44078</v>
      </c>
      <c r="B979">
        <v>2020</v>
      </c>
      <c r="C979" t="s">
        <v>1083</v>
      </c>
      <c r="D979" t="s">
        <v>1086</v>
      </c>
    </row>
    <row r="980" spans="1:4" x14ac:dyDescent="0.3">
      <c r="A980" s="2">
        <v>44079</v>
      </c>
      <c r="B980">
        <v>2020</v>
      </c>
      <c r="C980" t="s">
        <v>1083</v>
      </c>
      <c r="D980" t="s">
        <v>1086</v>
      </c>
    </row>
    <row r="981" spans="1:4" x14ac:dyDescent="0.3">
      <c r="A981" s="2">
        <v>44080</v>
      </c>
      <c r="B981">
        <v>2020</v>
      </c>
      <c r="C981" t="s">
        <v>1083</v>
      </c>
      <c r="D981" t="s">
        <v>1086</v>
      </c>
    </row>
    <row r="982" spans="1:4" x14ac:dyDescent="0.3">
      <c r="A982" s="2">
        <v>44081</v>
      </c>
      <c r="B982">
        <v>2020</v>
      </c>
      <c r="C982" t="s">
        <v>1083</v>
      </c>
      <c r="D982" t="s">
        <v>1086</v>
      </c>
    </row>
    <row r="983" spans="1:4" x14ac:dyDescent="0.3">
      <c r="A983" s="2">
        <v>44082</v>
      </c>
      <c r="B983">
        <v>2020</v>
      </c>
      <c r="C983" t="s">
        <v>1083</v>
      </c>
      <c r="D983" t="s">
        <v>1086</v>
      </c>
    </row>
    <row r="984" spans="1:4" x14ac:dyDescent="0.3">
      <c r="A984" s="2">
        <v>44083</v>
      </c>
      <c r="B984">
        <v>2020</v>
      </c>
      <c r="C984" t="s">
        <v>1083</v>
      </c>
      <c r="D984" t="s">
        <v>1086</v>
      </c>
    </row>
    <row r="985" spans="1:4" x14ac:dyDescent="0.3">
      <c r="A985" s="2">
        <v>44084</v>
      </c>
      <c r="B985">
        <v>2020</v>
      </c>
      <c r="C985" t="s">
        <v>1083</v>
      </c>
      <c r="D985" t="s">
        <v>1086</v>
      </c>
    </row>
    <row r="986" spans="1:4" x14ac:dyDescent="0.3">
      <c r="A986" s="2">
        <v>44085</v>
      </c>
      <c r="B986">
        <v>2020</v>
      </c>
      <c r="C986" t="s">
        <v>1083</v>
      </c>
      <c r="D986" t="s">
        <v>1086</v>
      </c>
    </row>
    <row r="987" spans="1:4" x14ac:dyDescent="0.3">
      <c r="A987" s="2">
        <v>44086</v>
      </c>
      <c r="B987">
        <v>2020</v>
      </c>
      <c r="C987" t="s">
        <v>1083</v>
      </c>
      <c r="D987" t="s">
        <v>1086</v>
      </c>
    </row>
    <row r="988" spans="1:4" x14ac:dyDescent="0.3">
      <c r="A988" s="2">
        <v>44087</v>
      </c>
      <c r="B988">
        <v>2020</v>
      </c>
      <c r="C988" t="s">
        <v>1083</v>
      </c>
      <c r="D988" t="s">
        <v>1086</v>
      </c>
    </row>
    <row r="989" spans="1:4" x14ac:dyDescent="0.3">
      <c r="A989" s="2">
        <v>44088</v>
      </c>
      <c r="B989">
        <v>2020</v>
      </c>
      <c r="C989" t="s">
        <v>1083</v>
      </c>
      <c r="D989" t="s">
        <v>1086</v>
      </c>
    </row>
    <row r="990" spans="1:4" x14ac:dyDescent="0.3">
      <c r="A990" s="2">
        <v>44089</v>
      </c>
      <c r="B990">
        <v>2020</v>
      </c>
      <c r="C990" t="s">
        <v>1083</v>
      </c>
      <c r="D990" t="s">
        <v>1086</v>
      </c>
    </row>
    <row r="991" spans="1:4" x14ac:dyDescent="0.3">
      <c r="A991" s="2">
        <v>44090</v>
      </c>
      <c r="B991">
        <v>2020</v>
      </c>
      <c r="C991" t="s">
        <v>1083</v>
      </c>
      <c r="D991" t="s">
        <v>1086</v>
      </c>
    </row>
    <row r="992" spans="1:4" x14ac:dyDescent="0.3">
      <c r="A992" s="2">
        <v>44091</v>
      </c>
      <c r="B992">
        <v>2020</v>
      </c>
      <c r="C992" t="s">
        <v>1083</v>
      </c>
      <c r="D992" t="s">
        <v>1086</v>
      </c>
    </row>
    <row r="993" spans="1:4" x14ac:dyDescent="0.3">
      <c r="A993" s="2">
        <v>44092</v>
      </c>
      <c r="B993">
        <v>2020</v>
      </c>
      <c r="C993" t="s">
        <v>1083</v>
      </c>
      <c r="D993" t="s">
        <v>1086</v>
      </c>
    </row>
    <row r="994" spans="1:4" x14ac:dyDescent="0.3">
      <c r="A994" s="2">
        <v>44093</v>
      </c>
      <c r="B994">
        <v>2020</v>
      </c>
      <c r="C994" t="s">
        <v>1083</v>
      </c>
      <c r="D994" t="s">
        <v>1086</v>
      </c>
    </row>
    <row r="995" spans="1:4" x14ac:dyDescent="0.3">
      <c r="A995" s="2">
        <v>44094</v>
      </c>
      <c r="B995">
        <v>2020</v>
      </c>
      <c r="C995" t="s">
        <v>1083</v>
      </c>
      <c r="D995" t="s">
        <v>1086</v>
      </c>
    </row>
    <row r="996" spans="1:4" x14ac:dyDescent="0.3">
      <c r="A996" s="2">
        <v>44095</v>
      </c>
      <c r="B996">
        <v>2020</v>
      </c>
      <c r="C996" t="s">
        <v>1083</v>
      </c>
      <c r="D996" t="s">
        <v>1086</v>
      </c>
    </row>
    <row r="997" spans="1:4" x14ac:dyDescent="0.3">
      <c r="A997" s="2">
        <v>44096</v>
      </c>
      <c r="B997">
        <v>2020</v>
      </c>
      <c r="C997" t="s">
        <v>1083</v>
      </c>
      <c r="D997" t="s">
        <v>1086</v>
      </c>
    </row>
    <row r="998" spans="1:4" x14ac:dyDescent="0.3">
      <c r="A998" s="2">
        <v>44097</v>
      </c>
      <c r="B998">
        <v>2020</v>
      </c>
      <c r="C998" t="s">
        <v>1083</v>
      </c>
      <c r="D998" t="s">
        <v>1086</v>
      </c>
    </row>
    <row r="999" spans="1:4" x14ac:dyDescent="0.3">
      <c r="A999" s="2">
        <v>44098</v>
      </c>
      <c r="B999">
        <v>2020</v>
      </c>
      <c r="C999" t="s">
        <v>1083</v>
      </c>
      <c r="D999" t="s">
        <v>1086</v>
      </c>
    </row>
    <row r="1000" spans="1:4" x14ac:dyDescent="0.3">
      <c r="A1000" s="2">
        <v>44099</v>
      </c>
      <c r="B1000">
        <v>2020</v>
      </c>
      <c r="C1000" t="s">
        <v>1083</v>
      </c>
      <c r="D1000" t="s">
        <v>1086</v>
      </c>
    </row>
    <row r="1001" spans="1:4" x14ac:dyDescent="0.3">
      <c r="A1001" s="2">
        <v>44100</v>
      </c>
      <c r="B1001">
        <v>2020</v>
      </c>
      <c r="C1001" t="s">
        <v>1083</v>
      </c>
      <c r="D1001" t="s">
        <v>1086</v>
      </c>
    </row>
    <row r="1002" spans="1:4" x14ac:dyDescent="0.3">
      <c r="A1002" s="2">
        <v>44101</v>
      </c>
      <c r="B1002">
        <v>2020</v>
      </c>
      <c r="C1002" t="s">
        <v>1083</v>
      </c>
      <c r="D1002" t="s">
        <v>1086</v>
      </c>
    </row>
    <row r="1003" spans="1:4" x14ac:dyDescent="0.3">
      <c r="A1003" s="2">
        <v>44102</v>
      </c>
      <c r="B1003">
        <v>2020</v>
      </c>
      <c r="C1003" t="s">
        <v>1083</v>
      </c>
      <c r="D1003" t="s">
        <v>1086</v>
      </c>
    </row>
    <row r="1004" spans="1:4" x14ac:dyDescent="0.3">
      <c r="A1004" s="2">
        <v>44103</v>
      </c>
      <c r="B1004">
        <v>2020</v>
      </c>
      <c r="C1004" t="s">
        <v>1083</v>
      </c>
      <c r="D1004" t="s">
        <v>1086</v>
      </c>
    </row>
    <row r="1005" spans="1:4" x14ac:dyDescent="0.3">
      <c r="A1005" s="2">
        <v>44104</v>
      </c>
      <c r="B1005">
        <v>2020</v>
      </c>
      <c r="C1005" t="s">
        <v>1083</v>
      </c>
      <c r="D1005" t="s">
        <v>1086</v>
      </c>
    </row>
    <row r="1006" spans="1:4" x14ac:dyDescent="0.3">
      <c r="A1006" s="2">
        <v>44105</v>
      </c>
      <c r="B1006">
        <v>2020</v>
      </c>
      <c r="C1006" t="s">
        <v>1087</v>
      </c>
      <c r="D1006" t="s">
        <v>1088</v>
      </c>
    </row>
    <row r="1007" spans="1:4" x14ac:dyDescent="0.3">
      <c r="A1007" s="2">
        <v>44106</v>
      </c>
      <c r="B1007">
        <v>2020</v>
      </c>
      <c r="C1007" t="s">
        <v>1087</v>
      </c>
      <c r="D1007" t="s">
        <v>1088</v>
      </c>
    </row>
    <row r="1008" spans="1:4" x14ac:dyDescent="0.3">
      <c r="A1008" s="2">
        <v>44107</v>
      </c>
      <c r="B1008">
        <v>2020</v>
      </c>
      <c r="C1008" t="s">
        <v>1087</v>
      </c>
      <c r="D1008" t="s">
        <v>1088</v>
      </c>
    </row>
    <row r="1009" spans="1:4" x14ac:dyDescent="0.3">
      <c r="A1009" s="2">
        <v>44108</v>
      </c>
      <c r="B1009">
        <v>2020</v>
      </c>
      <c r="C1009" t="s">
        <v>1087</v>
      </c>
      <c r="D1009" t="s">
        <v>1088</v>
      </c>
    </row>
    <row r="1010" spans="1:4" x14ac:dyDescent="0.3">
      <c r="A1010" s="2">
        <v>44109</v>
      </c>
      <c r="B1010">
        <v>2020</v>
      </c>
      <c r="C1010" t="s">
        <v>1087</v>
      </c>
      <c r="D1010" t="s">
        <v>1088</v>
      </c>
    </row>
    <row r="1011" spans="1:4" x14ac:dyDescent="0.3">
      <c r="A1011" s="2">
        <v>44110</v>
      </c>
      <c r="B1011">
        <v>2020</v>
      </c>
      <c r="C1011" t="s">
        <v>1087</v>
      </c>
      <c r="D1011" t="s">
        <v>1088</v>
      </c>
    </row>
    <row r="1012" spans="1:4" x14ac:dyDescent="0.3">
      <c r="A1012" s="2">
        <v>44111</v>
      </c>
      <c r="B1012">
        <v>2020</v>
      </c>
      <c r="C1012" t="s">
        <v>1087</v>
      </c>
      <c r="D1012" t="s">
        <v>1088</v>
      </c>
    </row>
    <row r="1013" spans="1:4" x14ac:dyDescent="0.3">
      <c r="A1013" s="2">
        <v>44112</v>
      </c>
      <c r="B1013">
        <v>2020</v>
      </c>
      <c r="C1013" t="s">
        <v>1087</v>
      </c>
      <c r="D1013" t="s">
        <v>1088</v>
      </c>
    </row>
    <row r="1014" spans="1:4" x14ac:dyDescent="0.3">
      <c r="A1014" s="2">
        <v>44113</v>
      </c>
      <c r="B1014">
        <v>2020</v>
      </c>
      <c r="C1014" t="s">
        <v>1087</v>
      </c>
      <c r="D1014" t="s">
        <v>1088</v>
      </c>
    </row>
    <row r="1015" spans="1:4" x14ac:dyDescent="0.3">
      <c r="A1015" s="2">
        <v>44114</v>
      </c>
      <c r="B1015">
        <v>2020</v>
      </c>
      <c r="C1015" t="s">
        <v>1087</v>
      </c>
      <c r="D1015" t="s">
        <v>1088</v>
      </c>
    </row>
    <row r="1016" spans="1:4" x14ac:dyDescent="0.3">
      <c r="A1016" s="2">
        <v>44115</v>
      </c>
      <c r="B1016">
        <v>2020</v>
      </c>
      <c r="C1016" t="s">
        <v>1087</v>
      </c>
      <c r="D1016" t="s">
        <v>1088</v>
      </c>
    </row>
    <row r="1017" spans="1:4" x14ac:dyDescent="0.3">
      <c r="A1017" s="2">
        <v>44116</v>
      </c>
      <c r="B1017">
        <v>2020</v>
      </c>
      <c r="C1017" t="s">
        <v>1087</v>
      </c>
      <c r="D1017" t="s">
        <v>1088</v>
      </c>
    </row>
    <row r="1018" spans="1:4" x14ac:dyDescent="0.3">
      <c r="A1018" s="2">
        <v>44117</v>
      </c>
      <c r="B1018">
        <v>2020</v>
      </c>
      <c r="C1018" t="s">
        <v>1087</v>
      </c>
      <c r="D1018" t="s">
        <v>1088</v>
      </c>
    </row>
    <row r="1019" spans="1:4" x14ac:dyDescent="0.3">
      <c r="A1019" s="2">
        <v>44118</v>
      </c>
      <c r="B1019">
        <v>2020</v>
      </c>
      <c r="C1019" t="s">
        <v>1087</v>
      </c>
      <c r="D1019" t="s">
        <v>1088</v>
      </c>
    </row>
    <row r="1020" spans="1:4" x14ac:dyDescent="0.3">
      <c r="A1020" s="2">
        <v>44119</v>
      </c>
      <c r="B1020">
        <v>2020</v>
      </c>
      <c r="C1020" t="s">
        <v>1087</v>
      </c>
      <c r="D1020" t="s">
        <v>1088</v>
      </c>
    </row>
    <row r="1021" spans="1:4" x14ac:dyDescent="0.3">
      <c r="A1021" s="2">
        <v>44120</v>
      </c>
      <c r="B1021">
        <v>2020</v>
      </c>
      <c r="C1021" t="s">
        <v>1087</v>
      </c>
      <c r="D1021" t="s">
        <v>1088</v>
      </c>
    </row>
    <row r="1022" spans="1:4" x14ac:dyDescent="0.3">
      <c r="A1022" s="2">
        <v>44121</v>
      </c>
      <c r="B1022">
        <v>2020</v>
      </c>
      <c r="C1022" t="s">
        <v>1087</v>
      </c>
      <c r="D1022" t="s">
        <v>1088</v>
      </c>
    </row>
    <row r="1023" spans="1:4" x14ac:dyDescent="0.3">
      <c r="A1023" s="2">
        <v>44122</v>
      </c>
      <c r="B1023">
        <v>2020</v>
      </c>
      <c r="C1023" t="s">
        <v>1087</v>
      </c>
      <c r="D1023" t="s">
        <v>1088</v>
      </c>
    </row>
    <row r="1024" spans="1:4" x14ac:dyDescent="0.3">
      <c r="A1024" s="2">
        <v>44123</v>
      </c>
      <c r="B1024">
        <v>2020</v>
      </c>
      <c r="C1024" t="s">
        <v>1087</v>
      </c>
      <c r="D1024" t="s">
        <v>1088</v>
      </c>
    </row>
    <row r="1025" spans="1:4" x14ac:dyDescent="0.3">
      <c r="A1025" s="2">
        <v>44124</v>
      </c>
      <c r="B1025">
        <v>2020</v>
      </c>
      <c r="C1025" t="s">
        <v>1087</v>
      </c>
      <c r="D1025" t="s">
        <v>1088</v>
      </c>
    </row>
    <row r="1026" spans="1:4" x14ac:dyDescent="0.3">
      <c r="A1026" s="2">
        <v>44125</v>
      </c>
      <c r="B1026">
        <v>2020</v>
      </c>
      <c r="C1026" t="s">
        <v>1087</v>
      </c>
      <c r="D1026" t="s">
        <v>1088</v>
      </c>
    </row>
    <row r="1027" spans="1:4" x14ac:dyDescent="0.3">
      <c r="A1027" s="2">
        <v>44126</v>
      </c>
      <c r="B1027">
        <v>2020</v>
      </c>
      <c r="C1027" t="s">
        <v>1087</v>
      </c>
      <c r="D1027" t="s">
        <v>1088</v>
      </c>
    </row>
    <row r="1028" spans="1:4" x14ac:dyDescent="0.3">
      <c r="A1028" s="2">
        <v>44127</v>
      </c>
      <c r="B1028">
        <v>2020</v>
      </c>
      <c r="C1028" t="s">
        <v>1087</v>
      </c>
      <c r="D1028" t="s">
        <v>1088</v>
      </c>
    </row>
    <row r="1029" spans="1:4" x14ac:dyDescent="0.3">
      <c r="A1029" s="2">
        <v>44128</v>
      </c>
      <c r="B1029">
        <v>2020</v>
      </c>
      <c r="C1029" t="s">
        <v>1087</v>
      </c>
      <c r="D1029" t="s">
        <v>1088</v>
      </c>
    </row>
    <row r="1030" spans="1:4" x14ac:dyDescent="0.3">
      <c r="A1030" s="2">
        <v>44129</v>
      </c>
      <c r="B1030">
        <v>2020</v>
      </c>
      <c r="C1030" t="s">
        <v>1087</v>
      </c>
      <c r="D1030" t="s">
        <v>1088</v>
      </c>
    </row>
    <row r="1031" spans="1:4" x14ac:dyDescent="0.3">
      <c r="A1031" s="2">
        <v>44130</v>
      </c>
      <c r="B1031">
        <v>2020</v>
      </c>
      <c r="C1031" t="s">
        <v>1087</v>
      </c>
      <c r="D1031" t="s">
        <v>1088</v>
      </c>
    </row>
    <row r="1032" spans="1:4" x14ac:dyDescent="0.3">
      <c r="A1032" s="2">
        <v>44131</v>
      </c>
      <c r="B1032">
        <v>2020</v>
      </c>
      <c r="C1032" t="s">
        <v>1087</v>
      </c>
      <c r="D1032" t="s">
        <v>1088</v>
      </c>
    </row>
    <row r="1033" spans="1:4" x14ac:dyDescent="0.3">
      <c r="A1033" s="2">
        <v>44132</v>
      </c>
      <c r="B1033">
        <v>2020</v>
      </c>
      <c r="C1033" t="s">
        <v>1087</v>
      </c>
      <c r="D1033" t="s">
        <v>1088</v>
      </c>
    </row>
    <row r="1034" spans="1:4" x14ac:dyDescent="0.3">
      <c r="A1034" s="2">
        <v>44133</v>
      </c>
      <c r="B1034">
        <v>2020</v>
      </c>
      <c r="C1034" t="s">
        <v>1087</v>
      </c>
      <c r="D1034" t="s">
        <v>1088</v>
      </c>
    </row>
    <row r="1035" spans="1:4" x14ac:dyDescent="0.3">
      <c r="A1035" s="2">
        <v>44134</v>
      </c>
      <c r="B1035">
        <v>2020</v>
      </c>
      <c r="C1035" t="s">
        <v>1087</v>
      </c>
      <c r="D1035" t="s">
        <v>1088</v>
      </c>
    </row>
    <row r="1036" spans="1:4" x14ac:dyDescent="0.3">
      <c r="A1036" s="2">
        <v>44135</v>
      </c>
      <c r="B1036">
        <v>2020</v>
      </c>
      <c r="C1036" t="s">
        <v>1087</v>
      </c>
      <c r="D1036" t="s">
        <v>1088</v>
      </c>
    </row>
    <row r="1037" spans="1:4" x14ac:dyDescent="0.3">
      <c r="A1037" s="2">
        <v>44136</v>
      </c>
      <c r="B1037">
        <v>2020</v>
      </c>
      <c r="C1037" t="s">
        <v>1087</v>
      </c>
      <c r="D1037" t="s">
        <v>1089</v>
      </c>
    </row>
    <row r="1038" spans="1:4" x14ac:dyDescent="0.3">
      <c r="A1038" s="2">
        <v>44137</v>
      </c>
      <c r="B1038">
        <v>2020</v>
      </c>
      <c r="C1038" t="s">
        <v>1087</v>
      </c>
      <c r="D1038" t="s">
        <v>1089</v>
      </c>
    </row>
    <row r="1039" spans="1:4" x14ac:dyDescent="0.3">
      <c r="A1039" s="2">
        <v>44138</v>
      </c>
      <c r="B1039">
        <v>2020</v>
      </c>
      <c r="C1039" t="s">
        <v>1087</v>
      </c>
      <c r="D1039" t="s">
        <v>1089</v>
      </c>
    </row>
    <row r="1040" spans="1:4" x14ac:dyDescent="0.3">
      <c r="A1040" s="2">
        <v>44139</v>
      </c>
      <c r="B1040">
        <v>2020</v>
      </c>
      <c r="C1040" t="s">
        <v>1087</v>
      </c>
      <c r="D1040" t="s">
        <v>1089</v>
      </c>
    </row>
    <row r="1041" spans="1:4" x14ac:dyDescent="0.3">
      <c r="A1041" s="2">
        <v>44140</v>
      </c>
      <c r="B1041">
        <v>2020</v>
      </c>
      <c r="C1041" t="s">
        <v>1087</v>
      </c>
      <c r="D1041" t="s">
        <v>1089</v>
      </c>
    </row>
    <row r="1042" spans="1:4" x14ac:dyDescent="0.3">
      <c r="A1042" s="2">
        <v>44141</v>
      </c>
      <c r="B1042">
        <v>2020</v>
      </c>
      <c r="C1042" t="s">
        <v>1087</v>
      </c>
      <c r="D1042" t="s">
        <v>1089</v>
      </c>
    </row>
    <row r="1043" spans="1:4" x14ac:dyDescent="0.3">
      <c r="A1043" s="2">
        <v>44142</v>
      </c>
      <c r="B1043">
        <v>2020</v>
      </c>
      <c r="C1043" t="s">
        <v>1087</v>
      </c>
      <c r="D1043" t="s">
        <v>1089</v>
      </c>
    </row>
    <row r="1044" spans="1:4" x14ac:dyDescent="0.3">
      <c r="A1044" s="2">
        <v>44143</v>
      </c>
      <c r="B1044">
        <v>2020</v>
      </c>
      <c r="C1044" t="s">
        <v>1087</v>
      </c>
      <c r="D1044" t="s">
        <v>1089</v>
      </c>
    </row>
    <row r="1045" spans="1:4" x14ac:dyDescent="0.3">
      <c r="A1045" s="2">
        <v>44144</v>
      </c>
      <c r="B1045">
        <v>2020</v>
      </c>
      <c r="C1045" t="s">
        <v>1087</v>
      </c>
      <c r="D1045" t="s">
        <v>1089</v>
      </c>
    </row>
    <row r="1046" spans="1:4" x14ac:dyDescent="0.3">
      <c r="A1046" s="2">
        <v>44145</v>
      </c>
      <c r="B1046">
        <v>2020</v>
      </c>
      <c r="C1046" t="s">
        <v>1087</v>
      </c>
      <c r="D1046" t="s">
        <v>1089</v>
      </c>
    </row>
    <row r="1047" spans="1:4" x14ac:dyDescent="0.3">
      <c r="A1047" s="2">
        <v>44146</v>
      </c>
      <c r="B1047">
        <v>2020</v>
      </c>
      <c r="C1047" t="s">
        <v>1087</v>
      </c>
      <c r="D1047" t="s">
        <v>1089</v>
      </c>
    </row>
    <row r="1048" spans="1:4" x14ac:dyDescent="0.3">
      <c r="A1048" s="2">
        <v>44147</v>
      </c>
      <c r="B1048">
        <v>2020</v>
      </c>
      <c r="C1048" t="s">
        <v>1087</v>
      </c>
      <c r="D1048" t="s">
        <v>1089</v>
      </c>
    </row>
    <row r="1049" spans="1:4" x14ac:dyDescent="0.3">
      <c r="A1049" s="2">
        <v>44148</v>
      </c>
      <c r="B1049">
        <v>2020</v>
      </c>
      <c r="C1049" t="s">
        <v>1087</v>
      </c>
      <c r="D1049" t="s">
        <v>1089</v>
      </c>
    </row>
    <row r="1050" spans="1:4" x14ac:dyDescent="0.3">
      <c r="A1050" s="2">
        <v>44149</v>
      </c>
      <c r="B1050">
        <v>2020</v>
      </c>
      <c r="C1050" t="s">
        <v>1087</v>
      </c>
      <c r="D1050" t="s">
        <v>1089</v>
      </c>
    </row>
    <row r="1051" spans="1:4" x14ac:dyDescent="0.3">
      <c r="A1051" s="2">
        <v>44150</v>
      </c>
      <c r="B1051">
        <v>2020</v>
      </c>
      <c r="C1051" t="s">
        <v>1087</v>
      </c>
      <c r="D1051" t="s">
        <v>1089</v>
      </c>
    </row>
    <row r="1052" spans="1:4" x14ac:dyDescent="0.3">
      <c r="A1052" s="2">
        <v>44151</v>
      </c>
      <c r="B1052">
        <v>2020</v>
      </c>
      <c r="C1052" t="s">
        <v>1087</v>
      </c>
      <c r="D1052" t="s">
        <v>1089</v>
      </c>
    </row>
    <row r="1053" spans="1:4" x14ac:dyDescent="0.3">
      <c r="A1053" s="2">
        <v>44152</v>
      </c>
      <c r="B1053">
        <v>2020</v>
      </c>
      <c r="C1053" t="s">
        <v>1087</v>
      </c>
      <c r="D1053" t="s">
        <v>1089</v>
      </c>
    </row>
    <row r="1054" spans="1:4" x14ac:dyDescent="0.3">
      <c r="A1054" s="2">
        <v>44153</v>
      </c>
      <c r="B1054">
        <v>2020</v>
      </c>
      <c r="C1054" t="s">
        <v>1087</v>
      </c>
      <c r="D1054" t="s">
        <v>1089</v>
      </c>
    </row>
    <row r="1055" spans="1:4" x14ac:dyDescent="0.3">
      <c r="A1055" s="2">
        <v>44154</v>
      </c>
      <c r="B1055">
        <v>2020</v>
      </c>
      <c r="C1055" t="s">
        <v>1087</v>
      </c>
      <c r="D1055" t="s">
        <v>1089</v>
      </c>
    </row>
    <row r="1056" spans="1:4" x14ac:dyDescent="0.3">
      <c r="A1056" s="2">
        <v>44155</v>
      </c>
      <c r="B1056">
        <v>2020</v>
      </c>
      <c r="C1056" t="s">
        <v>1087</v>
      </c>
      <c r="D1056" t="s">
        <v>1089</v>
      </c>
    </row>
    <row r="1057" spans="1:4" x14ac:dyDescent="0.3">
      <c r="A1057" s="2">
        <v>44156</v>
      </c>
      <c r="B1057">
        <v>2020</v>
      </c>
      <c r="C1057" t="s">
        <v>1087</v>
      </c>
      <c r="D1057" t="s">
        <v>1089</v>
      </c>
    </row>
    <row r="1058" spans="1:4" x14ac:dyDescent="0.3">
      <c r="A1058" s="2">
        <v>44157</v>
      </c>
      <c r="B1058">
        <v>2020</v>
      </c>
      <c r="C1058" t="s">
        <v>1087</v>
      </c>
      <c r="D1058" t="s">
        <v>1089</v>
      </c>
    </row>
    <row r="1059" spans="1:4" x14ac:dyDescent="0.3">
      <c r="A1059" s="2">
        <v>44158</v>
      </c>
      <c r="B1059">
        <v>2020</v>
      </c>
      <c r="C1059" t="s">
        <v>1087</v>
      </c>
      <c r="D1059" t="s">
        <v>1089</v>
      </c>
    </row>
    <row r="1060" spans="1:4" x14ac:dyDescent="0.3">
      <c r="A1060" s="2">
        <v>44159</v>
      </c>
      <c r="B1060">
        <v>2020</v>
      </c>
      <c r="C1060" t="s">
        <v>1087</v>
      </c>
      <c r="D1060" t="s">
        <v>1089</v>
      </c>
    </row>
    <row r="1061" spans="1:4" x14ac:dyDescent="0.3">
      <c r="A1061" s="2">
        <v>44160</v>
      </c>
      <c r="B1061">
        <v>2020</v>
      </c>
      <c r="C1061" t="s">
        <v>1087</v>
      </c>
      <c r="D1061" t="s">
        <v>1089</v>
      </c>
    </row>
    <row r="1062" spans="1:4" x14ac:dyDescent="0.3">
      <c r="A1062" s="2">
        <v>44161</v>
      </c>
      <c r="B1062">
        <v>2020</v>
      </c>
      <c r="C1062" t="s">
        <v>1087</v>
      </c>
      <c r="D1062" t="s">
        <v>1089</v>
      </c>
    </row>
    <row r="1063" spans="1:4" x14ac:dyDescent="0.3">
      <c r="A1063" s="2">
        <v>44162</v>
      </c>
      <c r="B1063">
        <v>2020</v>
      </c>
      <c r="C1063" t="s">
        <v>1087</v>
      </c>
      <c r="D1063" t="s">
        <v>1089</v>
      </c>
    </row>
    <row r="1064" spans="1:4" x14ac:dyDescent="0.3">
      <c r="A1064" s="2">
        <v>44163</v>
      </c>
      <c r="B1064">
        <v>2020</v>
      </c>
      <c r="C1064" t="s">
        <v>1087</v>
      </c>
      <c r="D1064" t="s">
        <v>1089</v>
      </c>
    </row>
    <row r="1065" spans="1:4" x14ac:dyDescent="0.3">
      <c r="A1065" s="2">
        <v>44164</v>
      </c>
      <c r="B1065">
        <v>2020</v>
      </c>
      <c r="C1065" t="s">
        <v>1087</v>
      </c>
      <c r="D1065" t="s">
        <v>1089</v>
      </c>
    </row>
    <row r="1066" spans="1:4" x14ac:dyDescent="0.3">
      <c r="A1066" s="2">
        <v>44165</v>
      </c>
      <c r="B1066">
        <v>2020</v>
      </c>
      <c r="C1066" t="s">
        <v>1087</v>
      </c>
      <c r="D1066" t="s">
        <v>1089</v>
      </c>
    </row>
    <row r="1067" spans="1:4" x14ac:dyDescent="0.3">
      <c r="A1067" s="2">
        <v>44166</v>
      </c>
      <c r="B1067">
        <v>2020</v>
      </c>
      <c r="C1067" t="s">
        <v>1087</v>
      </c>
      <c r="D1067" t="s">
        <v>1090</v>
      </c>
    </row>
    <row r="1068" spans="1:4" x14ac:dyDescent="0.3">
      <c r="A1068" s="2">
        <v>44167</v>
      </c>
      <c r="B1068">
        <v>2020</v>
      </c>
      <c r="C1068" t="s">
        <v>1087</v>
      </c>
      <c r="D1068" t="s">
        <v>1090</v>
      </c>
    </row>
    <row r="1069" spans="1:4" x14ac:dyDescent="0.3">
      <c r="A1069" s="2">
        <v>44168</v>
      </c>
      <c r="B1069">
        <v>2020</v>
      </c>
      <c r="C1069" t="s">
        <v>1087</v>
      </c>
      <c r="D1069" t="s">
        <v>1090</v>
      </c>
    </row>
    <row r="1070" spans="1:4" x14ac:dyDescent="0.3">
      <c r="A1070" s="2">
        <v>44169</v>
      </c>
      <c r="B1070">
        <v>2020</v>
      </c>
      <c r="C1070" t="s">
        <v>1087</v>
      </c>
      <c r="D1070" t="s">
        <v>1090</v>
      </c>
    </row>
    <row r="1071" spans="1:4" x14ac:dyDescent="0.3">
      <c r="A1071" s="2">
        <v>44170</v>
      </c>
      <c r="B1071">
        <v>2020</v>
      </c>
      <c r="C1071" t="s">
        <v>1087</v>
      </c>
      <c r="D1071" t="s">
        <v>1090</v>
      </c>
    </row>
    <row r="1072" spans="1:4" x14ac:dyDescent="0.3">
      <c r="A1072" s="2">
        <v>44171</v>
      </c>
      <c r="B1072">
        <v>2020</v>
      </c>
      <c r="C1072" t="s">
        <v>1087</v>
      </c>
      <c r="D1072" t="s">
        <v>1090</v>
      </c>
    </row>
    <row r="1073" spans="1:4" x14ac:dyDescent="0.3">
      <c r="A1073" s="2">
        <v>44172</v>
      </c>
      <c r="B1073">
        <v>2020</v>
      </c>
      <c r="C1073" t="s">
        <v>1087</v>
      </c>
      <c r="D1073" t="s">
        <v>1090</v>
      </c>
    </row>
    <row r="1074" spans="1:4" x14ac:dyDescent="0.3">
      <c r="A1074" s="2">
        <v>44173</v>
      </c>
      <c r="B1074">
        <v>2020</v>
      </c>
      <c r="C1074" t="s">
        <v>1087</v>
      </c>
      <c r="D1074" t="s">
        <v>1090</v>
      </c>
    </row>
    <row r="1075" spans="1:4" x14ac:dyDescent="0.3">
      <c r="A1075" s="2">
        <v>44174</v>
      </c>
      <c r="B1075">
        <v>2020</v>
      </c>
      <c r="C1075" t="s">
        <v>1087</v>
      </c>
      <c r="D1075" t="s">
        <v>1090</v>
      </c>
    </row>
    <row r="1076" spans="1:4" x14ac:dyDescent="0.3">
      <c r="A1076" s="2">
        <v>44175</v>
      </c>
      <c r="B1076">
        <v>2020</v>
      </c>
      <c r="C1076" t="s">
        <v>1087</v>
      </c>
      <c r="D1076" t="s">
        <v>1090</v>
      </c>
    </row>
    <row r="1077" spans="1:4" x14ac:dyDescent="0.3">
      <c r="A1077" s="2">
        <v>44176</v>
      </c>
      <c r="B1077">
        <v>2020</v>
      </c>
      <c r="C1077" t="s">
        <v>1087</v>
      </c>
      <c r="D1077" t="s">
        <v>1090</v>
      </c>
    </row>
    <row r="1078" spans="1:4" x14ac:dyDescent="0.3">
      <c r="A1078" s="2">
        <v>44177</v>
      </c>
      <c r="B1078">
        <v>2020</v>
      </c>
      <c r="C1078" t="s">
        <v>1087</v>
      </c>
      <c r="D1078" t="s">
        <v>1090</v>
      </c>
    </row>
    <row r="1079" spans="1:4" x14ac:dyDescent="0.3">
      <c r="A1079" s="2">
        <v>44178</v>
      </c>
      <c r="B1079">
        <v>2020</v>
      </c>
      <c r="C1079" t="s">
        <v>1087</v>
      </c>
      <c r="D1079" t="s">
        <v>1090</v>
      </c>
    </row>
    <row r="1080" spans="1:4" x14ac:dyDescent="0.3">
      <c r="A1080" s="2">
        <v>44179</v>
      </c>
      <c r="B1080">
        <v>2020</v>
      </c>
      <c r="C1080" t="s">
        <v>1087</v>
      </c>
      <c r="D1080" t="s">
        <v>1090</v>
      </c>
    </row>
    <row r="1081" spans="1:4" x14ac:dyDescent="0.3">
      <c r="A1081" s="2">
        <v>44180</v>
      </c>
      <c r="B1081">
        <v>2020</v>
      </c>
      <c r="C1081" t="s">
        <v>1087</v>
      </c>
      <c r="D1081" t="s">
        <v>1090</v>
      </c>
    </row>
    <row r="1082" spans="1:4" x14ac:dyDescent="0.3">
      <c r="A1082" s="2">
        <v>44181</v>
      </c>
      <c r="B1082">
        <v>2020</v>
      </c>
      <c r="C1082" t="s">
        <v>1087</v>
      </c>
      <c r="D1082" t="s">
        <v>1090</v>
      </c>
    </row>
    <row r="1083" spans="1:4" x14ac:dyDescent="0.3">
      <c r="A1083" s="2">
        <v>44182</v>
      </c>
      <c r="B1083">
        <v>2020</v>
      </c>
      <c r="C1083" t="s">
        <v>1087</v>
      </c>
      <c r="D1083" t="s">
        <v>1090</v>
      </c>
    </row>
    <row r="1084" spans="1:4" x14ac:dyDescent="0.3">
      <c r="A1084" s="2">
        <v>44183</v>
      </c>
      <c r="B1084">
        <v>2020</v>
      </c>
      <c r="C1084" t="s">
        <v>1087</v>
      </c>
      <c r="D1084" t="s">
        <v>1090</v>
      </c>
    </row>
    <row r="1085" spans="1:4" x14ac:dyDescent="0.3">
      <c r="A1085" s="2">
        <v>44184</v>
      </c>
      <c r="B1085">
        <v>2020</v>
      </c>
      <c r="C1085" t="s">
        <v>1087</v>
      </c>
      <c r="D1085" t="s">
        <v>1090</v>
      </c>
    </row>
    <row r="1086" spans="1:4" x14ac:dyDescent="0.3">
      <c r="A1086" s="2">
        <v>44185</v>
      </c>
      <c r="B1086">
        <v>2020</v>
      </c>
      <c r="C1086" t="s">
        <v>1087</v>
      </c>
      <c r="D1086" t="s">
        <v>1090</v>
      </c>
    </row>
    <row r="1087" spans="1:4" x14ac:dyDescent="0.3">
      <c r="A1087" s="2">
        <v>44186</v>
      </c>
      <c r="B1087">
        <v>2020</v>
      </c>
      <c r="C1087" t="s">
        <v>1087</v>
      </c>
      <c r="D1087" t="s">
        <v>1090</v>
      </c>
    </row>
    <row r="1088" spans="1:4" x14ac:dyDescent="0.3">
      <c r="A1088" s="2">
        <v>44187</v>
      </c>
      <c r="B1088">
        <v>2020</v>
      </c>
      <c r="C1088" t="s">
        <v>1087</v>
      </c>
      <c r="D1088" t="s">
        <v>1090</v>
      </c>
    </row>
    <row r="1089" spans="1:4" x14ac:dyDescent="0.3">
      <c r="A1089" s="2">
        <v>44188</v>
      </c>
      <c r="B1089">
        <v>2020</v>
      </c>
      <c r="C1089" t="s">
        <v>1087</v>
      </c>
      <c r="D1089" t="s">
        <v>1090</v>
      </c>
    </row>
    <row r="1090" spans="1:4" x14ac:dyDescent="0.3">
      <c r="A1090" s="2">
        <v>44189</v>
      </c>
      <c r="B1090">
        <v>2020</v>
      </c>
      <c r="C1090" t="s">
        <v>1087</v>
      </c>
      <c r="D1090" t="s">
        <v>1090</v>
      </c>
    </row>
    <row r="1091" spans="1:4" x14ac:dyDescent="0.3">
      <c r="A1091" s="2">
        <v>44190</v>
      </c>
      <c r="B1091">
        <v>2020</v>
      </c>
      <c r="C1091" t="s">
        <v>1087</v>
      </c>
      <c r="D1091" t="s">
        <v>1090</v>
      </c>
    </row>
    <row r="1092" spans="1:4" x14ac:dyDescent="0.3">
      <c r="A1092" s="2">
        <v>44191</v>
      </c>
      <c r="B1092">
        <v>2020</v>
      </c>
      <c r="C1092" t="s">
        <v>1087</v>
      </c>
      <c r="D1092" t="s">
        <v>1090</v>
      </c>
    </row>
    <row r="1093" spans="1:4" x14ac:dyDescent="0.3">
      <c r="A1093" s="2">
        <v>44192</v>
      </c>
      <c r="B1093">
        <v>2020</v>
      </c>
      <c r="C1093" t="s">
        <v>1087</v>
      </c>
      <c r="D1093" t="s">
        <v>1090</v>
      </c>
    </row>
    <row r="1094" spans="1:4" x14ac:dyDescent="0.3">
      <c r="A1094" s="2">
        <v>44193</v>
      </c>
      <c r="B1094">
        <v>2020</v>
      </c>
      <c r="C1094" t="s">
        <v>1087</v>
      </c>
      <c r="D1094" t="s">
        <v>1090</v>
      </c>
    </row>
    <row r="1095" spans="1:4" x14ac:dyDescent="0.3">
      <c r="A1095" s="2">
        <v>44194</v>
      </c>
      <c r="B1095">
        <v>2020</v>
      </c>
      <c r="C1095" t="s">
        <v>1087</v>
      </c>
      <c r="D1095" t="s">
        <v>1090</v>
      </c>
    </row>
    <row r="1096" spans="1:4" x14ac:dyDescent="0.3">
      <c r="A1096" s="2">
        <v>44195</v>
      </c>
      <c r="B1096">
        <v>2020</v>
      </c>
      <c r="C1096" t="s">
        <v>1087</v>
      </c>
      <c r="D1096" t="s">
        <v>1090</v>
      </c>
    </row>
    <row r="1097" spans="1:4" x14ac:dyDescent="0.3">
      <c r="A1097" s="2">
        <v>44196</v>
      </c>
      <c r="B1097">
        <v>2020</v>
      </c>
      <c r="C1097" t="s">
        <v>1087</v>
      </c>
      <c r="D1097" t="s">
        <v>1090</v>
      </c>
    </row>
    <row r="1098" spans="1:4" x14ac:dyDescent="0.3">
      <c r="A1098" s="2">
        <v>44197</v>
      </c>
      <c r="B1098">
        <v>2021</v>
      </c>
      <c r="C1098" t="s">
        <v>1075</v>
      </c>
      <c r="D1098" t="s">
        <v>1076</v>
      </c>
    </row>
    <row r="1099" spans="1:4" x14ac:dyDescent="0.3">
      <c r="A1099" s="2">
        <v>44198</v>
      </c>
      <c r="B1099">
        <v>2021</v>
      </c>
      <c r="C1099" t="s">
        <v>1075</v>
      </c>
      <c r="D1099" t="s">
        <v>1076</v>
      </c>
    </row>
    <row r="1100" spans="1:4" x14ac:dyDescent="0.3">
      <c r="A1100" s="2">
        <v>44199</v>
      </c>
      <c r="B1100">
        <v>2021</v>
      </c>
      <c r="C1100" t="s">
        <v>1075</v>
      </c>
      <c r="D1100" t="s">
        <v>1076</v>
      </c>
    </row>
    <row r="1101" spans="1:4" x14ac:dyDescent="0.3">
      <c r="A1101" s="2">
        <v>44200</v>
      </c>
      <c r="B1101">
        <v>2021</v>
      </c>
      <c r="C1101" t="s">
        <v>1075</v>
      </c>
      <c r="D1101" t="s">
        <v>1076</v>
      </c>
    </row>
    <row r="1102" spans="1:4" x14ac:dyDescent="0.3">
      <c r="A1102" s="2">
        <v>44201</v>
      </c>
      <c r="B1102">
        <v>2021</v>
      </c>
      <c r="C1102" t="s">
        <v>1075</v>
      </c>
      <c r="D1102" t="s">
        <v>1076</v>
      </c>
    </row>
    <row r="1103" spans="1:4" x14ac:dyDescent="0.3">
      <c r="A1103" s="2">
        <v>44202</v>
      </c>
      <c r="B1103">
        <v>2021</v>
      </c>
      <c r="C1103" t="s">
        <v>1075</v>
      </c>
      <c r="D1103" t="s">
        <v>1076</v>
      </c>
    </row>
    <row r="1104" spans="1:4" x14ac:dyDescent="0.3">
      <c r="A1104" s="2">
        <v>44203</v>
      </c>
      <c r="B1104">
        <v>2021</v>
      </c>
      <c r="C1104" t="s">
        <v>1075</v>
      </c>
      <c r="D1104" t="s">
        <v>1076</v>
      </c>
    </row>
    <row r="1105" spans="1:4" x14ac:dyDescent="0.3">
      <c r="A1105" s="2">
        <v>44204</v>
      </c>
      <c r="B1105">
        <v>2021</v>
      </c>
      <c r="C1105" t="s">
        <v>1075</v>
      </c>
      <c r="D1105" t="s">
        <v>1076</v>
      </c>
    </row>
    <row r="1106" spans="1:4" x14ac:dyDescent="0.3">
      <c r="A1106" s="2">
        <v>44205</v>
      </c>
      <c r="B1106">
        <v>2021</v>
      </c>
      <c r="C1106" t="s">
        <v>1075</v>
      </c>
      <c r="D1106" t="s">
        <v>1076</v>
      </c>
    </row>
    <row r="1107" spans="1:4" x14ac:dyDescent="0.3">
      <c r="A1107" s="2">
        <v>44206</v>
      </c>
      <c r="B1107">
        <v>2021</v>
      </c>
      <c r="C1107" t="s">
        <v>1075</v>
      </c>
      <c r="D1107" t="s">
        <v>1076</v>
      </c>
    </row>
    <row r="1108" spans="1:4" x14ac:dyDescent="0.3">
      <c r="A1108" s="2">
        <v>44207</v>
      </c>
      <c r="B1108">
        <v>2021</v>
      </c>
      <c r="C1108" t="s">
        <v>1075</v>
      </c>
      <c r="D1108" t="s">
        <v>1076</v>
      </c>
    </row>
    <row r="1109" spans="1:4" x14ac:dyDescent="0.3">
      <c r="A1109" s="2">
        <v>44208</v>
      </c>
      <c r="B1109">
        <v>2021</v>
      </c>
      <c r="C1109" t="s">
        <v>1075</v>
      </c>
      <c r="D1109" t="s">
        <v>1076</v>
      </c>
    </row>
    <row r="1110" spans="1:4" x14ac:dyDescent="0.3">
      <c r="A1110" s="2">
        <v>44209</v>
      </c>
      <c r="B1110">
        <v>2021</v>
      </c>
      <c r="C1110" t="s">
        <v>1075</v>
      </c>
      <c r="D1110" t="s">
        <v>1076</v>
      </c>
    </row>
    <row r="1111" spans="1:4" x14ac:dyDescent="0.3">
      <c r="A1111" s="2">
        <v>44210</v>
      </c>
      <c r="B1111">
        <v>2021</v>
      </c>
      <c r="C1111" t="s">
        <v>1075</v>
      </c>
      <c r="D1111" t="s">
        <v>1076</v>
      </c>
    </row>
    <row r="1112" spans="1:4" x14ac:dyDescent="0.3">
      <c r="A1112" s="2">
        <v>44211</v>
      </c>
      <c r="B1112">
        <v>2021</v>
      </c>
      <c r="C1112" t="s">
        <v>1075</v>
      </c>
      <c r="D1112" t="s">
        <v>1076</v>
      </c>
    </row>
    <row r="1113" spans="1:4" x14ac:dyDescent="0.3">
      <c r="A1113" s="2">
        <v>44212</v>
      </c>
      <c r="B1113">
        <v>2021</v>
      </c>
      <c r="C1113" t="s">
        <v>1075</v>
      </c>
      <c r="D1113" t="s">
        <v>1076</v>
      </c>
    </row>
    <row r="1114" spans="1:4" x14ac:dyDescent="0.3">
      <c r="A1114" s="2">
        <v>44213</v>
      </c>
      <c r="B1114">
        <v>2021</v>
      </c>
      <c r="C1114" t="s">
        <v>1075</v>
      </c>
      <c r="D1114" t="s">
        <v>1076</v>
      </c>
    </row>
    <row r="1115" spans="1:4" x14ac:dyDescent="0.3">
      <c r="A1115" s="2">
        <v>44214</v>
      </c>
      <c r="B1115">
        <v>2021</v>
      </c>
      <c r="C1115" t="s">
        <v>1075</v>
      </c>
      <c r="D1115" t="s">
        <v>1076</v>
      </c>
    </row>
    <row r="1116" spans="1:4" x14ac:dyDescent="0.3">
      <c r="A1116" s="2">
        <v>44215</v>
      </c>
      <c r="B1116">
        <v>2021</v>
      </c>
      <c r="C1116" t="s">
        <v>1075</v>
      </c>
      <c r="D1116" t="s">
        <v>1076</v>
      </c>
    </row>
    <row r="1117" spans="1:4" x14ac:dyDescent="0.3">
      <c r="A1117" s="2">
        <v>44216</v>
      </c>
      <c r="B1117">
        <v>2021</v>
      </c>
      <c r="C1117" t="s">
        <v>1075</v>
      </c>
      <c r="D1117" t="s">
        <v>1076</v>
      </c>
    </row>
    <row r="1118" spans="1:4" x14ac:dyDescent="0.3">
      <c r="A1118" s="2">
        <v>44217</v>
      </c>
      <c r="B1118">
        <v>2021</v>
      </c>
      <c r="C1118" t="s">
        <v>1075</v>
      </c>
      <c r="D1118" t="s">
        <v>1076</v>
      </c>
    </row>
    <row r="1119" spans="1:4" x14ac:dyDescent="0.3">
      <c r="A1119" s="2">
        <v>44218</v>
      </c>
      <c r="B1119">
        <v>2021</v>
      </c>
      <c r="C1119" t="s">
        <v>1075</v>
      </c>
      <c r="D1119" t="s">
        <v>1076</v>
      </c>
    </row>
    <row r="1120" spans="1:4" x14ac:dyDescent="0.3">
      <c r="A1120" s="2">
        <v>44219</v>
      </c>
      <c r="B1120">
        <v>2021</v>
      </c>
      <c r="C1120" t="s">
        <v>1075</v>
      </c>
      <c r="D1120" t="s">
        <v>1076</v>
      </c>
    </row>
    <row r="1121" spans="1:4" x14ac:dyDescent="0.3">
      <c r="A1121" s="2">
        <v>44220</v>
      </c>
      <c r="B1121">
        <v>2021</v>
      </c>
      <c r="C1121" t="s">
        <v>1075</v>
      </c>
      <c r="D1121" t="s">
        <v>1076</v>
      </c>
    </row>
    <row r="1122" spans="1:4" x14ac:dyDescent="0.3">
      <c r="A1122" s="2">
        <v>44221</v>
      </c>
      <c r="B1122">
        <v>2021</v>
      </c>
      <c r="C1122" t="s">
        <v>1075</v>
      </c>
      <c r="D1122" t="s">
        <v>1076</v>
      </c>
    </row>
    <row r="1123" spans="1:4" x14ac:dyDescent="0.3">
      <c r="A1123" s="2">
        <v>44222</v>
      </c>
      <c r="B1123">
        <v>2021</v>
      </c>
      <c r="C1123" t="s">
        <v>1075</v>
      </c>
      <c r="D1123" t="s">
        <v>1076</v>
      </c>
    </row>
    <row r="1124" spans="1:4" x14ac:dyDescent="0.3">
      <c r="A1124" s="2">
        <v>44223</v>
      </c>
      <c r="B1124">
        <v>2021</v>
      </c>
      <c r="C1124" t="s">
        <v>1075</v>
      </c>
      <c r="D1124" t="s">
        <v>1076</v>
      </c>
    </row>
    <row r="1125" spans="1:4" x14ac:dyDescent="0.3">
      <c r="A1125" s="2">
        <v>44224</v>
      </c>
      <c r="B1125">
        <v>2021</v>
      </c>
      <c r="C1125" t="s">
        <v>1075</v>
      </c>
      <c r="D1125" t="s">
        <v>1076</v>
      </c>
    </row>
    <row r="1126" spans="1:4" x14ac:dyDescent="0.3">
      <c r="A1126" s="2">
        <v>44225</v>
      </c>
      <c r="B1126">
        <v>2021</v>
      </c>
      <c r="C1126" t="s">
        <v>1075</v>
      </c>
      <c r="D1126" t="s">
        <v>1076</v>
      </c>
    </row>
    <row r="1127" spans="1:4" x14ac:dyDescent="0.3">
      <c r="A1127" s="2">
        <v>44226</v>
      </c>
      <c r="B1127">
        <v>2021</v>
      </c>
      <c r="C1127" t="s">
        <v>1075</v>
      </c>
      <c r="D1127" t="s">
        <v>1076</v>
      </c>
    </row>
    <row r="1128" spans="1:4" x14ac:dyDescent="0.3">
      <c r="A1128" s="2">
        <v>44227</v>
      </c>
      <c r="B1128">
        <v>2021</v>
      </c>
      <c r="C1128" t="s">
        <v>1075</v>
      </c>
      <c r="D1128" t="s">
        <v>1076</v>
      </c>
    </row>
    <row r="1129" spans="1:4" x14ac:dyDescent="0.3">
      <c r="A1129" s="2">
        <v>44228</v>
      </c>
      <c r="B1129">
        <v>2021</v>
      </c>
      <c r="C1129" t="s">
        <v>1075</v>
      </c>
      <c r="D1129" t="s">
        <v>1077</v>
      </c>
    </row>
    <row r="1130" spans="1:4" x14ac:dyDescent="0.3">
      <c r="A1130" s="2">
        <v>44229</v>
      </c>
      <c r="B1130">
        <v>2021</v>
      </c>
      <c r="C1130" t="s">
        <v>1075</v>
      </c>
      <c r="D1130" t="s">
        <v>1077</v>
      </c>
    </row>
    <row r="1131" spans="1:4" x14ac:dyDescent="0.3">
      <c r="A1131" s="2">
        <v>44230</v>
      </c>
      <c r="B1131">
        <v>2021</v>
      </c>
      <c r="C1131" t="s">
        <v>1075</v>
      </c>
      <c r="D1131" t="s">
        <v>1077</v>
      </c>
    </row>
    <row r="1132" spans="1:4" x14ac:dyDescent="0.3">
      <c r="A1132" s="2">
        <v>44231</v>
      </c>
      <c r="B1132">
        <v>2021</v>
      </c>
      <c r="C1132" t="s">
        <v>1075</v>
      </c>
      <c r="D1132" t="s">
        <v>1077</v>
      </c>
    </row>
    <row r="1133" spans="1:4" x14ac:dyDescent="0.3">
      <c r="A1133" s="2">
        <v>44232</v>
      </c>
      <c r="B1133">
        <v>2021</v>
      </c>
      <c r="C1133" t="s">
        <v>1075</v>
      </c>
      <c r="D1133" t="s">
        <v>1077</v>
      </c>
    </row>
    <row r="1134" spans="1:4" x14ac:dyDescent="0.3">
      <c r="A1134" s="2">
        <v>44233</v>
      </c>
      <c r="B1134">
        <v>2021</v>
      </c>
      <c r="C1134" t="s">
        <v>1075</v>
      </c>
      <c r="D1134" t="s">
        <v>1077</v>
      </c>
    </row>
    <row r="1135" spans="1:4" x14ac:dyDescent="0.3">
      <c r="A1135" s="2">
        <v>44234</v>
      </c>
      <c r="B1135">
        <v>2021</v>
      </c>
      <c r="C1135" t="s">
        <v>1075</v>
      </c>
      <c r="D1135" t="s">
        <v>1077</v>
      </c>
    </row>
    <row r="1136" spans="1:4" x14ac:dyDescent="0.3">
      <c r="A1136" s="2">
        <v>44235</v>
      </c>
      <c r="B1136">
        <v>2021</v>
      </c>
      <c r="C1136" t="s">
        <v>1075</v>
      </c>
      <c r="D1136" t="s">
        <v>1077</v>
      </c>
    </row>
    <row r="1137" spans="1:4" x14ac:dyDescent="0.3">
      <c r="A1137" s="2">
        <v>44236</v>
      </c>
      <c r="B1137">
        <v>2021</v>
      </c>
      <c r="C1137" t="s">
        <v>1075</v>
      </c>
      <c r="D1137" t="s">
        <v>1077</v>
      </c>
    </row>
    <row r="1138" spans="1:4" x14ac:dyDescent="0.3">
      <c r="A1138" s="2">
        <v>44237</v>
      </c>
      <c r="B1138">
        <v>2021</v>
      </c>
      <c r="C1138" t="s">
        <v>1075</v>
      </c>
      <c r="D1138" t="s">
        <v>1077</v>
      </c>
    </row>
    <row r="1139" spans="1:4" x14ac:dyDescent="0.3">
      <c r="A1139" s="2">
        <v>44238</v>
      </c>
      <c r="B1139">
        <v>2021</v>
      </c>
      <c r="C1139" t="s">
        <v>1075</v>
      </c>
      <c r="D1139" t="s">
        <v>1077</v>
      </c>
    </row>
    <row r="1140" spans="1:4" x14ac:dyDescent="0.3">
      <c r="A1140" s="2">
        <v>44239</v>
      </c>
      <c r="B1140">
        <v>2021</v>
      </c>
      <c r="C1140" t="s">
        <v>1075</v>
      </c>
      <c r="D1140" t="s">
        <v>1077</v>
      </c>
    </row>
    <row r="1141" spans="1:4" x14ac:dyDescent="0.3">
      <c r="A1141" s="2">
        <v>44240</v>
      </c>
      <c r="B1141">
        <v>2021</v>
      </c>
      <c r="C1141" t="s">
        <v>1075</v>
      </c>
      <c r="D1141" t="s">
        <v>1077</v>
      </c>
    </row>
    <row r="1142" spans="1:4" x14ac:dyDescent="0.3">
      <c r="A1142" s="2">
        <v>44241</v>
      </c>
      <c r="B1142">
        <v>2021</v>
      </c>
      <c r="C1142" t="s">
        <v>1075</v>
      </c>
      <c r="D1142" t="s">
        <v>1077</v>
      </c>
    </row>
    <row r="1143" spans="1:4" x14ac:dyDescent="0.3">
      <c r="A1143" s="2">
        <v>44242</v>
      </c>
      <c r="B1143">
        <v>2021</v>
      </c>
      <c r="C1143" t="s">
        <v>1075</v>
      </c>
      <c r="D1143" t="s">
        <v>1077</v>
      </c>
    </row>
    <row r="1144" spans="1:4" x14ac:dyDescent="0.3">
      <c r="A1144" s="2">
        <v>44243</v>
      </c>
      <c r="B1144">
        <v>2021</v>
      </c>
      <c r="C1144" t="s">
        <v>1075</v>
      </c>
      <c r="D1144" t="s">
        <v>1077</v>
      </c>
    </row>
    <row r="1145" spans="1:4" x14ac:dyDescent="0.3">
      <c r="A1145" s="2">
        <v>44244</v>
      </c>
      <c r="B1145">
        <v>2021</v>
      </c>
      <c r="C1145" t="s">
        <v>1075</v>
      </c>
      <c r="D1145" t="s">
        <v>1077</v>
      </c>
    </row>
    <row r="1146" spans="1:4" x14ac:dyDescent="0.3">
      <c r="A1146" s="2">
        <v>44245</v>
      </c>
      <c r="B1146">
        <v>2021</v>
      </c>
      <c r="C1146" t="s">
        <v>1075</v>
      </c>
      <c r="D1146" t="s">
        <v>1077</v>
      </c>
    </row>
    <row r="1147" spans="1:4" x14ac:dyDescent="0.3">
      <c r="A1147" s="2">
        <v>44246</v>
      </c>
      <c r="B1147">
        <v>2021</v>
      </c>
      <c r="C1147" t="s">
        <v>1075</v>
      </c>
      <c r="D1147" t="s">
        <v>1077</v>
      </c>
    </row>
    <row r="1148" spans="1:4" x14ac:dyDescent="0.3">
      <c r="A1148" s="2">
        <v>44247</v>
      </c>
      <c r="B1148">
        <v>2021</v>
      </c>
      <c r="C1148" t="s">
        <v>1075</v>
      </c>
      <c r="D1148" t="s">
        <v>1077</v>
      </c>
    </row>
    <row r="1149" spans="1:4" x14ac:dyDescent="0.3">
      <c r="A1149" s="2">
        <v>44248</v>
      </c>
      <c r="B1149">
        <v>2021</v>
      </c>
      <c r="C1149" t="s">
        <v>1075</v>
      </c>
      <c r="D1149" t="s">
        <v>1077</v>
      </c>
    </row>
    <row r="1150" spans="1:4" x14ac:dyDescent="0.3">
      <c r="A1150" s="2">
        <v>44249</v>
      </c>
      <c r="B1150">
        <v>2021</v>
      </c>
      <c r="C1150" t="s">
        <v>1075</v>
      </c>
      <c r="D1150" t="s">
        <v>1077</v>
      </c>
    </row>
    <row r="1151" spans="1:4" x14ac:dyDescent="0.3">
      <c r="A1151" s="2">
        <v>44250</v>
      </c>
      <c r="B1151">
        <v>2021</v>
      </c>
      <c r="C1151" t="s">
        <v>1075</v>
      </c>
      <c r="D1151" t="s">
        <v>1077</v>
      </c>
    </row>
    <row r="1152" spans="1:4" x14ac:dyDescent="0.3">
      <c r="A1152" s="2">
        <v>44251</v>
      </c>
      <c r="B1152">
        <v>2021</v>
      </c>
      <c r="C1152" t="s">
        <v>1075</v>
      </c>
      <c r="D1152" t="s">
        <v>1077</v>
      </c>
    </row>
    <row r="1153" spans="1:4" x14ac:dyDescent="0.3">
      <c r="A1153" s="2">
        <v>44252</v>
      </c>
      <c r="B1153">
        <v>2021</v>
      </c>
      <c r="C1153" t="s">
        <v>1075</v>
      </c>
      <c r="D1153" t="s">
        <v>1077</v>
      </c>
    </row>
    <row r="1154" spans="1:4" x14ac:dyDescent="0.3">
      <c r="A1154" s="2">
        <v>44253</v>
      </c>
      <c r="B1154">
        <v>2021</v>
      </c>
      <c r="C1154" t="s">
        <v>1075</v>
      </c>
      <c r="D1154" t="s">
        <v>1077</v>
      </c>
    </row>
    <row r="1155" spans="1:4" x14ac:dyDescent="0.3">
      <c r="A1155" s="2">
        <v>44254</v>
      </c>
      <c r="B1155">
        <v>2021</v>
      </c>
      <c r="C1155" t="s">
        <v>1075</v>
      </c>
      <c r="D1155" t="s">
        <v>1077</v>
      </c>
    </row>
    <row r="1156" spans="1:4" x14ac:dyDescent="0.3">
      <c r="A1156" s="2">
        <v>44255</v>
      </c>
      <c r="B1156">
        <v>2021</v>
      </c>
      <c r="C1156" t="s">
        <v>1075</v>
      </c>
      <c r="D1156" t="s">
        <v>1077</v>
      </c>
    </row>
    <row r="1157" spans="1:4" x14ac:dyDescent="0.3">
      <c r="A1157" s="2">
        <v>44256</v>
      </c>
      <c r="B1157">
        <v>2021</v>
      </c>
      <c r="C1157" t="s">
        <v>1075</v>
      </c>
      <c r="D1157" t="s">
        <v>1078</v>
      </c>
    </row>
    <row r="1158" spans="1:4" x14ac:dyDescent="0.3">
      <c r="A1158" s="2">
        <v>44257</v>
      </c>
      <c r="B1158">
        <v>2021</v>
      </c>
      <c r="C1158" t="s">
        <v>1075</v>
      </c>
      <c r="D1158" t="s">
        <v>1078</v>
      </c>
    </row>
    <row r="1159" spans="1:4" x14ac:dyDescent="0.3">
      <c r="A1159" s="2">
        <v>44258</v>
      </c>
      <c r="B1159">
        <v>2021</v>
      </c>
      <c r="C1159" t="s">
        <v>1075</v>
      </c>
      <c r="D1159" t="s">
        <v>1078</v>
      </c>
    </row>
    <row r="1160" spans="1:4" x14ac:dyDescent="0.3">
      <c r="A1160" s="2">
        <v>44259</v>
      </c>
      <c r="B1160">
        <v>2021</v>
      </c>
      <c r="C1160" t="s">
        <v>1075</v>
      </c>
      <c r="D1160" t="s">
        <v>1078</v>
      </c>
    </row>
    <row r="1161" spans="1:4" x14ac:dyDescent="0.3">
      <c r="A1161" s="2">
        <v>44260</v>
      </c>
      <c r="B1161">
        <v>2021</v>
      </c>
      <c r="C1161" t="s">
        <v>1075</v>
      </c>
      <c r="D1161" t="s">
        <v>1078</v>
      </c>
    </row>
    <row r="1162" spans="1:4" x14ac:dyDescent="0.3">
      <c r="A1162" s="2">
        <v>44261</v>
      </c>
      <c r="B1162">
        <v>2021</v>
      </c>
      <c r="C1162" t="s">
        <v>1075</v>
      </c>
      <c r="D1162" t="s">
        <v>1078</v>
      </c>
    </row>
    <row r="1163" spans="1:4" x14ac:dyDescent="0.3">
      <c r="A1163" s="2">
        <v>44262</v>
      </c>
      <c r="B1163">
        <v>2021</v>
      </c>
      <c r="C1163" t="s">
        <v>1075</v>
      </c>
      <c r="D1163" t="s">
        <v>1078</v>
      </c>
    </row>
    <row r="1164" spans="1:4" x14ac:dyDescent="0.3">
      <c r="A1164" s="2">
        <v>44263</v>
      </c>
      <c r="B1164">
        <v>2021</v>
      </c>
      <c r="C1164" t="s">
        <v>1075</v>
      </c>
      <c r="D1164" t="s">
        <v>1078</v>
      </c>
    </row>
    <row r="1165" spans="1:4" x14ac:dyDescent="0.3">
      <c r="A1165" s="2">
        <v>44264</v>
      </c>
      <c r="B1165">
        <v>2021</v>
      </c>
      <c r="C1165" t="s">
        <v>1075</v>
      </c>
      <c r="D1165" t="s">
        <v>1078</v>
      </c>
    </row>
    <row r="1166" spans="1:4" x14ac:dyDescent="0.3">
      <c r="A1166" s="2">
        <v>44265</v>
      </c>
      <c r="B1166">
        <v>2021</v>
      </c>
      <c r="C1166" t="s">
        <v>1075</v>
      </c>
      <c r="D1166" t="s">
        <v>1078</v>
      </c>
    </row>
    <row r="1167" spans="1:4" x14ac:dyDescent="0.3">
      <c r="A1167" s="2">
        <v>44266</v>
      </c>
      <c r="B1167">
        <v>2021</v>
      </c>
      <c r="C1167" t="s">
        <v>1075</v>
      </c>
      <c r="D1167" t="s">
        <v>1078</v>
      </c>
    </row>
    <row r="1168" spans="1:4" x14ac:dyDescent="0.3">
      <c r="A1168" s="2">
        <v>44267</v>
      </c>
      <c r="B1168">
        <v>2021</v>
      </c>
      <c r="C1168" t="s">
        <v>1075</v>
      </c>
      <c r="D1168" t="s">
        <v>1078</v>
      </c>
    </row>
    <row r="1169" spans="1:4" x14ac:dyDescent="0.3">
      <c r="A1169" s="2">
        <v>44268</v>
      </c>
      <c r="B1169">
        <v>2021</v>
      </c>
      <c r="C1169" t="s">
        <v>1075</v>
      </c>
      <c r="D1169" t="s">
        <v>1078</v>
      </c>
    </row>
    <row r="1170" spans="1:4" x14ac:dyDescent="0.3">
      <c r="A1170" s="2">
        <v>44269</v>
      </c>
      <c r="B1170">
        <v>2021</v>
      </c>
      <c r="C1170" t="s">
        <v>1075</v>
      </c>
      <c r="D1170" t="s">
        <v>1078</v>
      </c>
    </row>
    <row r="1171" spans="1:4" x14ac:dyDescent="0.3">
      <c r="A1171" s="2">
        <v>44270</v>
      </c>
      <c r="B1171">
        <v>2021</v>
      </c>
      <c r="C1171" t="s">
        <v>1075</v>
      </c>
      <c r="D1171" t="s">
        <v>1078</v>
      </c>
    </row>
    <row r="1172" spans="1:4" x14ac:dyDescent="0.3">
      <c r="A1172" s="2">
        <v>44271</v>
      </c>
      <c r="B1172">
        <v>2021</v>
      </c>
      <c r="C1172" t="s">
        <v>1075</v>
      </c>
      <c r="D1172" t="s">
        <v>1078</v>
      </c>
    </row>
    <row r="1173" spans="1:4" x14ac:dyDescent="0.3">
      <c r="A1173" s="2">
        <v>44272</v>
      </c>
      <c r="B1173">
        <v>2021</v>
      </c>
      <c r="C1173" t="s">
        <v>1075</v>
      </c>
      <c r="D1173" t="s">
        <v>1078</v>
      </c>
    </row>
    <row r="1174" spans="1:4" x14ac:dyDescent="0.3">
      <c r="A1174" s="2">
        <v>44273</v>
      </c>
      <c r="B1174">
        <v>2021</v>
      </c>
      <c r="C1174" t="s">
        <v>1075</v>
      </c>
      <c r="D1174" t="s">
        <v>1078</v>
      </c>
    </row>
    <row r="1175" spans="1:4" x14ac:dyDescent="0.3">
      <c r="A1175" s="2">
        <v>44274</v>
      </c>
      <c r="B1175">
        <v>2021</v>
      </c>
      <c r="C1175" t="s">
        <v>1075</v>
      </c>
      <c r="D1175" t="s">
        <v>1078</v>
      </c>
    </row>
    <row r="1176" spans="1:4" x14ac:dyDescent="0.3">
      <c r="A1176" s="2">
        <v>44275</v>
      </c>
      <c r="B1176">
        <v>2021</v>
      </c>
      <c r="C1176" t="s">
        <v>1075</v>
      </c>
      <c r="D1176" t="s">
        <v>1078</v>
      </c>
    </row>
    <row r="1177" spans="1:4" x14ac:dyDescent="0.3">
      <c r="A1177" s="2">
        <v>44276</v>
      </c>
      <c r="B1177">
        <v>2021</v>
      </c>
      <c r="C1177" t="s">
        <v>1075</v>
      </c>
      <c r="D1177" t="s">
        <v>1078</v>
      </c>
    </row>
    <row r="1178" spans="1:4" x14ac:dyDescent="0.3">
      <c r="A1178" s="2">
        <v>44277</v>
      </c>
      <c r="B1178">
        <v>2021</v>
      </c>
      <c r="C1178" t="s">
        <v>1075</v>
      </c>
      <c r="D1178" t="s">
        <v>1078</v>
      </c>
    </row>
    <row r="1179" spans="1:4" x14ac:dyDescent="0.3">
      <c r="A1179" s="2">
        <v>44278</v>
      </c>
      <c r="B1179">
        <v>2021</v>
      </c>
      <c r="C1179" t="s">
        <v>1075</v>
      </c>
      <c r="D1179" t="s">
        <v>1078</v>
      </c>
    </row>
    <row r="1180" spans="1:4" x14ac:dyDescent="0.3">
      <c r="A1180" s="2">
        <v>44279</v>
      </c>
      <c r="B1180">
        <v>2021</v>
      </c>
      <c r="C1180" t="s">
        <v>1075</v>
      </c>
      <c r="D1180" t="s">
        <v>1078</v>
      </c>
    </row>
    <row r="1181" spans="1:4" x14ac:dyDescent="0.3">
      <c r="A1181" s="2">
        <v>44280</v>
      </c>
      <c r="B1181">
        <v>2021</v>
      </c>
      <c r="C1181" t="s">
        <v>1075</v>
      </c>
      <c r="D1181" t="s">
        <v>1078</v>
      </c>
    </row>
    <row r="1182" spans="1:4" x14ac:dyDescent="0.3">
      <c r="A1182" s="2">
        <v>44281</v>
      </c>
      <c r="B1182">
        <v>2021</v>
      </c>
      <c r="C1182" t="s">
        <v>1075</v>
      </c>
      <c r="D1182" t="s">
        <v>1078</v>
      </c>
    </row>
    <row r="1183" spans="1:4" x14ac:dyDescent="0.3">
      <c r="A1183" s="2">
        <v>44282</v>
      </c>
      <c r="B1183">
        <v>2021</v>
      </c>
      <c r="C1183" t="s">
        <v>1075</v>
      </c>
      <c r="D1183" t="s">
        <v>1078</v>
      </c>
    </row>
    <row r="1184" spans="1:4" x14ac:dyDescent="0.3">
      <c r="A1184" s="2">
        <v>44283</v>
      </c>
      <c r="B1184">
        <v>2021</v>
      </c>
      <c r="C1184" t="s">
        <v>1075</v>
      </c>
      <c r="D1184" t="s">
        <v>1078</v>
      </c>
    </row>
    <row r="1185" spans="1:4" x14ac:dyDescent="0.3">
      <c r="A1185" s="2">
        <v>44284</v>
      </c>
      <c r="B1185">
        <v>2021</v>
      </c>
      <c r="C1185" t="s">
        <v>1075</v>
      </c>
      <c r="D1185" t="s">
        <v>1078</v>
      </c>
    </row>
    <row r="1186" spans="1:4" x14ac:dyDescent="0.3">
      <c r="A1186" s="2">
        <v>44285</v>
      </c>
      <c r="B1186">
        <v>2021</v>
      </c>
      <c r="C1186" t="s">
        <v>1075</v>
      </c>
      <c r="D1186" t="s">
        <v>1078</v>
      </c>
    </row>
    <row r="1187" spans="1:4" x14ac:dyDescent="0.3">
      <c r="A1187" s="2">
        <v>44286</v>
      </c>
      <c r="B1187">
        <v>2021</v>
      </c>
      <c r="C1187" t="s">
        <v>1075</v>
      </c>
      <c r="D1187" t="s">
        <v>1078</v>
      </c>
    </row>
    <row r="1188" spans="1:4" x14ac:dyDescent="0.3">
      <c r="A1188" s="2">
        <v>44287</v>
      </c>
      <c r="B1188">
        <v>2021</v>
      </c>
      <c r="C1188" t="s">
        <v>1079</v>
      </c>
      <c r="D1188" t="s">
        <v>1080</v>
      </c>
    </row>
    <row r="1189" spans="1:4" x14ac:dyDescent="0.3">
      <c r="A1189" s="2">
        <v>44288</v>
      </c>
      <c r="B1189">
        <v>2021</v>
      </c>
      <c r="C1189" t="s">
        <v>1079</v>
      </c>
      <c r="D1189" t="s">
        <v>1080</v>
      </c>
    </row>
    <row r="1190" spans="1:4" x14ac:dyDescent="0.3">
      <c r="A1190" s="2">
        <v>44289</v>
      </c>
      <c r="B1190">
        <v>2021</v>
      </c>
      <c r="C1190" t="s">
        <v>1079</v>
      </c>
      <c r="D1190" t="s">
        <v>1080</v>
      </c>
    </row>
    <row r="1191" spans="1:4" x14ac:dyDescent="0.3">
      <c r="A1191" s="2">
        <v>44290</v>
      </c>
      <c r="B1191">
        <v>2021</v>
      </c>
      <c r="C1191" t="s">
        <v>1079</v>
      </c>
      <c r="D1191" t="s">
        <v>1080</v>
      </c>
    </row>
    <row r="1192" spans="1:4" x14ac:dyDescent="0.3">
      <c r="A1192" s="2">
        <v>44291</v>
      </c>
      <c r="B1192">
        <v>2021</v>
      </c>
      <c r="C1192" t="s">
        <v>1079</v>
      </c>
      <c r="D1192" t="s">
        <v>1080</v>
      </c>
    </row>
    <row r="1193" spans="1:4" x14ac:dyDescent="0.3">
      <c r="A1193" s="2">
        <v>44292</v>
      </c>
      <c r="B1193">
        <v>2021</v>
      </c>
      <c r="C1193" t="s">
        <v>1079</v>
      </c>
      <c r="D1193" t="s">
        <v>1080</v>
      </c>
    </row>
    <row r="1194" spans="1:4" x14ac:dyDescent="0.3">
      <c r="A1194" s="2">
        <v>44293</v>
      </c>
      <c r="B1194">
        <v>2021</v>
      </c>
      <c r="C1194" t="s">
        <v>1079</v>
      </c>
      <c r="D1194" t="s">
        <v>1080</v>
      </c>
    </row>
    <row r="1195" spans="1:4" x14ac:dyDescent="0.3">
      <c r="A1195" s="2">
        <v>44294</v>
      </c>
      <c r="B1195">
        <v>2021</v>
      </c>
      <c r="C1195" t="s">
        <v>1079</v>
      </c>
      <c r="D1195" t="s">
        <v>1080</v>
      </c>
    </row>
    <row r="1196" spans="1:4" x14ac:dyDescent="0.3">
      <c r="A1196" s="2">
        <v>44295</v>
      </c>
      <c r="B1196">
        <v>2021</v>
      </c>
      <c r="C1196" t="s">
        <v>1079</v>
      </c>
      <c r="D1196" t="s">
        <v>1080</v>
      </c>
    </row>
    <row r="1197" spans="1:4" x14ac:dyDescent="0.3">
      <c r="A1197" s="2">
        <v>44296</v>
      </c>
      <c r="B1197">
        <v>2021</v>
      </c>
      <c r="C1197" t="s">
        <v>1079</v>
      </c>
      <c r="D1197" t="s">
        <v>1080</v>
      </c>
    </row>
    <row r="1198" spans="1:4" x14ac:dyDescent="0.3">
      <c r="A1198" s="2">
        <v>44297</v>
      </c>
      <c r="B1198">
        <v>2021</v>
      </c>
      <c r="C1198" t="s">
        <v>1079</v>
      </c>
      <c r="D1198" t="s">
        <v>1080</v>
      </c>
    </row>
    <row r="1199" spans="1:4" x14ac:dyDescent="0.3">
      <c r="A1199" s="2">
        <v>44298</v>
      </c>
      <c r="B1199">
        <v>2021</v>
      </c>
      <c r="C1199" t="s">
        <v>1079</v>
      </c>
      <c r="D1199" t="s">
        <v>1080</v>
      </c>
    </row>
    <row r="1200" spans="1:4" x14ac:dyDescent="0.3">
      <c r="A1200" s="2">
        <v>44299</v>
      </c>
      <c r="B1200">
        <v>2021</v>
      </c>
      <c r="C1200" t="s">
        <v>1079</v>
      </c>
      <c r="D1200" t="s">
        <v>1080</v>
      </c>
    </row>
    <row r="1201" spans="1:4" x14ac:dyDescent="0.3">
      <c r="A1201" s="2">
        <v>44300</v>
      </c>
      <c r="B1201">
        <v>2021</v>
      </c>
      <c r="C1201" t="s">
        <v>1079</v>
      </c>
      <c r="D1201" t="s">
        <v>1080</v>
      </c>
    </row>
    <row r="1202" spans="1:4" x14ac:dyDescent="0.3">
      <c r="A1202" s="2">
        <v>44301</v>
      </c>
      <c r="B1202">
        <v>2021</v>
      </c>
      <c r="C1202" t="s">
        <v>1079</v>
      </c>
      <c r="D1202" t="s">
        <v>1080</v>
      </c>
    </row>
    <row r="1203" spans="1:4" x14ac:dyDescent="0.3">
      <c r="A1203" s="2">
        <v>44302</v>
      </c>
      <c r="B1203">
        <v>2021</v>
      </c>
      <c r="C1203" t="s">
        <v>1079</v>
      </c>
      <c r="D1203" t="s">
        <v>1080</v>
      </c>
    </row>
    <row r="1204" spans="1:4" x14ac:dyDescent="0.3">
      <c r="A1204" s="2">
        <v>44303</v>
      </c>
      <c r="B1204">
        <v>2021</v>
      </c>
      <c r="C1204" t="s">
        <v>1079</v>
      </c>
      <c r="D1204" t="s">
        <v>1080</v>
      </c>
    </row>
    <row r="1205" spans="1:4" x14ac:dyDescent="0.3">
      <c r="A1205" s="2">
        <v>44304</v>
      </c>
      <c r="B1205">
        <v>2021</v>
      </c>
      <c r="C1205" t="s">
        <v>1079</v>
      </c>
      <c r="D1205" t="s">
        <v>1080</v>
      </c>
    </row>
    <row r="1206" spans="1:4" x14ac:dyDescent="0.3">
      <c r="A1206" s="2">
        <v>44305</v>
      </c>
      <c r="B1206">
        <v>2021</v>
      </c>
      <c r="C1206" t="s">
        <v>1079</v>
      </c>
      <c r="D1206" t="s">
        <v>1080</v>
      </c>
    </row>
    <row r="1207" spans="1:4" x14ac:dyDescent="0.3">
      <c r="A1207" s="2">
        <v>44306</v>
      </c>
      <c r="B1207">
        <v>2021</v>
      </c>
      <c r="C1207" t="s">
        <v>1079</v>
      </c>
      <c r="D1207" t="s">
        <v>1080</v>
      </c>
    </row>
    <row r="1208" spans="1:4" x14ac:dyDescent="0.3">
      <c r="A1208" s="2">
        <v>44307</v>
      </c>
      <c r="B1208">
        <v>2021</v>
      </c>
      <c r="C1208" t="s">
        <v>1079</v>
      </c>
      <c r="D1208" t="s">
        <v>1080</v>
      </c>
    </row>
    <row r="1209" spans="1:4" x14ac:dyDescent="0.3">
      <c r="A1209" s="2">
        <v>44308</v>
      </c>
      <c r="B1209">
        <v>2021</v>
      </c>
      <c r="C1209" t="s">
        <v>1079</v>
      </c>
      <c r="D1209" t="s">
        <v>1080</v>
      </c>
    </row>
    <row r="1210" spans="1:4" x14ac:dyDescent="0.3">
      <c r="A1210" s="2">
        <v>44309</v>
      </c>
      <c r="B1210">
        <v>2021</v>
      </c>
      <c r="C1210" t="s">
        <v>1079</v>
      </c>
      <c r="D1210" t="s">
        <v>1080</v>
      </c>
    </row>
    <row r="1211" spans="1:4" x14ac:dyDescent="0.3">
      <c r="A1211" s="2">
        <v>44310</v>
      </c>
      <c r="B1211">
        <v>2021</v>
      </c>
      <c r="C1211" t="s">
        <v>1079</v>
      </c>
      <c r="D1211" t="s">
        <v>1080</v>
      </c>
    </row>
    <row r="1212" spans="1:4" x14ac:dyDescent="0.3">
      <c r="A1212" s="2">
        <v>44311</v>
      </c>
      <c r="B1212">
        <v>2021</v>
      </c>
      <c r="C1212" t="s">
        <v>1079</v>
      </c>
      <c r="D1212" t="s">
        <v>1080</v>
      </c>
    </row>
    <row r="1213" spans="1:4" x14ac:dyDescent="0.3">
      <c r="A1213" s="2">
        <v>44312</v>
      </c>
      <c r="B1213">
        <v>2021</v>
      </c>
      <c r="C1213" t="s">
        <v>1079</v>
      </c>
      <c r="D1213" t="s">
        <v>1080</v>
      </c>
    </row>
    <row r="1214" spans="1:4" x14ac:dyDescent="0.3">
      <c r="A1214" s="2">
        <v>44313</v>
      </c>
      <c r="B1214">
        <v>2021</v>
      </c>
      <c r="C1214" t="s">
        <v>1079</v>
      </c>
      <c r="D1214" t="s">
        <v>1080</v>
      </c>
    </row>
    <row r="1215" spans="1:4" x14ac:dyDescent="0.3">
      <c r="A1215" s="2">
        <v>44314</v>
      </c>
      <c r="B1215">
        <v>2021</v>
      </c>
      <c r="C1215" t="s">
        <v>1079</v>
      </c>
      <c r="D1215" t="s">
        <v>1080</v>
      </c>
    </row>
    <row r="1216" spans="1:4" x14ac:dyDescent="0.3">
      <c r="A1216" s="2">
        <v>44315</v>
      </c>
      <c r="B1216">
        <v>2021</v>
      </c>
      <c r="C1216" t="s">
        <v>1079</v>
      </c>
      <c r="D1216" t="s">
        <v>1080</v>
      </c>
    </row>
    <row r="1217" spans="1:4" x14ac:dyDescent="0.3">
      <c r="A1217" s="2">
        <v>44316</v>
      </c>
      <c r="B1217">
        <v>2021</v>
      </c>
      <c r="C1217" t="s">
        <v>1079</v>
      </c>
      <c r="D1217" t="s">
        <v>1080</v>
      </c>
    </row>
    <row r="1218" spans="1:4" x14ac:dyDescent="0.3">
      <c r="A1218" s="2">
        <v>44317</v>
      </c>
      <c r="B1218">
        <v>2021</v>
      </c>
      <c r="C1218" t="s">
        <v>1079</v>
      </c>
      <c r="D1218" t="s">
        <v>1081</v>
      </c>
    </row>
    <row r="1219" spans="1:4" x14ac:dyDescent="0.3">
      <c r="A1219" s="2">
        <v>44318</v>
      </c>
      <c r="B1219">
        <v>2021</v>
      </c>
      <c r="C1219" t="s">
        <v>1079</v>
      </c>
      <c r="D1219" t="s">
        <v>1081</v>
      </c>
    </row>
    <row r="1220" spans="1:4" x14ac:dyDescent="0.3">
      <c r="A1220" s="2">
        <v>44319</v>
      </c>
      <c r="B1220">
        <v>2021</v>
      </c>
      <c r="C1220" t="s">
        <v>1079</v>
      </c>
      <c r="D1220" t="s">
        <v>1081</v>
      </c>
    </row>
    <row r="1221" spans="1:4" x14ac:dyDescent="0.3">
      <c r="A1221" s="2">
        <v>44320</v>
      </c>
      <c r="B1221">
        <v>2021</v>
      </c>
      <c r="C1221" t="s">
        <v>1079</v>
      </c>
      <c r="D1221" t="s">
        <v>1081</v>
      </c>
    </row>
    <row r="1222" spans="1:4" x14ac:dyDescent="0.3">
      <c r="A1222" s="2">
        <v>44321</v>
      </c>
      <c r="B1222">
        <v>2021</v>
      </c>
      <c r="C1222" t="s">
        <v>1079</v>
      </c>
      <c r="D1222" t="s">
        <v>1081</v>
      </c>
    </row>
    <row r="1223" spans="1:4" x14ac:dyDescent="0.3">
      <c r="A1223" s="2">
        <v>44322</v>
      </c>
      <c r="B1223">
        <v>2021</v>
      </c>
      <c r="C1223" t="s">
        <v>1079</v>
      </c>
      <c r="D1223" t="s">
        <v>1081</v>
      </c>
    </row>
    <row r="1224" spans="1:4" x14ac:dyDescent="0.3">
      <c r="A1224" s="2">
        <v>44323</v>
      </c>
      <c r="B1224">
        <v>2021</v>
      </c>
      <c r="C1224" t="s">
        <v>1079</v>
      </c>
      <c r="D1224" t="s">
        <v>1081</v>
      </c>
    </row>
    <row r="1225" spans="1:4" x14ac:dyDescent="0.3">
      <c r="A1225" s="2">
        <v>44324</v>
      </c>
      <c r="B1225">
        <v>2021</v>
      </c>
      <c r="C1225" t="s">
        <v>1079</v>
      </c>
      <c r="D1225" t="s">
        <v>1081</v>
      </c>
    </row>
    <row r="1226" spans="1:4" x14ac:dyDescent="0.3">
      <c r="A1226" s="2">
        <v>44325</v>
      </c>
      <c r="B1226">
        <v>2021</v>
      </c>
      <c r="C1226" t="s">
        <v>1079</v>
      </c>
      <c r="D1226" t="s">
        <v>1081</v>
      </c>
    </row>
    <row r="1227" spans="1:4" x14ac:dyDescent="0.3">
      <c r="A1227" s="2">
        <v>44326</v>
      </c>
      <c r="B1227">
        <v>2021</v>
      </c>
      <c r="C1227" t="s">
        <v>1079</v>
      </c>
      <c r="D1227" t="s">
        <v>1081</v>
      </c>
    </row>
    <row r="1228" spans="1:4" x14ac:dyDescent="0.3">
      <c r="A1228" s="2">
        <v>44327</v>
      </c>
      <c r="B1228">
        <v>2021</v>
      </c>
      <c r="C1228" t="s">
        <v>1079</v>
      </c>
      <c r="D1228" t="s">
        <v>1081</v>
      </c>
    </row>
    <row r="1229" spans="1:4" x14ac:dyDescent="0.3">
      <c r="A1229" s="2">
        <v>44328</v>
      </c>
      <c r="B1229">
        <v>2021</v>
      </c>
      <c r="C1229" t="s">
        <v>1079</v>
      </c>
      <c r="D1229" t="s">
        <v>1081</v>
      </c>
    </row>
    <row r="1230" spans="1:4" x14ac:dyDescent="0.3">
      <c r="A1230" s="2">
        <v>44329</v>
      </c>
      <c r="B1230">
        <v>2021</v>
      </c>
      <c r="C1230" t="s">
        <v>1079</v>
      </c>
      <c r="D1230" t="s">
        <v>1081</v>
      </c>
    </row>
    <row r="1231" spans="1:4" x14ac:dyDescent="0.3">
      <c r="A1231" s="2">
        <v>44330</v>
      </c>
      <c r="B1231">
        <v>2021</v>
      </c>
      <c r="C1231" t="s">
        <v>1079</v>
      </c>
      <c r="D1231" t="s">
        <v>1081</v>
      </c>
    </row>
    <row r="1232" spans="1:4" x14ac:dyDescent="0.3">
      <c r="A1232" s="2">
        <v>44331</v>
      </c>
      <c r="B1232">
        <v>2021</v>
      </c>
      <c r="C1232" t="s">
        <v>1079</v>
      </c>
      <c r="D1232" t="s">
        <v>1081</v>
      </c>
    </row>
    <row r="1233" spans="1:4" x14ac:dyDescent="0.3">
      <c r="A1233" s="2">
        <v>44332</v>
      </c>
      <c r="B1233">
        <v>2021</v>
      </c>
      <c r="C1233" t="s">
        <v>1079</v>
      </c>
      <c r="D1233" t="s">
        <v>1081</v>
      </c>
    </row>
    <row r="1234" spans="1:4" x14ac:dyDescent="0.3">
      <c r="A1234" s="2">
        <v>44333</v>
      </c>
      <c r="B1234">
        <v>2021</v>
      </c>
      <c r="C1234" t="s">
        <v>1079</v>
      </c>
      <c r="D1234" t="s">
        <v>1081</v>
      </c>
    </row>
    <row r="1235" spans="1:4" x14ac:dyDescent="0.3">
      <c r="A1235" s="2">
        <v>44334</v>
      </c>
      <c r="B1235">
        <v>2021</v>
      </c>
      <c r="C1235" t="s">
        <v>1079</v>
      </c>
      <c r="D1235" t="s">
        <v>1081</v>
      </c>
    </row>
    <row r="1236" spans="1:4" x14ac:dyDescent="0.3">
      <c r="A1236" s="2">
        <v>44335</v>
      </c>
      <c r="B1236">
        <v>2021</v>
      </c>
      <c r="C1236" t="s">
        <v>1079</v>
      </c>
      <c r="D1236" t="s">
        <v>1081</v>
      </c>
    </row>
    <row r="1237" spans="1:4" x14ac:dyDescent="0.3">
      <c r="A1237" s="2">
        <v>44336</v>
      </c>
      <c r="B1237">
        <v>2021</v>
      </c>
      <c r="C1237" t="s">
        <v>1079</v>
      </c>
      <c r="D1237" t="s">
        <v>1081</v>
      </c>
    </row>
    <row r="1238" spans="1:4" x14ac:dyDescent="0.3">
      <c r="A1238" s="2">
        <v>44337</v>
      </c>
      <c r="B1238">
        <v>2021</v>
      </c>
      <c r="C1238" t="s">
        <v>1079</v>
      </c>
      <c r="D1238" t="s">
        <v>1081</v>
      </c>
    </row>
    <row r="1239" spans="1:4" x14ac:dyDescent="0.3">
      <c r="A1239" s="2">
        <v>44338</v>
      </c>
      <c r="B1239">
        <v>2021</v>
      </c>
      <c r="C1239" t="s">
        <v>1079</v>
      </c>
      <c r="D1239" t="s">
        <v>1081</v>
      </c>
    </row>
    <row r="1240" spans="1:4" x14ac:dyDescent="0.3">
      <c r="A1240" s="2">
        <v>44339</v>
      </c>
      <c r="B1240">
        <v>2021</v>
      </c>
      <c r="C1240" t="s">
        <v>1079</v>
      </c>
      <c r="D1240" t="s">
        <v>1081</v>
      </c>
    </row>
    <row r="1241" spans="1:4" x14ac:dyDescent="0.3">
      <c r="A1241" s="2">
        <v>44340</v>
      </c>
      <c r="B1241">
        <v>2021</v>
      </c>
      <c r="C1241" t="s">
        <v>1079</v>
      </c>
      <c r="D1241" t="s">
        <v>1081</v>
      </c>
    </row>
    <row r="1242" spans="1:4" x14ac:dyDescent="0.3">
      <c r="A1242" s="2">
        <v>44341</v>
      </c>
      <c r="B1242">
        <v>2021</v>
      </c>
      <c r="C1242" t="s">
        <v>1079</v>
      </c>
      <c r="D1242" t="s">
        <v>1081</v>
      </c>
    </row>
    <row r="1243" spans="1:4" x14ac:dyDescent="0.3">
      <c r="A1243" s="2">
        <v>44342</v>
      </c>
      <c r="B1243">
        <v>2021</v>
      </c>
      <c r="C1243" t="s">
        <v>1079</v>
      </c>
      <c r="D1243" t="s">
        <v>1081</v>
      </c>
    </row>
    <row r="1244" spans="1:4" x14ac:dyDescent="0.3">
      <c r="A1244" s="2">
        <v>44343</v>
      </c>
      <c r="B1244">
        <v>2021</v>
      </c>
      <c r="C1244" t="s">
        <v>1079</v>
      </c>
      <c r="D1244" t="s">
        <v>1081</v>
      </c>
    </row>
    <row r="1245" spans="1:4" x14ac:dyDescent="0.3">
      <c r="A1245" s="2">
        <v>44344</v>
      </c>
      <c r="B1245">
        <v>2021</v>
      </c>
      <c r="C1245" t="s">
        <v>1079</v>
      </c>
      <c r="D1245" t="s">
        <v>1081</v>
      </c>
    </row>
    <row r="1246" spans="1:4" x14ac:dyDescent="0.3">
      <c r="A1246" s="2">
        <v>44345</v>
      </c>
      <c r="B1246">
        <v>2021</v>
      </c>
      <c r="C1246" t="s">
        <v>1079</v>
      </c>
      <c r="D1246" t="s">
        <v>1081</v>
      </c>
    </row>
    <row r="1247" spans="1:4" x14ac:dyDescent="0.3">
      <c r="A1247" s="2">
        <v>44346</v>
      </c>
      <c r="B1247">
        <v>2021</v>
      </c>
      <c r="C1247" t="s">
        <v>1079</v>
      </c>
      <c r="D1247" t="s">
        <v>1081</v>
      </c>
    </row>
    <row r="1248" spans="1:4" x14ac:dyDescent="0.3">
      <c r="A1248" s="2">
        <v>44347</v>
      </c>
      <c r="B1248">
        <v>2021</v>
      </c>
      <c r="C1248" t="s">
        <v>1079</v>
      </c>
      <c r="D1248" t="s">
        <v>1081</v>
      </c>
    </row>
    <row r="1249" spans="1:4" x14ac:dyDescent="0.3">
      <c r="A1249" s="2">
        <v>44348</v>
      </c>
      <c r="B1249">
        <v>2021</v>
      </c>
      <c r="C1249" t="s">
        <v>1079</v>
      </c>
      <c r="D1249" t="s">
        <v>1082</v>
      </c>
    </row>
    <row r="1250" spans="1:4" x14ac:dyDescent="0.3">
      <c r="A1250" s="2">
        <v>44349</v>
      </c>
      <c r="B1250">
        <v>2021</v>
      </c>
      <c r="C1250" t="s">
        <v>1079</v>
      </c>
      <c r="D1250" t="s">
        <v>1082</v>
      </c>
    </row>
    <row r="1251" spans="1:4" x14ac:dyDescent="0.3">
      <c r="A1251" s="2">
        <v>44350</v>
      </c>
      <c r="B1251">
        <v>2021</v>
      </c>
      <c r="C1251" t="s">
        <v>1079</v>
      </c>
      <c r="D1251" t="s">
        <v>1082</v>
      </c>
    </row>
    <row r="1252" spans="1:4" x14ac:dyDescent="0.3">
      <c r="A1252" s="2">
        <v>44351</v>
      </c>
      <c r="B1252">
        <v>2021</v>
      </c>
      <c r="C1252" t="s">
        <v>1079</v>
      </c>
      <c r="D1252" t="s">
        <v>1082</v>
      </c>
    </row>
    <row r="1253" spans="1:4" x14ac:dyDescent="0.3">
      <c r="A1253" s="2">
        <v>44352</v>
      </c>
      <c r="B1253">
        <v>2021</v>
      </c>
      <c r="C1253" t="s">
        <v>1079</v>
      </c>
      <c r="D1253" t="s">
        <v>1082</v>
      </c>
    </row>
    <row r="1254" spans="1:4" x14ac:dyDescent="0.3">
      <c r="A1254" s="2">
        <v>44353</v>
      </c>
      <c r="B1254">
        <v>2021</v>
      </c>
      <c r="C1254" t="s">
        <v>1079</v>
      </c>
      <c r="D1254" t="s">
        <v>1082</v>
      </c>
    </row>
    <row r="1255" spans="1:4" x14ac:dyDescent="0.3">
      <c r="A1255" s="2">
        <v>44354</v>
      </c>
      <c r="B1255">
        <v>2021</v>
      </c>
      <c r="C1255" t="s">
        <v>1079</v>
      </c>
      <c r="D1255" t="s">
        <v>1082</v>
      </c>
    </row>
    <row r="1256" spans="1:4" x14ac:dyDescent="0.3">
      <c r="A1256" s="2">
        <v>44355</v>
      </c>
      <c r="B1256">
        <v>2021</v>
      </c>
      <c r="C1256" t="s">
        <v>1079</v>
      </c>
      <c r="D1256" t="s">
        <v>1082</v>
      </c>
    </row>
    <row r="1257" spans="1:4" x14ac:dyDescent="0.3">
      <c r="A1257" s="2">
        <v>44356</v>
      </c>
      <c r="B1257">
        <v>2021</v>
      </c>
      <c r="C1257" t="s">
        <v>1079</v>
      </c>
      <c r="D1257" t="s">
        <v>1082</v>
      </c>
    </row>
    <row r="1258" spans="1:4" x14ac:dyDescent="0.3">
      <c r="A1258" s="2">
        <v>44357</v>
      </c>
      <c r="B1258">
        <v>2021</v>
      </c>
      <c r="C1258" t="s">
        <v>1079</v>
      </c>
      <c r="D1258" t="s">
        <v>1082</v>
      </c>
    </row>
    <row r="1259" spans="1:4" x14ac:dyDescent="0.3">
      <c r="A1259" s="2">
        <v>44358</v>
      </c>
      <c r="B1259">
        <v>2021</v>
      </c>
      <c r="C1259" t="s">
        <v>1079</v>
      </c>
      <c r="D1259" t="s">
        <v>1082</v>
      </c>
    </row>
    <row r="1260" spans="1:4" x14ac:dyDescent="0.3">
      <c r="A1260" s="2">
        <v>44359</v>
      </c>
      <c r="B1260">
        <v>2021</v>
      </c>
      <c r="C1260" t="s">
        <v>1079</v>
      </c>
      <c r="D1260" t="s">
        <v>1082</v>
      </c>
    </row>
    <row r="1261" spans="1:4" x14ac:dyDescent="0.3">
      <c r="A1261" s="2">
        <v>44360</v>
      </c>
      <c r="B1261">
        <v>2021</v>
      </c>
      <c r="C1261" t="s">
        <v>1079</v>
      </c>
      <c r="D1261" t="s">
        <v>1082</v>
      </c>
    </row>
    <row r="1262" spans="1:4" x14ac:dyDescent="0.3">
      <c r="A1262" s="2">
        <v>44361</v>
      </c>
      <c r="B1262">
        <v>2021</v>
      </c>
      <c r="C1262" t="s">
        <v>1079</v>
      </c>
      <c r="D1262" t="s">
        <v>1082</v>
      </c>
    </row>
    <row r="1263" spans="1:4" x14ac:dyDescent="0.3">
      <c r="A1263" s="2">
        <v>44362</v>
      </c>
      <c r="B1263">
        <v>2021</v>
      </c>
      <c r="C1263" t="s">
        <v>1079</v>
      </c>
      <c r="D1263" t="s">
        <v>1082</v>
      </c>
    </row>
    <row r="1264" spans="1:4" x14ac:dyDescent="0.3">
      <c r="A1264" s="2">
        <v>44363</v>
      </c>
      <c r="B1264">
        <v>2021</v>
      </c>
      <c r="C1264" t="s">
        <v>1079</v>
      </c>
      <c r="D1264" t="s">
        <v>1082</v>
      </c>
    </row>
    <row r="1265" spans="1:4" x14ac:dyDescent="0.3">
      <c r="A1265" s="2">
        <v>44364</v>
      </c>
      <c r="B1265">
        <v>2021</v>
      </c>
      <c r="C1265" t="s">
        <v>1079</v>
      </c>
      <c r="D1265" t="s">
        <v>1082</v>
      </c>
    </row>
    <row r="1266" spans="1:4" x14ac:dyDescent="0.3">
      <c r="A1266" s="2">
        <v>44365</v>
      </c>
      <c r="B1266">
        <v>2021</v>
      </c>
      <c r="C1266" t="s">
        <v>1079</v>
      </c>
      <c r="D1266" t="s">
        <v>1082</v>
      </c>
    </row>
    <row r="1267" spans="1:4" x14ac:dyDescent="0.3">
      <c r="A1267" s="2">
        <v>44366</v>
      </c>
      <c r="B1267">
        <v>2021</v>
      </c>
      <c r="C1267" t="s">
        <v>1079</v>
      </c>
      <c r="D1267" t="s">
        <v>1082</v>
      </c>
    </row>
    <row r="1268" spans="1:4" x14ac:dyDescent="0.3">
      <c r="A1268" s="2">
        <v>44367</v>
      </c>
      <c r="B1268">
        <v>2021</v>
      </c>
      <c r="C1268" t="s">
        <v>1079</v>
      </c>
      <c r="D1268" t="s">
        <v>1082</v>
      </c>
    </row>
    <row r="1269" spans="1:4" x14ac:dyDescent="0.3">
      <c r="A1269" s="2">
        <v>44368</v>
      </c>
      <c r="B1269">
        <v>2021</v>
      </c>
      <c r="C1269" t="s">
        <v>1079</v>
      </c>
      <c r="D1269" t="s">
        <v>1082</v>
      </c>
    </row>
    <row r="1270" spans="1:4" x14ac:dyDescent="0.3">
      <c r="A1270" s="2">
        <v>44369</v>
      </c>
      <c r="B1270">
        <v>2021</v>
      </c>
      <c r="C1270" t="s">
        <v>1079</v>
      </c>
      <c r="D1270" t="s">
        <v>1082</v>
      </c>
    </row>
    <row r="1271" spans="1:4" x14ac:dyDescent="0.3">
      <c r="A1271" s="2">
        <v>44370</v>
      </c>
      <c r="B1271">
        <v>2021</v>
      </c>
      <c r="C1271" t="s">
        <v>1079</v>
      </c>
      <c r="D1271" t="s">
        <v>1082</v>
      </c>
    </row>
    <row r="1272" spans="1:4" x14ac:dyDescent="0.3">
      <c r="A1272" s="2">
        <v>44371</v>
      </c>
      <c r="B1272">
        <v>2021</v>
      </c>
      <c r="C1272" t="s">
        <v>1079</v>
      </c>
      <c r="D1272" t="s">
        <v>1082</v>
      </c>
    </row>
    <row r="1273" spans="1:4" x14ac:dyDescent="0.3">
      <c r="A1273" s="2">
        <v>44372</v>
      </c>
      <c r="B1273">
        <v>2021</v>
      </c>
      <c r="C1273" t="s">
        <v>1079</v>
      </c>
      <c r="D1273" t="s">
        <v>1082</v>
      </c>
    </row>
    <row r="1274" spans="1:4" x14ac:dyDescent="0.3">
      <c r="A1274" s="2">
        <v>44373</v>
      </c>
      <c r="B1274">
        <v>2021</v>
      </c>
      <c r="C1274" t="s">
        <v>1079</v>
      </c>
      <c r="D1274" t="s">
        <v>1082</v>
      </c>
    </row>
    <row r="1275" spans="1:4" x14ac:dyDescent="0.3">
      <c r="A1275" s="2">
        <v>44374</v>
      </c>
      <c r="B1275">
        <v>2021</v>
      </c>
      <c r="C1275" t="s">
        <v>1079</v>
      </c>
      <c r="D1275" t="s">
        <v>1082</v>
      </c>
    </row>
    <row r="1276" spans="1:4" x14ac:dyDescent="0.3">
      <c r="A1276" s="2">
        <v>44375</v>
      </c>
      <c r="B1276">
        <v>2021</v>
      </c>
      <c r="C1276" t="s">
        <v>1079</v>
      </c>
      <c r="D1276" t="s">
        <v>1082</v>
      </c>
    </row>
    <row r="1277" spans="1:4" x14ac:dyDescent="0.3">
      <c r="A1277" s="2">
        <v>44376</v>
      </c>
      <c r="B1277">
        <v>2021</v>
      </c>
      <c r="C1277" t="s">
        <v>1079</v>
      </c>
      <c r="D1277" t="s">
        <v>1082</v>
      </c>
    </row>
    <row r="1278" spans="1:4" x14ac:dyDescent="0.3">
      <c r="A1278" s="2">
        <v>44377</v>
      </c>
      <c r="B1278">
        <v>2021</v>
      </c>
      <c r="C1278" t="s">
        <v>1079</v>
      </c>
      <c r="D1278" t="s">
        <v>1082</v>
      </c>
    </row>
    <row r="1279" spans="1:4" x14ac:dyDescent="0.3">
      <c r="A1279" s="2">
        <v>44378</v>
      </c>
      <c r="B1279">
        <v>2021</v>
      </c>
      <c r="C1279" t="s">
        <v>1083</v>
      </c>
      <c r="D1279" t="s">
        <v>1084</v>
      </c>
    </row>
    <row r="1280" spans="1:4" x14ac:dyDescent="0.3">
      <c r="A1280" s="2">
        <v>44379</v>
      </c>
      <c r="B1280">
        <v>2021</v>
      </c>
      <c r="C1280" t="s">
        <v>1083</v>
      </c>
      <c r="D1280" t="s">
        <v>1084</v>
      </c>
    </row>
    <row r="1281" spans="1:4" x14ac:dyDescent="0.3">
      <c r="A1281" s="2">
        <v>44380</v>
      </c>
      <c r="B1281">
        <v>2021</v>
      </c>
      <c r="C1281" t="s">
        <v>1083</v>
      </c>
      <c r="D1281" t="s">
        <v>1084</v>
      </c>
    </row>
    <row r="1282" spans="1:4" x14ac:dyDescent="0.3">
      <c r="A1282" s="2">
        <v>44381</v>
      </c>
      <c r="B1282">
        <v>2021</v>
      </c>
      <c r="C1282" t="s">
        <v>1083</v>
      </c>
      <c r="D1282" t="s">
        <v>1084</v>
      </c>
    </row>
    <row r="1283" spans="1:4" x14ac:dyDescent="0.3">
      <c r="A1283" s="2">
        <v>44382</v>
      </c>
      <c r="B1283">
        <v>2021</v>
      </c>
      <c r="C1283" t="s">
        <v>1083</v>
      </c>
      <c r="D1283" t="s">
        <v>1084</v>
      </c>
    </row>
    <row r="1284" spans="1:4" x14ac:dyDescent="0.3">
      <c r="A1284" s="2">
        <v>44383</v>
      </c>
      <c r="B1284">
        <v>2021</v>
      </c>
      <c r="C1284" t="s">
        <v>1083</v>
      </c>
      <c r="D1284" t="s">
        <v>1084</v>
      </c>
    </row>
    <row r="1285" spans="1:4" x14ac:dyDescent="0.3">
      <c r="A1285" s="2">
        <v>44384</v>
      </c>
      <c r="B1285">
        <v>2021</v>
      </c>
      <c r="C1285" t="s">
        <v>1083</v>
      </c>
      <c r="D1285" t="s">
        <v>1084</v>
      </c>
    </row>
    <row r="1286" spans="1:4" x14ac:dyDescent="0.3">
      <c r="A1286" s="2">
        <v>44385</v>
      </c>
      <c r="B1286">
        <v>2021</v>
      </c>
      <c r="C1286" t="s">
        <v>1083</v>
      </c>
      <c r="D1286" t="s">
        <v>1084</v>
      </c>
    </row>
    <row r="1287" spans="1:4" x14ac:dyDescent="0.3">
      <c r="A1287" s="2">
        <v>44386</v>
      </c>
      <c r="B1287">
        <v>2021</v>
      </c>
      <c r="C1287" t="s">
        <v>1083</v>
      </c>
      <c r="D1287" t="s">
        <v>1084</v>
      </c>
    </row>
    <row r="1288" spans="1:4" x14ac:dyDescent="0.3">
      <c r="A1288" s="2">
        <v>44387</v>
      </c>
      <c r="B1288">
        <v>2021</v>
      </c>
      <c r="C1288" t="s">
        <v>1083</v>
      </c>
      <c r="D1288" t="s">
        <v>1084</v>
      </c>
    </row>
    <row r="1289" spans="1:4" x14ac:dyDescent="0.3">
      <c r="A1289" s="2">
        <v>44388</v>
      </c>
      <c r="B1289">
        <v>2021</v>
      </c>
      <c r="C1289" t="s">
        <v>1083</v>
      </c>
      <c r="D1289" t="s">
        <v>1084</v>
      </c>
    </row>
    <row r="1290" spans="1:4" x14ac:dyDescent="0.3">
      <c r="A1290" s="2">
        <v>44389</v>
      </c>
      <c r="B1290">
        <v>2021</v>
      </c>
      <c r="C1290" t="s">
        <v>1083</v>
      </c>
      <c r="D1290" t="s">
        <v>1084</v>
      </c>
    </row>
    <row r="1291" spans="1:4" x14ac:dyDescent="0.3">
      <c r="A1291" s="2">
        <v>44390</v>
      </c>
      <c r="B1291">
        <v>2021</v>
      </c>
      <c r="C1291" t="s">
        <v>1083</v>
      </c>
      <c r="D1291" t="s">
        <v>1084</v>
      </c>
    </row>
    <row r="1292" spans="1:4" x14ac:dyDescent="0.3">
      <c r="A1292" s="2">
        <v>44391</v>
      </c>
      <c r="B1292">
        <v>2021</v>
      </c>
      <c r="C1292" t="s">
        <v>1083</v>
      </c>
      <c r="D1292" t="s">
        <v>1084</v>
      </c>
    </row>
    <row r="1293" spans="1:4" x14ac:dyDescent="0.3">
      <c r="A1293" s="2">
        <v>44392</v>
      </c>
      <c r="B1293">
        <v>2021</v>
      </c>
      <c r="C1293" t="s">
        <v>1083</v>
      </c>
      <c r="D1293" t="s">
        <v>1084</v>
      </c>
    </row>
    <row r="1294" spans="1:4" x14ac:dyDescent="0.3">
      <c r="A1294" s="2">
        <v>44393</v>
      </c>
      <c r="B1294">
        <v>2021</v>
      </c>
      <c r="C1294" t="s">
        <v>1083</v>
      </c>
      <c r="D1294" t="s">
        <v>1084</v>
      </c>
    </row>
    <row r="1295" spans="1:4" x14ac:dyDescent="0.3">
      <c r="A1295" s="2">
        <v>44394</v>
      </c>
      <c r="B1295">
        <v>2021</v>
      </c>
      <c r="C1295" t="s">
        <v>1083</v>
      </c>
      <c r="D1295" t="s">
        <v>1084</v>
      </c>
    </row>
    <row r="1296" spans="1:4" x14ac:dyDescent="0.3">
      <c r="A1296" s="2">
        <v>44395</v>
      </c>
      <c r="B1296">
        <v>2021</v>
      </c>
      <c r="C1296" t="s">
        <v>1083</v>
      </c>
      <c r="D1296" t="s">
        <v>1084</v>
      </c>
    </row>
    <row r="1297" spans="1:4" x14ac:dyDescent="0.3">
      <c r="A1297" s="2">
        <v>44396</v>
      </c>
      <c r="B1297">
        <v>2021</v>
      </c>
      <c r="C1297" t="s">
        <v>1083</v>
      </c>
      <c r="D1297" t="s">
        <v>1084</v>
      </c>
    </row>
    <row r="1298" spans="1:4" x14ac:dyDescent="0.3">
      <c r="A1298" s="2">
        <v>44397</v>
      </c>
      <c r="B1298">
        <v>2021</v>
      </c>
      <c r="C1298" t="s">
        <v>1083</v>
      </c>
      <c r="D1298" t="s">
        <v>1084</v>
      </c>
    </row>
    <row r="1299" spans="1:4" x14ac:dyDescent="0.3">
      <c r="A1299" s="2">
        <v>44398</v>
      </c>
      <c r="B1299">
        <v>2021</v>
      </c>
      <c r="C1299" t="s">
        <v>1083</v>
      </c>
      <c r="D1299" t="s">
        <v>1084</v>
      </c>
    </row>
    <row r="1300" spans="1:4" x14ac:dyDescent="0.3">
      <c r="A1300" s="2">
        <v>44399</v>
      </c>
      <c r="B1300">
        <v>2021</v>
      </c>
      <c r="C1300" t="s">
        <v>1083</v>
      </c>
      <c r="D1300" t="s">
        <v>1084</v>
      </c>
    </row>
    <row r="1301" spans="1:4" x14ac:dyDescent="0.3">
      <c r="A1301" s="2">
        <v>44400</v>
      </c>
      <c r="B1301">
        <v>2021</v>
      </c>
      <c r="C1301" t="s">
        <v>1083</v>
      </c>
      <c r="D1301" t="s">
        <v>1084</v>
      </c>
    </row>
    <row r="1302" spans="1:4" x14ac:dyDescent="0.3">
      <c r="A1302" s="2">
        <v>44401</v>
      </c>
      <c r="B1302">
        <v>2021</v>
      </c>
      <c r="C1302" t="s">
        <v>1083</v>
      </c>
      <c r="D1302" t="s">
        <v>1084</v>
      </c>
    </row>
    <row r="1303" spans="1:4" x14ac:dyDescent="0.3">
      <c r="A1303" s="2">
        <v>44402</v>
      </c>
      <c r="B1303">
        <v>2021</v>
      </c>
      <c r="C1303" t="s">
        <v>1083</v>
      </c>
      <c r="D1303" t="s">
        <v>1084</v>
      </c>
    </row>
    <row r="1304" spans="1:4" x14ac:dyDescent="0.3">
      <c r="A1304" s="2">
        <v>44403</v>
      </c>
      <c r="B1304">
        <v>2021</v>
      </c>
      <c r="C1304" t="s">
        <v>1083</v>
      </c>
      <c r="D1304" t="s">
        <v>1084</v>
      </c>
    </row>
    <row r="1305" spans="1:4" x14ac:dyDescent="0.3">
      <c r="A1305" s="2">
        <v>44404</v>
      </c>
      <c r="B1305">
        <v>2021</v>
      </c>
      <c r="C1305" t="s">
        <v>1083</v>
      </c>
      <c r="D1305" t="s">
        <v>1084</v>
      </c>
    </row>
    <row r="1306" spans="1:4" x14ac:dyDescent="0.3">
      <c r="A1306" s="2">
        <v>44405</v>
      </c>
      <c r="B1306">
        <v>2021</v>
      </c>
      <c r="C1306" t="s">
        <v>1083</v>
      </c>
      <c r="D1306" t="s">
        <v>1084</v>
      </c>
    </row>
    <row r="1307" spans="1:4" x14ac:dyDescent="0.3">
      <c r="A1307" s="2">
        <v>44406</v>
      </c>
      <c r="B1307">
        <v>2021</v>
      </c>
      <c r="C1307" t="s">
        <v>1083</v>
      </c>
      <c r="D1307" t="s">
        <v>1084</v>
      </c>
    </row>
    <row r="1308" spans="1:4" x14ac:dyDescent="0.3">
      <c r="A1308" s="2">
        <v>44407</v>
      </c>
      <c r="B1308">
        <v>2021</v>
      </c>
      <c r="C1308" t="s">
        <v>1083</v>
      </c>
      <c r="D1308" t="s">
        <v>1084</v>
      </c>
    </row>
    <row r="1309" spans="1:4" x14ac:dyDescent="0.3">
      <c r="A1309" s="2">
        <v>44408</v>
      </c>
      <c r="B1309">
        <v>2021</v>
      </c>
      <c r="C1309" t="s">
        <v>1083</v>
      </c>
      <c r="D1309" t="s">
        <v>1084</v>
      </c>
    </row>
    <row r="1310" spans="1:4" x14ac:dyDescent="0.3">
      <c r="A1310" s="2">
        <v>44409</v>
      </c>
      <c r="B1310">
        <v>2021</v>
      </c>
      <c r="C1310" t="s">
        <v>1083</v>
      </c>
      <c r="D1310" t="s">
        <v>1085</v>
      </c>
    </row>
    <row r="1311" spans="1:4" x14ac:dyDescent="0.3">
      <c r="A1311" s="2">
        <v>44410</v>
      </c>
      <c r="B1311">
        <v>2021</v>
      </c>
      <c r="C1311" t="s">
        <v>1083</v>
      </c>
      <c r="D1311" t="s">
        <v>1085</v>
      </c>
    </row>
    <row r="1312" spans="1:4" x14ac:dyDescent="0.3">
      <c r="A1312" s="2">
        <v>44411</v>
      </c>
      <c r="B1312">
        <v>2021</v>
      </c>
      <c r="C1312" t="s">
        <v>1083</v>
      </c>
      <c r="D1312" t="s">
        <v>1085</v>
      </c>
    </row>
    <row r="1313" spans="1:4" x14ac:dyDescent="0.3">
      <c r="A1313" s="2">
        <v>44412</v>
      </c>
      <c r="B1313">
        <v>2021</v>
      </c>
      <c r="C1313" t="s">
        <v>1083</v>
      </c>
      <c r="D1313" t="s">
        <v>1085</v>
      </c>
    </row>
    <row r="1314" spans="1:4" x14ac:dyDescent="0.3">
      <c r="A1314" s="2">
        <v>44413</v>
      </c>
      <c r="B1314">
        <v>2021</v>
      </c>
      <c r="C1314" t="s">
        <v>1083</v>
      </c>
      <c r="D1314" t="s">
        <v>1085</v>
      </c>
    </row>
    <row r="1315" spans="1:4" x14ac:dyDescent="0.3">
      <c r="A1315" s="2">
        <v>44414</v>
      </c>
      <c r="B1315">
        <v>2021</v>
      </c>
      <c r="C1315" t="s">
        <v>1083</v>
      </c>
      <c r="D1315" t="s">
        <v>1085</v>
      </c>
    </row>
    <row r="1316" spans="1:4" x14ac:dyDescent="0.3">
      <c r="A1316" s="2">
        <v>44415</v>
      </c>
      <c r="B1316">
        <v>2021</v>
      </c>
      <c r="C1316" t="s">
        <v>1083</v>
      </c>
      <c r="D1316" t="s">
        <v>1085</v>
      </c>
    </row>
    <row r="1317" spans="1:4" x14ac:dyDescent="0.3">
      <c r="A1317" s="2">
        <v>44416</v>
      </c>
      <c r="B1317">
        <v>2021</v>
      </c>
      <c r="C1317" t="s">
        <v>1083</v>
      </c>
      <c r="D1317" t="s">
        <v>1085</v>
      </c>
    </row>
    <row r="1318" spans="1:4" x14ac:dyDescent="0.3">
      <c r="A1318" s="2">
        <v>44417</v>
      </c>
      <c r="B1318">
        <v>2021</v>
      </c>
      <c r="C1318" t="s">
        <v>1083</v>
      </c>
      <c r="D1318" t="s">
        <v>1085</v>
      </c>
    </row>
    <row r="1319" spans="1:4" x14ac:dyDescent="0.3">
      <c r="A1319" s="2">
        <v>44418</v>
      </c>
      <c r="B1319">
        <v>2021</v>
      </c>
      <c r="C1319" t="s">
        <v>1083</v>
      </c>
      <c r="D1319" t="s">
        <v>1085</v>
      </c>
    </row>
    <row r="1320" spans="1:4" x14ac:dyDescent="0.3">
      <c r="A1320" s="2">
        <v>44419</v>
      </c>
      <c r="B1320">
        <v>2021</v>
      </c>
      <c r="C1320" t="s">
        <v>1083</v>
      </c>
      <c r="D1320" t="s">
        <v>1085</v>
      </c>
    </row>
    <row r="1321" spans="1:4" x14ac:dyDescent="0.3">
      <c r="A1321" s="2">
        <v>44420</v>
      </c>
      <c r="B1321">
        <v>2021</v>
      </c>
      <c r="C1321" t="s">
        <v>1083</v>
      </c>
      <c r="D1321" t="s">
        <v>1085</v>
      </c>
    </row>
    <row r="1322" spans="1:4" x14ac:dyDescent="0.3">
      <c r="A1322" s="2">
        <v>44421</v>
      </c>
      <c r="B1322">
        <v>2021</v>
      </c>
      <c r="C1322" t="s">
        <v>1083</v>
      </c>
      <c r="D1322" t="s">
        <v>1085</v>
      </c>
    </row>
    <row r="1323" spans="1:4" x14ac:dyDescent="0.3">
      <c r="A1323" s="2">
        <v>44422</v>
      </c>
      <c r="B1323">
        <v>2021</v>
      </c>
      <c r="C1323" t="s">
        <v>1083</v>
      </c>
      <c r="D1323" t="s">
        <v>1085</v>
      </c>
    </row>
    <row r="1324" spans="1:4" x14ac:dyDescent="0.3">
      <c r="A1324" s="2">
        <v>44423</v>
      </c>
      <c r="B1324">
        <v>2021</v>
      </c>
      <c r="C1324" t="s">
        <v>1083</v>
      </c>
      <c r="D1324" t="s">
        <v>1085</v>
      </c>
    </row>
    <row r="1325" spans="1:4" x14ac:dyDescent="0.3">
      <c r="A1325" s="2">
        <v>44424</v>
      </c>
      <c r="B1325">
        <v>2021</v>
      </c>
      <c r="C1325" t="s">
        <v>1083</v>
      </c>
      <c r="D1325" t="s">
        <v>1085</v>
      </c>
    </row>
    <row r="1326" spans="1:4" x14ac:dyDescent="0.3">
      <c r="A1326" s="2">
        <v>44425</v>
      </c>
      <c r="B1326">
        <v>2021</v>
      </c>
      <c r="C1326" t="s">
        <v>1083</v>
      </c>
      <c r="D1326" t="s">
        <v>1085</v>
      </c>
    </row>
    <row r="1327" spans="1:4" x14ac:dyDescent="0.3">
      <c r="A1327" s="2">
        <v>44426</v>
      </c>
      <c r="B1327">
        <v>2021</v>
      </c>
      <c r="C1327" t="s">
        <v>1083</v>
      </c>
      <c r="D1327" t="s">
        <v>1085</v>
      </c>
    </row>
    <row r="1328" spans="1:4" x14ac:dyDescent="0.3">
      <c r="A1328" s="2">
        <v>44427</v>
      </c>
      <c r="B1328">
        <v>2021</v>
      </c>
      <c r="C1328" t="s">
        <v>1083</v>
      </c>
      <c r="D1328" t="s">
        <v>1085</v>
      </c>
    </row>
    <row r="1329" spans="1:4" x14ac:dyDescent="0.3">
      <c r="A1329" s="2">
        <v>44428</v>
      </c>
      <c r="B1329">
        <v>2021</v>
      </c>
      <c r="C1329" t="s">
        <v>1083</v>
      </c>
      <c r="D1329" t="s">
        <v>1085</v>
      </c>
    </row>
    <row r="1330" spans="1:4" x14ac:dyDescent="0.3">
      <c r="A1330" s="2">
        <v>44429</v>
      </c>
      <c r="B1330">
        <v>2021</v>
      </c>
      <c r="C1330" t="s">
        <v>1083</v>
      </c>
      <c r="D1330" t="s">
        <v>1085</v>
      </c>
    </row>
    <row r="1331" spans="1:4" x14ac:dyDescent="0.3">
      <c r="A1331" s="2">
        <v>44430</v>
      </c>
      <c r="B1331">
        <v>2021</v>
      </c>
      <c r="C1331" t="s">
        <v>1083</v>
      </c>
      <c r="D1331" t="s">
        <v>1085</v>
      </c>
    </row>
    <row r="1332" spans="1:4" x14ac:dyDescent="0.3">
      <c r="A1332" s="2">
        <v>44431</v>
      </c>
      <c r="B1332">
        <v>2021</v>
      </c>
      <c r="C1332" t="s">
        <v>1083</v>
      </c>
      <c r="D1332" t="s">
        <v>1085</v>
      </c>
    </row>
    <row r="1333" spans="1:4" x14ac:dyDescent="0.3">
      <c r="A1333" s="2">
        <v>44432</v>
      </c>
      <c r="B1333">
        <v>2021</v>
      </c>
      <c r="C1333" t="s">
        <v>1083</v>
      </c>
      <c r="D1333" t="s">
        <v>1085</v>
      </c>
    </row>
    <row r="1334" spans="1:4" x14ac:dyDescent="0.3">
      <c r="A1334" s="2">
        <v>44433</v>
      </c>
      <c r="B1334">
        <v>2021</v>
      </c>
      <c r="C1334" t="s">
        <v>1083</v>
      </c>
      <c r="D1334" t="s">
        <v>1085</v>
      </c>
    </row>
    <row r="1335" spans="1:4" x14ac:dyDescent="0.3">
      <c r="A1335" s="2">
        <v>44434</v>
      </c>
      <c r="B1335">
        <v>2021</v>
      </c>
      <c r="C1335" t="s">
        <v>1083</v>
      </c>
      <c r="D1335" t="s">
        <v>1085</v>
      </c>
    </row>
    <row r="1336" spans="1:4" x14ac:dyDescent="0.3">
      <c r="A1336" s="2">
        <v>44435</v>
      </c>
      <c r="B1336">
        <v>2021</v>
      </c>
      <c r="C1336" t="s">
        <v>1083</v>
      </c>
      <c r="D1336" t="s">
        <v>1085</v>
      </c>
    </row>
    <row r="1337" spans="1:4" x14ac:dyDescent="0.3">
      <c r="A1337" s="2">
        <v>44436</v>
      </c>
      <c r="B1337">
        <v>2021</v>
      </c>
      <c r="C1337" t="s">
        <v>1083</v>
      </c>
      <c r="D1337" t="s">
        <v>1085</v>
      </c>
    </row>
    <row r="1338" spans="1:4" x14ac:dyDescent="0.3">
      <c r="A1338" s="2">
        <v>44437</v>
      </c>
      <c r="B1338">
        <v>2021</v>
      </c>
      <c r="C1338" t="s">
        <v>1083</v>
      </c>
      <c r="D1338" t="s">
        <v>1085</v>
      </c>
    </row>
    <row r="1339" spans="1:4" x14ac:dyDescent="0.3">
      <c r="A1339" s="2">
        <v>44438</v>
      </c>
      <c r="B1339">
        <v>2021</v>
      </c>
      <c r="C1339" t="s">
        <v>1083</v>
      </c>
      <c r="D1339" t="s">
        <v>1085</v>
      </c>
    </row>
    <row r="1340" spans="1:4" x14ac:dyDescent="0.3">
      <c r="A1340" s="2">
        <v>44439</v>
      </c>
      <c r="B1340">
        <v>2021</v>
      </c>
      <c r="C1340" t="s">
        <v>1083</v>
      </c>
      <c r="D1340" t="s">
        <v>1085</v>
      </c>
    </row>
    <row r="1341" spans="1:4" x14ac:dyDescent="0.3">
      <c r="A1341" s="2">
        <v>44440</v>
      </c>
      <c r="B1341">
        <v>2021</v>
      </c>
      <c r="C1341" t="s">
        <v>1083</v>
      </c>
      <c r="D1341" t="s">
        <v>1086</v>
      </c>
    </row>
    <row r="1342" spans="1:4" x14ac:dyDescent="0.3">
      <c r="A1342" s="2">
        <v>44441</v>
      </c>
      <c r="B1342">
        <v>2021</v>
      </c>
      <c r="C1342" t="s">
        <v>1083</v>
      </c>
      <c r="D1342" t="s">
        <v>1086</v>
      </c>
    </row>
    <row r="1343" spans="1:4" x14ac:dyDescent="0.3">
      <c r="A1343" s="2">
        <v>44442</v>
      </c>
      <c r="B1343">
        <v>2021</v>
      </c>
      <c r="C1343" t="s">
        <v>1083</v>
      </c>
      <c r="D1343" t="s">
        <v>1086</v>
      </c>
    </row>
    <row r="1344" spans="1:4" x14ac:dyDescent="0.3">
      <c r="A1344" s="2">
        <v>44443</v>
      </c>
      <c r="B1344">
        <v>2021</v>
      </c>
      <c r="C1344" t="s">
        <v>1083</v>
      </c>
      <c r="D1344" t="s">
        <v>1086</v>
      </c>
    </row>
    <row r="1345" spans="1:4" x14ac:dyDescent="0.3">
      <c r="A1345" s="2">
        <v>44444</v>
      </c>
      <c r="B1345">
        <v>2021</v>
      </c>
      <c r="C1345" t="s">
        <v>1083</v>
      </c>
      <c r="D1345" t="s">
        <v>1086</v>
      </c>
    </row>
    <row r="1346" spans="1:4" x14ac:dyDescent="0.3">
      <c r="A1346" s="2">
        <v>44445</v>
      </c>
      <c r="B1346">
        <v>2021</v>
      </c>
      <c r="C1346" t="s">
        <v>1083</v>
      </c>
      <c r="D1346" t="s">
        <v>1086</v>
      </c>
    </row>
    <row r="1347" spans="1:4" x14ac:dyDescent="0.3">
      <c r="A1347" s="2">
        <v>44446</v>
      </c>
      <c r="B1347">
        <v>2021</v>
      </c>
      <c r="C1347" t="s">
        <v>1083</v>
      </c>
      <c r="D1347" t="s">
        <v>1086</v>
      </c>
    </row>
    <row r="1348" spans="1:4" x14ac:dyDescent="0.3">
      <c r="A1348" s="2">
        <v>44447</v>
      </c>
      <c r="B1348">
        <v>2021</v>
      </c>
      <c r="C1348" t="s">
        <v>1083</v>
      </c>
      <c r="D1348" t="s">
        <v>1086</v>
      </c>
    </row>
    <row r="1349" spans="1:4" x14ac:dyDescent="0.3">
      <c r="A1349" s="2">
        <v>44448</v>
      </c>
      <c r="B1349">
        <v>2021</v>
      </c>
      <c r="C1349" t="s">
        <v>1083</v>
      </c>
      <c r="D1349" t="s">
        <v>1086</v>
      </c>
    </row>
    <row r="1350" spans="1:4" x14ac:dyDescent="0.3">
      <c r="A1350" s="2">
        <v>44449</v>
      </c>
      <c r="B1350">
        <v>2021</v>
      </c>
      <c r="C1350" t="s">
        <v>1083</v>
      </c>
      <c r="D1350" t="s">
        <v>1086</v>
      </c>
    </row>
    <row r="1351" spans="1:4" x14ac:dyDescent="0.3">
      <c r="A1351" s="2">
        <v>44450</v>
      </c>
      <c r="B1351">
        <v>2021</v>
      </c>
      <c r="C1351" t="s">
        <v>1083</v>
      </c>
      <c r="D1351" t="s">
        <v>1086</v>
      </c>
    </row>
    <row r="1352" spans="1:4" x14ac:dyDescent="0.3">
      <c r="A1352" s="2">
        <v>44451</v>
      </c>
      <c r="B1352">
        <v>2021</v>
      </c>
      <c r="C1352" t="s">
        <v>1083</v>
      </c>
      <c r="D1352" t="s">
        <v>1086</v>
      </c>
    </row>
    <row r="1353" spans="1:4" x14ac:dyDescent="0.3">
      <c r="A1353" s="2">
        <v>44452</v>
      </c>
      <c r="B1353">
        <v>2021</v>
      </c>
      <c r="C1353" t="s">
        <v>1083</v>
      </c>
      <c r="D1353" t="s">
        <v>1086</v>
      </c>
    </row>
    <row r="1354" spans="1:4" x14ac:dyDescent="0.3">
      <c r="A1354" s="2">
        <v>44453</v>
      </c>
      <c r="B1354">
        <v>2021</v>
      </c>
      <c r="C1354" t="s">
        <v>1083</v>
      </c>
      <c r="D1354" t="s">
        <v>1086</v>
      </c>
    </row>
    <row r="1355" spans="1:4" x14ac:dyDescent="0.3">
      <c r="A1355" s="2">
        <v>44454</v>
      </c>
      <c r="B1355">
        <v>2021</v>
      </c>
      <c r="C1355" t="s">
        <v>1083</v>
      </c>
      <c r="D1355" t="s">
        <v>1086</v>
      </c>
    </row>
    <row r="1356" spans="1:4" x14ac:dyDescent="0.3">
      <c r="A1356" s="2">
        <v>44455</v>
      </c>
      <c r="B1356">
        <v>2021</v>
      </c>
      <c r="C1356" t="s">
        <v>1083</v>
      </c>
      <c r="D1356" t="s">
        <v>1086</v>
      </c>
    </row>
    <row r="1357" spans="1:4" x14ac:dyDescent="0.3">
      <c r="A1357" s="2">
        <v>44456</v>
      </c>
      <c r="B1357">
        <v>2021</v>
      </c>
      <c r="C1357" t="s">
        <v>1083</v>
      </c>
      <c r="D1357" t="s">
        <v>1086</v>
      </c>
    </row>
    <row r="1358" spans="1:4" x14ac:dyDescent="0.3">
      <c r="A1358" s="2">
        <v>44457</v>
      </c>
      <c r="B1358">
        <v>2021</v>
      </c>
      <c r="C1358" t="s">
        <v>1083</v>
      </c>
      <c r="D1358" t="s">
        <v>1086</v>
      </c>
    </row>
    <row r="1359" spans="1:4" x14ac:dyDescent="0.3">
      <c r="A1359" s="2">
        <v>44458</v>
      </c>
      <c r="B1359">
        <v>2021</v>
      </c>
      <c r="C1359" t="s">
        <v>1083</v>
      </c>
      <c r="D1359" t="s">
        <v>1086</v>
      </c>
    </row>
    <row r="1360" spans="1:4" x14ac:dyDescent="0.3">
      <c r="A1360" s="2">
        <v>44459</v>
      </c>
      <c r="B1360">
        <v>2021</v>
      </c>
      <c r="C1360" t="s">
        <v>1083</v>
      </c>
      <c r="D1360" t="s">
        <v>1086</v>
      </c>
    </row>
    <row r="1361" spans="1:4" x14ac:dyDescent="0.3">
      <c r="A1361" s="2">
        <v>44460</v>
      </c>
      <c r="B1361">
        <v>2021</v>
      </c>
      <c r="C1361" t="s">
        <v>1083</v>
      </c>
      <c r="D1361" t="s">
        <v>1086</v>
      </c>
    </row>
    <row r="1362" spans="1:4" x14ac:dyDescent="0.3">
      <c r="A1362" s="2">
        <v>44461</v>
      </c>
      <c r="B1362">
        <v>2021</v>
      </c>
      <c r="C1362" t="s">
        <v>1083</v>
      </c>
      <c r="D1362" t="s">
        <v>1086</v>
      </c>
    </row>
    <row r="1363" spans="1:4" x14ac:dyDescent="0.3">
      <c r="A1363" s="2">
        <v>44462</v>
      </c>
      <c r="B1363">
        <v>2021</v>
      </c>
      <c r="C1363" t="s">
        <v>1083</v>
      </c>
      <c r="D1363" t="s">
        <v>1086</v>
      </c>
    </row>
    <row r="1364" spans="1:4" x14ac:dyDescent="0.3">
      <c r="A1364" s="2">
        <v>44463</v>
      </c>
      <c r="B1364">
        <v>2021</v>
      </c>
      <c r="C1364" t="s">
        <v>1083</v>
      </c>
      <c r="D1364" t="s">
        <v>1086</v>
      </c>
    </row>
    <row r="1365" spans="1:4" x14ac:dyDescent="0.3">
      <c r="A1365" s="2">
        <v>44464</v>
      </c>
      <c r="B1365">
        <v>2021</v>
      </c>
      <c r="C1365" t="s">
        <v>1083</v>
      </c>
      <c r="D1365" t="s">
        <v>1086</v>
      </c>
    </row>
    <row r="1366" spans="1:4" x14ac:dyDescent="0.3">
      <c r="A1366" s="2">
        <v>44465</v>
      </c>
      <c r="B1366">
        <v>2021</v>
      </c>
      <c r="C1366" t="s">
        <v>1083</v>
      </c>
      <c r="D1366" t="s">
        <v>1086</v>
      </c>
    </row>
    <row r="1367" spans="1:4" x14ac:dyDescent="0.3">
      <c r="A1367" s="2">
        <v>44466</v>
      </c>
      <c r="B1367">
        <v>2021</v>
      </c>
      <c r="C1367" t="s">
        <v>1083</v>
      </c>
      <c r="D1367" t="s">
        <v>1086</v>
      </c>
    </row>
    <row r="1368" spans="1:4" x14ac:dyDescent="0.3">
      <c r="A1368" s="2">
        <v>44467</v>
      </c>
      <c r="B1368">
        <v>2021</v>
      </c>
      <c r="C1368" t="s">
        <v>1083</v>
      </c>
      <c r="D1368" t="s">
        <v>1086</v>
      </c>
    </row>
    <row r="1369" spans="1:4" x14ac:dyDescent="0.3">
      <c r="A1369" s="2">
        <v>44468</v>
      </c>
      <c r="B1369">
        <v>2021</v>
      </c>
      <c r="C1369" t="s">
        <v>1083</v>
      </c>
      <c r="D1369" t="s">
        <v>1086</v>
      </c>
    </row>
    <row r="1370" spans="1:4" x14ac:dyDescent="0.3">
      <c r="A1370" s="2">
        <v>44469</v>
      </c>
      <c r="B1370">
        <v>2021</v>
      </c>
      <c r="C1370" t="s">
        <v>1083</v>
      </c>
      <c r="D1370" t="s">
        <v>1086</v>
      </c>
    </row>
    <row r="1371" spans="1:4" x14ac:dyDescent="0.3">
      <c r="A1371" s="2">
        <v>44470</v>
      </c>
      <c r="B1371">
        <v>2021</v>
      </c>
      <c r="C1371" t="s">
        <v>1087</v>
      </c>
      <c r="D1371" t="s">
        <v>1088</v>
      </c>
    </row>
    <row r="1372" spans="1:4" x14ac:dyDescent="0.3">
      <c r="A1372" s="2">
        <v>44471</v>
      </c>
      <c r="B1372">
        <v>2021</v>
      </c>
      <c r="C1372" t="s">
        <v>1087</v>
      </c>
      <c r="D1372" t="s">
        <v>1088</v>
      </c>
    </row>
    <row r="1373" spans="1:4" x14ac:dyDescent="0.3">
      <c r="A1373" s="2">
        <v>44472</v>
      </c>
      <c r="B1373">
        <v>2021</v>
      </c>
      <c r="C1373" t="s">
        <v>1087</v>
      </c>
      <c r="D1373" t="s">
        <v>1088</v>
      </c>
    </row>
    <row r="1374" spans="1:4" x14ac:dyDescent="0.3">
      <c r="A1374" s="2">
        <v>44473</v>
      </c>
      <c r="B1374">
        <v>2021</v>
      </c>
      <c r="C1374" t="s">
        <v>1087</v>
      </c>
      <c r="D1374" t="s">
        <v>1088</v>
      </c>
    </row>
    <row r="1375" spans="1:4" x14ac:dyDescent="0.3">
      <c r="A1375" s="2">
        <v>44474</v>
      </c>
      <c r="B1375">
        <v>2021</v>
      </c>
      <c r="C1375" t="s">
        <v>1087</v>
      </c>
      <c r="D1375" t="s">
        <v>1088</v>
      </c>
    </row>
    <row r="1376" spans="1:4" x14ac:dyDescent="0.3">
      <c r="A1376" s="2">
        <v>44475</v>
      </c>
      <c r="B1376">
        <v>2021</v>
      </c>
      <c r="C1376" t="s">
        <v>1087</v>
      </c>
      <c r="D1376" t="s">
        <v>1088</v>
      </c>
    </row>
    <row r="1377" spans="1:4" x14ac:dyDescent="0.3">
      <c r="A1377" s="2">
        <v>44476</v>
      </c>
      <c r="B1377">
        <v>2021</v>
      </c>
      <c r="C1377" t="s">
        <v>1087</v>
      </c>
      <c r="D1377" t="s">
        <v>1088</v>
      </c>
    </row>
    <row r="1378" spans="1:4" x14ac:dyDescent="0.3">
      <c r="A1378" s="2">
        <v>44477</v>
      </c>
      <c r="B1378">
        <v>2021</v>
      </c>
      <c r="C1378" t="s">
        <v>1087</v>
      </c>
      <c r="D1378" t="s">
        <v>1088</v>
      </c>
    </row>
    <row r="1379" spans="1:4" x14ac:dyDescent="0.3">
      <c r="A1379" s="2">
        <v>44478</v>
      </c>
      <c r="B1379">
        <v>2021</v>
      </c>
      <c r="C1379" t="s">
        <v>1087</v>
      </c>
      <c r="D1379" t="s">
        <v>1088</v>
      </c>
    </row>
    <row r="1380" spans="1:4" x14ac:dyDescent="0.3">
      <c r="A1380" s="2">
        <v>44479</v>
      </c>
      <c r="B1380">
        <v>2021</v>
      </c>
      <c r="C1380" t="s">
        <v>1087</v>
      </c>
      <c r="D1380" t="s">
        <v>1088</v>
      </c>
    </row>
    <row r="1381" spans="1:4" x14ac:dyDescent="0.3">
      <c r="A1381" s="2">
        <v>44480</v>
      </c>
      <c r="B1381">
        <v>2021</v>
      </c>
      <c r="C1381" t="s">
        <v>1087</v>
      </c>
      <c r="D1381" t="s">
        <v>1088</v>
      </c>
    </row>
    <row r="1382" spans="1:4" x14ac:dyDescent="0.3">
      <c r="A1382" s="2">
        <v>44481</v>
      </c>
      <c r="B1382">
        <v>2021</v>
      </c>
      <c r="C1382" t="s">
        <v>1087</v>
      </c>
      <c r="D1382" t="s">
        <v>1088</v>
      </c>
    </row>
    <row r="1383" spans="1:4" x14ac:dyDescent="0.3">
      <c r="A1383" s="2">
        <v>44482</v>
      </c>
      <c r="B1383">
        <v>2021</v>
      </c>
      <c r="C1383" t="s">
        <v>1087</v>
      </c>
      <c r="D1383" t="s">
        <v>1088</v>
      </c>
    </row>
    <row r="1384" spans="1:4" x14ac:dyDescent="0.3">
      <c r="A1384" s="2">
        <v>44483</v>
      </c>
      <c r="B1384">
        <v>2021</v>
      </c>
      <c r="C1384" t="s">
        <v>1087</v>
      </c>
      <c r="D1384" t="s">
        <v>1088</v>
      </c>
    </row>
    <row r="1385" spans="1:4" x14ac:dyDescent="0.3">
      <c r="A1385" s="2">
        <v>44484</v>
      </c>
      <c r="B1385">
        <v>2021</v>
      </c>
      <c r="C1385" t="s">
        <v>1087</v>
      </c>
      <c r="D1385" t="s">
        <v>1088</v>
      </c>
    </row>
    <row r="1386" spans="1:4" x14ac:dyDescent="0.3">
      <c r="A1386" s="2">
        <v>44485</v>
      </c>
      <c r="B1386">
        <v>2021</v>
      </c>
      <c r="C1386" t="s">
        <v>1087</v>
      </c>
      <c r="D1386" t="s">
        <v>1088</v>
      </c>
    </row>
    <row r="1387" spans="1:4" x14ac:dyDescent="0.3">
      <c r="A1387" s="2">
        <v>44486</v>
      </c>
      <c r="B1387">
        <v>2021</v>
      </c>
      <c r="C1387" t="s">
        <v>1087</v>
      </c>
      <c r="D1387" t="s">
        <v>1088</v>
      </c>
    </row>
    <row r="1388" spans="1:4" x14ac:dyDescent="0.3">
      <c r="A1388" s="2">
        <v>44487</v>
      </c>
      <c r="B1388">
        <v>2021</v>
      </c>
      <c r="C1388" t="s">
        <v>1087</v>
      </c>
      <c r="D1388" t="s">
        <v>1088</v>
      </c>
    </row>
    <row r="1389" spans="1:4" x14ac:dyDescent="0.3">
      <c r="A1389" s="2">
        <v>44488</v>
      </c>
      <c r="B1389">
        <v>2021</v>
      </c>
      <c r="C1389" t="s">
        <v>1087</v>
      </c>
      <c r="D1389" t="s">
        <v>1088</v>
      </c>
    </row>
    <row r="1390" spans="1:4" x14ac:dyDescent="0.3">
      <c r="A1390" s="2">
        <v>44489</v>
      </c>
      <c r="B1390">
        <v>2021</v>
      </c>
      <c r="C1390" t="s">
        <v>1087</v>
      </c>
      <c r="D1390" t="s">
        <v>1088</v>
      </c>
    </row>
    <row r="1391" spans="1:4" x14ac:dyDescent="0.3">
      <c r="A1391" s="2">
        <v>44490</v>
      </c>
      <c r="B1391">
        <v>2021</v>
      </c>
      <c r="C1391" t="s">
        <v>1087</v>
      </c>
      <c r="D1391" t="s">
        <v>1088</v>
      </c>
    </row>
    <row r="1392" spans="1:4" x14ac:dyDescent="0.3">
      <c r="A1392" s="2">
        <v>44491</v>
      </c>
      <c r="B1392">
        <v>2021</v>
      </c>
      <c r="C1392" t="s">
        <v>1087</v>
      </c>
      <c r="D1392" t="s">
        <v>1088</v>
      </c>
    </row>
    <row r="1393" spans="1:4" x14ac:dyDescent="0.3">
      <c r="A1393" s="2">
        <v>44492</v>
      </c>
      <c r="B1393">
        <v>2021</v>
      </c>
      <c r="C1393" t="s">
        <v>1087</v>
      </c>
      <c r="D1393" t="s">
        <v>1088</v>
      </c>
    </row>
    <row r="1394" spans="1:4" x14ac:dyDescent="0.3">
      <c r="A1394" s="2">
        <v>44493</v>
      </c>
      <c r="B1394">
        <v>2021</v>
      </c>
      <c r="C1394" t="s">
        <v>1087</v>
      </c>
      <c r="D1394" t="s">
        <v>1088</v>
      </c>
    </row>
    <row r="1395" spans="1:4" x14ac:dyDescent="0.3">
      <c r="A1395" s="2">
        <v>44494</v>
      </c>
      <c r="B1395">
        <v>2021</v>
      </c>
      <c r="C1395" t="s">
        <v>1087</v>
      </c>
      <c r="D1395" t="s">
        <v>1088</v>
      </c>
    </row>
    <row r="1396" spans="1:4" x14ac:dyDescent="0.3">
      <c r="A1396" s="2">
        <v>44495</v>
      </c>
      <c r="B1396">
        <v>2021</v>
      </c>
      <c r="C1396" t="s">
        <v>1087</v>
      </c>
      <c r="D1396" t="s">
        <v>1088</v>
      </c>
    </row>
    <row r="1397" spans="1:4" x14ac:dyDescent="0.3">
      <c r="A1397" s="2">
        <v>44496</v>
      </c>
      <c r="B1397">
        <v>2021</v>
      </c>
      <c r="C1397" t="s">
        <v>1087</v>
      </c>
      <c r="D1397" t="s">
        <v>1088</v>
      </c>
    </row>
    <row r="1398" spans="1:4" x14ac:dyDescent="0.3">
      <c r="A1398" s="2">
        <v>44497</v>
      </c>
      <c r="B1398">
        <v>2021</v>
      </c>
      <c r="C1398" t="s">
        <v>1087</v>
      </c>
      <c r="D1398" t="s">
        <v>1088</v>
      </c>
    </row>
    <row r="1399" spans="1:4" x14ac:dyDescent="0.3">
      <c r="A1399" s="2">
        <v>44498</v>
      </c>
      <c r="B1399">
        <v>2021</v>
      </c>
      <c r="C1399" t="s">
        <v>1087</v>
      </c>
      <c r="D1399" t="s">
        <v>1088</v>
      </c>
    </row>
    <row r="1400" spans="1:4" x14ac:dyDescent="0.3">
      <c r="A1400" s="2">
        <v>44499</v>
      </c>
      <c r="B1400">
        <v>2021</v>
      </c>
      <c r="C1400" t="s">
        <v>1087</v>
      </c>
      <c r="D1400" t="s">
        <v>1088</v>
      </c>
    </row>
    <row r="1401" spans="1:4" x14ac:dyDescent="0.3">
      <c r="A1401" s="2">
        <v>44500</v>
      </c>
      <c r="B1401">
        <v>2021</v>
      </c>
      <c r="C1401" t="s">
        <v>1087</v>
      </c>
      <c r="D1401" t="s">
        <v>1088</v>
      </c>
    </row>
    <row r="1402" spans="1:4" x14ac:dyDescent="0.3">
      <c r="A1402" s="2">
        <v>44501</v>
      </c>
      <c r="B1402">
        <v>2021</v>
      </c>
      <c r="C1402" t="s">
        <v>1087</v>
      </c>
      <c r="D1402" t="s">
        <v>1089</v>
      </c>
    </row>
    <row r="1403" spans="1:4" x14ac:dyDescent="0.3">
      <c r="A1403" s="2">
        <v>44502</v>
      </c>
      <c r="B1403">
        <v>2021</v>
      </c>
      <c r="C1403" t="s">
        <v>1087</v>
      </c>
      <c r="D1403" t="s">
        <v>1089</v>
      </c>
    </row>
    <row r="1404" spans="1:4" x14ac:dyDescent="0.3">
      <c r="A1404" s="2">
        <v>44503</v>
      </c>
      <c r="B1404">
        <v>2021</v>
      </c>
      <c r="C1404" t="s">
        <v>1087</v>
      </c>
      <c r="D1404" t="s">
        <v>1089</v>
      </c>
    </row>
    <row r="1405" spans="1:4" x14ac:dyDescent="0.3">
      <c r="A1405" s="2">
        <v>44504</v>
      </c>
      <c r="B1405">
        <v>2021</v>
      </c>
      <c r="C1405" t="s">
        <v>1087</v>
      </c>
      <c r="D1405" t="s">
        <v>1089</v>
      </c>
    </row>
    <row r="1406" spans="1:4" x14ac:dyDescent="0.3">
      <c r="A1406" s="2">
        <v>44505</v>
      </c>
      <c r="B1406">
        <v>2021</v>
      </c>
      <c r="C1406" t="s">
        <v>1087</v>
      </c>
      <c r="D1406" t="s">
        <v>1089</v>
      </c>
    </row>
    <row r="1407" spans="1:4" x14ac:dyDescent="0.3">
      <c r="A1407" s="2">
        <v>44506</v>
      </c>
      <c r="B1407">
        <v>2021</v>
      </c>
      <c r="C1407" t="s">
        <v>1087</v>
      </c>
      <c r="D1407" t="s">
        <v>1089</v>
      </c>
    </row>
    <row r="1408" spans="1:4" x14ac:dyDescent="0.3">
      <c r="A1408" s="2">
        <v>44507</v>
      </c>
      <c r="B1408">
        <v>2021</v>
      </c>
      <c r="C1408" t="s">
        <v>1087</v>
      </c>
      <c r="D1408" t="s">
        <v>1089</v>
      </c>
    </row>
    <row r="1409" spans="1:4" x14ac:dyDescent="0.3">
      <c r="A1409" s="2">
        <v>44508</v>
      </c>
      <c r="B1409">
        <v>2021</v>
      </c>
      <c r="C1409" t="s">
        <v>1087</v>
      </c>
      <c r="D1409" t="s">
        <v>1089</v>
      </c>
    </row>
    <row r="1410" spans="1:4" x14ac:dyDescent="0.3">
      <c r="A1410" s="2">
        <v>44509</v>
      </c>
      <c r="B1410">
        <v>2021</v>
      </c>
      <c r="C1410" t="s">
        <v>1087</v>
      </c>
      <c r="D1410" t="s">
        <v>1089</v>
      </c>
    </row>
    <row r="1411" spans="1:4" x14ac:dyDescent="0.3">
      <c r="A1411" s="2">
        <v>44510</v>
      </c>
      <c r="B1411">
        <v>2021</v>
      </c>
      <c r="C1411" t="s">
        <v>1087</v>
      </c>
      <c r="D1411" t="s">
        <v>1089</v>
      </c>
    </row>
    <row r="1412" spans="1:4" x14ac:dyDescent="0.3">
      <c r="A1412" s="2">
        <v>44511</v>
      </c>
      <c r="B1412">
        <v>2021</v>
      </c>
      <c r="C1412" t="s">
        <v>1087</v>
      </c>
      <c r="D1412" t="s">
        <v>1089</v>
      </c>
    </row>
    <row r="1413" spans="1:4" x14ac:dyDescent="0.3">
      <c r="A1413" s="2">
        <v>44512</v>
      </c>
      <c r="B1413">
        <v>2021</v>
      </c>
      <c r="C1413" t="s">
        <v>1087</v>
      </c>
      <c r="D1413" t="s">
        <v>1089</v>
      </c>
    </row>
    <row r="1414" spans="1:4" x14ac:dyDescent="0.3">
      <c r="A1414" s="2">
        <v>44513</v>
      </c>
      <c r="B1414">
        <v>2021</v>
      </c>
      <c r="C1414" t="s">
        <v>1087</v>
      </c>
      <c r="D1414" t="s">
        <v>1089</v>
      </c>
    </row>
    <row r="1415" spans="1:4" x14ac:dyDescent="0.3">
      <c r="A1415" s="2">
        <v>44514</v>
      </c>
      <c r="B1415">
        <v>2021</v>
      </c>
      <c r="C1415" t="s">
        <v>1087</v>
      </c>
      <c r="D1415" t="s">
        <v>1089</v>
      </c>
    </row>
    <row r="1416" spans="1:4" x14ac:dyDescent="0.3">
      <c r="A1416" s="2">
        <v>44515</v>
      </c>
      <c r="B1416">
        <v>2021</v>
      </c>
      <c r="C1416" t="s">
        <v>1087</v>
      </c>
      <c r="D1416" t="s">
        <v>1089</v>
      </c>
    </row>
    <row r="1417" spans="1:4" x14ac:dyDescent="0.3">
      <c r="A1417" s="2">
        <v>44516</v>
      </c>
      <c r="B1417">
        <v>2021</v>
      </c>
      <c r="C1417" t="s">
        <v>1087</v>
      </c>
      <c r="D1417" t="s">
        <v>1089</v>
      </c>
    </row>
    <row r="1418" spans="1:4" x14ac:dyDescent="0.3">
      <c r="A1418" s="2">
        <v>44517</v>
      </c>
      <c r="B1418">
        <v>2021</v>
      </c>
      <c r="C1418" t="s">
        <v>1087</v>
      </c>
      <c r="D1418" t="s">
        <v>1089</v>
      </c>
    </row>
    <row r="1419" spans="1:4" x14ac:dyDescent="0.3">
      <c r="A1419" s="2">
        <v>44518</v>
      </c>
      <c r="B1419">
        <v>2021</v>
      </c>
      <c r="C1419" t="s">
        <v>1087</v>
      </c>
      <c r="D1419" t="s">
        <v>1089</v>
      </c>
    </row>
    <row r="1420" spans="1:4" x14ac:dyDescent="0.3">
      <c r="A1420" s="2">
        <v>44519</v>
      </c>
      <c r="B1420">
        <v>2021</v>
      </c>
      <c r="C1420" t="s">
        <v>1087</v>
      </c>
      <c r="D1420" t="s">
        <v>1089</v>
      </c>
    </row>
    <row r="1421" spans="1:4" x14ac:dyDescent="0.3">
      <c r="A1421" s="2">
        <v>44520</v>
      </c>
      <c r="B1421">
        <v>2021</v>
      </c>
      <c r="C1421" t="s">
        <v>1087</v>
      </c>
      <c r="D1421" t="s">
        <v>1089</v>
      </c>
    </row>
    <row r="1422" spans="1:4" x14ac:dyDescent="0.3">
      <c r="A1422" s="2">
        <v>44521</v>
      </c>
      <c r="B1422">
        <v>2021</v>
      </c>
      <c r="C1422" t="s">
        <v>1087</v>
      </c>
      <c r="D1422" t="s">
        <v>1089</v>
      </c>
    </row>
    <row r="1423" spans="1:4" x14ac:dyDescent="0.3">
      <c r="A1423" s="2">
        <v>44522</v>
      </c>
      <c r="B1423">
        <v>2021</v>
      </c>
      <c r="C1423" t="s">
        <v>1087</v>
      </c>
      <c r="D1423" t="s">
        <v>1089</v>
      </c>
    </row>
    <row r="1424" spans="1:4" x14ac:dyDescent="0.3">
      <c r="A1424" s="2">
        <v>44523</v>
      </c>
      <c r="B1424">
        <v>2021</v>
      </c>
      <c r="C1424" t="s">
        <v>1087</v>
      </c>
      <c r="D1424" t="s">
        <v>1089</v>
      </c>
    </row>
    <row r="1425" spans="1:4" x14ac:dyDescent="0.3">
      <c r="A1425" s="2">
        <v>44524</v>
      </c>
      <c r="B1425">
        <v>2021</v>
      </c>
      <c r="C1425" t="s">
        <v>1087</v>
      </c>
      <c r="D1425" t="s">
        <v>1089</v>
      </c>
    </row>
    <row r="1426" spans="1:4" x14ac:dyDescent="0.3">
      <c r="A1426" s="2">
        <v>44525</v>
      </c>
      <c r="B1426">
        <v>2021</v>
      </c>
      <c r="C1426" t="s">
        <v>1087</v>
      </c>
      <c r="D1426" t="s">
        <v>1089</v>
      </c>
    </row>
    <row r="1427" spans="1:4" x14ac:dyDescent="0.3">
      <c r="A1427" s="2">
        <v>44526</v>
      </c>
      <c r="B1427">
        <v>2021</v>
      </c>
      <c r="C1427" t="s">
        <v>1087</v>
      </c>
      <c r="D1427" t="s">
        <v>1089</v>
      </c>
    </row>
    <row r="1428" spans="1:4" x14ac:dyDescent="0.3">
      <c r="A1428" s="2">
        <v>44527</v>
      </c>
      <c r="B1428">
        <v>2021</v>
      </c>
      <c r="C1428" t="s">
        <v>1087</v>
      </c>
      <c r="D1428" t="s">
        <v>1089</v>
      </c>
    </row>
    <row r="1429" spans="1:4" x14ac:dyDescent="0.3">
      <c r="A1429" s="2">
        <v>44528</v>
      </c>
      <c r="B1429">
        <v>2021</v>
      </c>
      <c r="C1429" t="s">
        <v>1087</v>
      </c>
      <c r="D1429" t="s">
        <v>1089</v>
      </c>
    </row>
    <row r="1430" spans="1:4" x14ac:dyDescent="0.3">
      <c r="A1430" s="2">
        <v>44529</v>
      </c>
      <c r="B1430">
        <v>2021</v>
      </c>
      <c r="C1430" t="s">
        <v>1087</v>
      </c>
      <c r="D1430" t="s">
        <v>1089</v>
      </c>
    </row>
    <row r="1431" spans="1:4" x14ac:dyDescent="0.3">
      <c r="A1431" s="2">
        <v>44530</v>
      </c>
      <c r="B1431">
        <v>2021</v>
      </c>
      <c r="C1431" t="s">
        <v>1087</v>
      </c>
      <c r="D1431" t="s">
        <v>1089</v>
      </c>
    </row>
    <row r="1432" spans="1:4" x14ac:dyDescent="0.3">
      <c r="A1432" s="2">
        <v>44531</v>
      </c>
      <c r="B1432">
        <v>2021</v>
      </c>
      <c r="C1432" t="s">
        <v>1087</v>
      </c>
      <c r="D1432" t="s">
        <v>1090</v>
      </c>
    </row>
    <row r="1433" spans="1:4" x14ac:dyDescent="0.3">
      <c r="A1433" s="2">
        <v>44532</v>
      </c>
      <c r="B1433">
        <v>2021</v>
      </c>
      <c r="C1433" t="s">
        <v>1087</v>
      </c>
      <c r="D1433" t="s">
        <v>1090</v>
      </c>
    </row>
    <row r="1434" spans="1:4" x14ac:dyDescent="0.3">
      <c r="A1434" s="2">
        <v>44533</v>
      </c>
      <c r="B1434">
        <v>2021</v>
      </c>
      <c r="C1434" t="s">
        <v>1087</v>
      </c>
      <c r="D1434" t="s">
        <v>1090</v>
      </c>
    </row>
    <row r="1435" spans="1:4" x14ac:dyDescent="0.3">
      <c r="A1435" s="2">
        <v>44534</v>
      </c>
      <c r="B1435">
        <v>2021</v>
      </c>
      <c r="C1435" t="s">
        <v>1087</v>
      </c>
      <c r="D1435" t="s">
        <v>1090</v>
      </c>
    </row>
    <row r="1436" spans="1:4" x14ac:dyDescent="0.3">
      <c r="A1436" s="2">
        <v>44535</v>
      </c>
      <c r="B1436">
        <v>2021</v>
      </c>
      <c r="C1436" t="s">
        <v>1087</v>
      </c>
      <c r="D1436" t="s">
        <v>1090</v>
      </c>
    </row>
    <row r="1437" spans="1:4" x14ac:dyDescent="0.3">
      <c r="A1437" s="2">
        <v>44536</v>
      </c>
      <c r="B1437">
        <v>2021</v>
      </c>
      <c r="C1437" t="s">
        <v>1087</v>
      </c>
      <c r="D1437" t="s">
        <v>1090</v>
      </c>
    </row>
    <row r="1438" spans="1:4" x14ac:dyDescent="0.3">
      <c r="A1438" s="2">
        <v>44537</v>
      </c>
      <c r="B1438">
        <v>2021</v>
      </c>
      <c r="C1438" t="s">
        <v>1087</v>
      </c>
      <c r="D1438" t="s">
        <v>1090</v>
      </c>
    </row>
    <row r="1439" spans="1:4" x14ac:dyDescent="0.3">
      <c r="A1439" s="2">
        <v>44538</v>
      </c>
      <c r="B1439">
        <v>2021</v>
      </c>
      <c r="C1439" t="s">
        <v>1087</v>
      </c>
      <c r="D1439" t="s">
        <v>1090</v>
      </c>
    </row>
    <row r="1440" spans="1:4" x14ac:dyDescent="0.3">
      <c r="A1440" s="2">
        <v>44539</v>
      </c>
      <c r="B1440">
        <v>2021</v>
      </c>
      <c r="C1440" t="s">
        <v>1087</v>
      </c>
      <c r="D1440" t="s">
        <v>1090</v>
      </c>
    </row>
    <row r="1441" spans="1:4" x14ac:dyDescent="0.3">
      <c r="A1441" s="2">
        <v>44540</v>
      </c>
      <c r="B1441">
        <v>2021</v>
      </c>
      <c r="C1441" t="s">
        <v>1087</v>
      </c>
      <c r="D1441" t="s">
        <v>1090</v>
      </c>
    </row>
    <row r="1442" spans="1:4" x14ac:dyDescent="0.3">
      <c r="A1442" s="2">
        <v>44541</v>
      </c>
      <c r="B1442">
        <v>2021</v>
      </c>
      <c r="C1442" t="s">
        <v>1087</v>
      </c>
      <c r="D1442" t="s">
        <v>1090</v>
      </c>
    </row>
    <row r="1443" spans="1:4" x14ac:dyDescent="0.3">
      <c r="A1443" s="2">
        <v>44542</v>
      </c>
      <c r="B1443">
        <v>2021</v>
      </c>
      <c r="C1443" t="s">
        <v>1087</v>
      </c>
      <c r="D1443" t="s">
        <v>1090</v>
      </c>
    </row>
    <row r="1444" spans="1:4" x14ac:dyDescent="0.3">
      <c r="A1444" s="2">
        <v>44543</v>
      </c>
      <c r="B1444">
        <v>2021</v>
      </c>
      <c r="C1444" t="s">
        <v>1087</v>
      </c>
      <c r="D1444" t="s">
        <v>1090</v>
      </c>
    </row>
    <row r="1445" spans="1:4" x14ac:dyDescent="0.3">
      <c r="A1445" s="2">
        <v>44544</v>
      </c>
      <c r="B1445">
        <v>2021</v>
      </c>
      <c r="C1445" t="s">
        <v>1087</v>
      </c>
      <c r="D1445" t="s">
        <v>1090</v>
      </c>
    </row>
    <row r="1446" spans="1:4" x14ac:dyDescent="0.3">
      <c r="A1446" s="2">
        <v>44545</v>
      </c>
      <c r="B1446">
        <v>2021</v>
      </c>
      <c r="C1446" t="s">
        <v>1087</v>
      </c>
      <c r="D1446" t="s">
        <v>1090</v>
      </c>
    </row>
    <row r="1447" spans="1:4" x14ac:dyDescent="0.3">
      <c r="A1447" s="2">
        <v>44546</v>
      </c>
      <c r="B1447">
        <v>2021</v>
      </c>
      <c r="C1447" t="s">
        <v>1087</v>
      </c>
      <c r="D1447" t="s">
        <v>1090</v>
      </c>
    </row>
    <row r="1448" spans="1:4" x14ac:dyDescent="0.3">
      <c r="A1448" s="2">
        <v>44547</v>
      </c>
      <c r="B1448">
        <v>2021</v>
      </c>
      <c r="C1448" t="s">
        <v>1087</v>
      </c>
      <c r="D1448" t="s">
        <v>1090</v>
      </c>
    </row>
    <row r="1449" spans="1:4" x14ac:dyDescent="0.3">
      <c r="A1449" s="2">
        <v>44548</v>
      </c>
      <c r="B1449">
        <v>2021</v>
      </c>
      <c r="C1449" t="s">
        <v>1087</v>
      </c>
      <c r="D1449" t="s">
        <v>1090</v>
      </c>
    </row>
    <row r="1450" spans="1:4" x14ac:dyDescent="0.3">
      <c r="A1450" s="2">
        <v>44549</v>
      </c>
      <c r="B1450">
        <v>2021</v>
      </c>
      <c r="C1450" t="s">
        <v>1087</v>
      </c>
      <c r="D1450" t="s">
        <v>1090</v>
      </c>
    </row>
    <row r="1451" spans="1:4" x14ac:dyDescent="0.3">
      <c r="A1451" s="2">
        <v>44550</v>
      </c>
      <c r="B1451">
        <v>2021</v>
      </c>
      <c r="C1451" t="s">
        <v>1087</v>
      </c>
      <c r="D1451" t="s">
        <v>1090</v>
      </c>
    </row>
    <row r="1452" spans="1:4" x14ac:dyDescent="0.3">
      <c r="A1452" s="2">
        <v>44551</v>
      </c>
      <c r="B1452">
        <v>2021</v>
      </c>
      <c r="C1452" t="s">
        <v>1087</v>
      </c>
      <c r="D1452" t="s">
        <v>1090</v>
      </c>
    </row>
    <row r="1453" spans="1:4" x14ac:dyDescent="0.3">
      <c r="A1453" s="2">
        <v>44552</v>
      </c>
      <c r="B1453">
        <v>2021</v>
      </c>
      <c r="C1453" t="s">
        <v>1087</v>
      </c>
      <c r="D1453" t="s">
        <v>1090</v>
      </c>
    </row>
    <row r="1454" spans="1:4" x14ac:dyDescent="0.3">
      <c r="A1454" s="2">
        <v>44553</v>
      </c>
      <c r="B1454">
        <v>2021</v>
      </c>
      <c r="C1454" t="s">
        <v>1087</v>
      </c>
      <c r="D1454" t="s">
        <v>1090</v>
      </c>
    </row>
    <row r="1455" spans="1:4" x14ac:dyDescent="0.3">
      <c r="A1455" s="2">
        <v>44554</v>
      </c>
      <c r="B1455">
        <v>2021</v>
      </c>
      <c r="C1455" t="s">
        <v>1087</v>
      </c>
      <c r="D1455" t="s">
        <v>1090</v>
      </c>
    </row>
    <row r="1456" spans="1:4" x14ac:dyDescent="0.3">
      <c r="A1456" s="2">
        <v>44555</v>
      </c>
      <c r="B1456">
        <v>2021</v>
      </c>
      <c r="C1456" t="s">
        <v>1087</v>
      </c>
      <c r="D1456" t="s">
        <v>1090</v>
      </c>
    </row>
    <row r="1457" spans="1:4" x14ac:dyDescent="0.3">
      <c r="A1457" s="2">
        <v>44556</v>
      </c>
      <c r="B1457">
        <v>2021</v>
      </c>
      <c r="C1457" t="s">
        <v>1087</v>
      </c>
      <c r="D1457" t="s">
        <v>1090</v>
      </c>
    </row>
    <row r="1458" spans="1:4" x14ac:dyDescent="0.3">
      <c r="A1458" s="2">
        <v>44557</v>
      </c>
      <c r="B1458">
        <v>2021</v>
      </c>
      <c r="C1458" t="s">
        <v>1087</v>
      </c>
      <c r="D1458" t="s">
        <v>1090</v>
      </c>
    </row>
    <row r="1459" spans="1:4" x14ac:dyDescent="0.3">
      <c r="A1459" s="2">
        <v>44558</v>
      </c>
      <c r="B1459">
        <v>2021</v>
      </c>
      <c r="C1459" t="s">
        <v>1087</v>
      </c>
      <c r="D1459" t="s">
        <v>1090</v>
      </c>
    </row>
    <row r="1460" spans="1:4" x14ac:dyDescent="0.3">
      <c r="A1460" s="2">
        <v>44559</v>
      </c>
      <c r="B1460">
        <v>2021</v>
      </c>
      <c r="C1460" t="s">
        <v>1087</v>
      </c>
      <c r="D1460" t="s">
        <v>1090</v>
      </c>
    </row>
    <row r="1461" spans="1:4" x14ac:dyDescent="0.3">
      <c r="A1461" s="2">
        <v>44560</v>
      </c>
      <c r="B1461">
        <v>2021</v>
      </c>
      <c r="C1461" t="s">
        <v>1087</v>
      </c>
      <c r="D1461" t="s">
        <v>1090</v>
      </c>
    </row>
    <row r="1462" spans="1:4" x14ac:dyDescent="0.3">
      <c r="A1462" s="2">
        <v>44561</v>
      </c>
      <c r="B1462">
        <v>2021</v>
      </c>
      <c r="C1462" t="s">
        <v>1087</v>
      </c>
      <c r="D1462" t="s">
        <v>1090</v>
      </c>
    </row>
    <row r="1463" spans="1:4" x14ac:dyDescent="0.3">
      <c r="A1463" s="2">
        <v>44562</v>
      </c>
      <c r="B1463">
        <v>2022</v>
      </c>
      <c r="C1463" t="s">
        <v>1075</v>
      </c>
      <c r="D1463" t="s">
        <v>1076</v>
      </c>
    </row>
    <row r="1464" spans="1:4" x14ac:dyDescent="0.3">
      <c r="A1464" s="2">
        <v>44563</v>
      </c>
      <c r="B1464">
        <v>2022</v>
      </c>
      <c r="C1464" t="s">
        <v>1075</v>
      </c>
      <c r="D1464" t="s">
        <v>1076</v>
      </c>
    </row>
    <row r="1465" spans="1:4" x14ac:dyDescent="0.3">
      <c r="A1465" s="2">
        <v>44564</v>
      </c>
      <c r="B1465">
        <v>2022</v>
      </c>
      <c r="C1465" t="s">
        <v>1075</v>
      </c>
      <c r="D1465" t="s">
        <v>1076</v>
      </c>
    </row>
    <row r="1466" spans="1:4" x14ac:dyDescent="0.3">
      <c r="A1466" s="2">
        <v>44565</v>
      </c>
      <c r="B1466">
        <v>2022</v>
      </c>
      <c r="C1466" t="s">
        <v>1075</v>
      </c>
      <c r="D1466" t="s">
        <v>1076</v>
      </c>
    </row>
    <row r="1467" spans="1:4" x14ac:dyDescent="0.3">
      <c r="A1467" s="2">
        <v>44566</v>
      </c>
      <c r="B1467">
        <v>2022</v>
      </c>
      <c r="C1467" t="s">
        <v>1075</v>
      </c>
      <c r="D1467" t="s">
        <v>1076</v>
      </c>
    </row>
    <row r="1468" spans="1:4" x14ac:dyDescent="0.3">
      <c r="A1468" s="2">
        <v>44567</v>
      </c>
      <c r="B1468">
        <v>2022</v>
      </c>
      <c r="C1468" t="s">
        <v>1075</v>
      </c>
      <c r="D1468" t="s">
        <v>1076</v>
      </c>
    </row>
    <row r="1469" spans="1:4" x14ac:dyDescent="0.3">
      <c r="A1469" s="2">
        <v>44568</v>
      </c>
      <c r="B1469">
        <v>2022</v>
      </c>
      <c r="C1469" t="s">
        <v>1075</v>
      </c>
      <c r="D1469" t="s">
        <v>1076</v>
      </c>
    </row>
    <row r="1470" spans="1:4" x14ac:dyDescent="0.3">
      <c r="A1470" s="2">
        <v>44569</v>
      </c>
      <c r="B1470">
        <v>2022</v>
      </c>
      <c r="C1470" t="s">
        <v>1075</v>
      </c>
      <c r="D1470" t="s">
        <v>1076</v>
      </c>
    </row>
    <row r="1471" spans="1:4" x14ac:dyDescent="0.3">
      <c r="A1471" s="2">
        <v>44570</v>
      </c>
      <c r="B1471">
        <v>2022</v>
      </c>
      <c r="C1471" t="s">
        <v>1075</v>
      </c>
      <c r="D1471" t="s">
        <v>1076</v>
      </c>
    </row>
    <row r="1472" spans="1:4" x14ac:dyDescent="0.3">
      <c r="A1472" s="2">
        <v>44571</v>
      </c>
      <c r="B1472">
        <v>2022</v>
      </c>
      <c r="C1472" t="s">
        <v>1075</v>
      </c>
      <c r="D1472" t="s">
        <v>1076</v>
      </c>
    </row>
    <row r="1473" spans="1:4" x14ac:dyDescent="0.3">
      <c r="A1473" s="2">
        <v>44572</v>
      </c>
      <c r="B1473">
        <v>2022</v>
      </c>
      <c r="C1473" t="s">
        <v>1075</v>
      </c>
      <c r="D1473" t="s">
        <v>1076</v>
      </c>
    </row>
    <row r="1474" spans="1:4" x14ac:dyDescent="0.3">
      <c r="A1474" s="2">
        <v>44573</v>
      </c>
      <c r="B1474">
        <v>2022</v>
      </c>
      <c r="C1474" t="s">
        <v>1075</v>
      </c>
      <c r="D1474" t="s">
        <v>1076</v>
      </c>
    </row>
    <row r="1475" spans="1:4" x14ac:dyDescent="0.3">
      <c r="A1475" s="2">
        <v>44574</v>
      </c>
      <c r="B1475">
        <v>2022</v>
      </c>
      <c r="C1475" t="s">
        <v>1075</v>
      </c>
      <c r="D1475" t="s">
        <v>1076</v>
      </c>
    </row>
    <row r="1476" spans="1:4" x14ac:dyDescent="0.3">
      <c r="A1476" s="2">
        <v>44575</v>
      </c>
      <c r="B1476">
        <v>2022</v>
      </c>
      <c r="C1476" t="s">
        <v>1075</v>
      </c>
      <c r="D1476" t="s">
        <v>1076</v>
      </c>
    </row>
    <row r="1477" spans="1:4" x14ac:dyDescent="0.3">
      <c r="A1477" s="2">
        <v>44576</v>
      </c>
      <c r="B1477">
        <v>2022</v>
      </c>
      <c r="C1477" t="s">
        <v>1075</v>
      </c>
      <c r="D1477" t="s">
        <v>1076</v>
      </c>
    </row>
    <row r="1478" spans="1:4" x14ac:dyDescent="0.3">
      <c r="A1478" s="2">
        <v>44577</v>
      </c>
      <c r="B1478">
        <v>2022</v>
      </c>
      <c r="C1478" t="s">
        <v>1075</v>
      </c>
      <c r="D1478" t="s">
        <v>1076</v>
      </c>
    </row>
    <row r="1479" spans="1:4" x14ac:dyDescent="0.3">
      <c r="A1479" s="2">
        <v>44578</v>
      </c>
      <c r="B1479">
        <v>2022</v>
      </c>
      <c r="C1479" t="s">
        <v>1075</v>
      </c>
      <c r="D1479" t="s">
        <v>1076</v>
      </c>
    </row>
    <row r="1480" spans="1:4" x14ac:dyDescent="0.3">
      <c r="A1480" s="2">
        <v>44579</v>
      </c>
      <c r="B1480">
        <v>2022</v>
      </c>
      <c r="C1480" t="s">
        <v>1075</v>
      </c>
      <c r="D1480" t="s">
        <v>1076</v>
      </c>
    </row>
    <row r="1481" spans="1:4" x14ac:dyDescent="0.3">
      <c r="A1481" s="2">
        <v>44580</v>
      </c>
      <c r="B1481">
        <v>2022</v>
      </c>
      <c r="C1481" t="s">
        <v>1075</v>
      </c>
      <c r="D1481" t="s">
        <v>1076</v>
      </c>
    </row>
    <row r="1482" spans="1:4" x14ac:dyDescent="0.3">
      <c r="A1482" s="2">
        <v>44581</v>
      </c>
      <c r="B1482">
        <v>2022</v>
      </c>
      <c r="C1482" t="s">
        <v>1075</v>
      </c>
      <c r="D1482" t="s">
        <v>1076</v>
      </c>
    </row>
    <row r="1483" spans="1:4" x14ac:dyDescent="0.3">
      <c r="A1483" s="2">
        <v>44582</v>
      </c>
      <c r="B1483">
        <v>2022</v>
      </c>
      <c r="C1483" t="s">
        <v>1075</v>
      </c>
      <c r="D1483" t="s">
        <v>1076</v>
      </c>
    </row>
    <row r="1484" spans="1:4" x14ac:dyDescent="0.3">
      <c r="A1484" s="2">
        <v>44583</v>
      </c>
      <c r="B1484">
        <v>2022</v>
      </c>
      <c r="C1484" t="s">
        <v>1075</v>
      </c>
      <c r="D1484" t="s">
        <v>1076</v>
      </c>
    </row>
    <row r="1485" spans="1:4" x14ac:dyDescent="0.3">
      <c r="A1485" s="2">
        <v>44584</v>
      </c>
      <c r="B1485">
        <v>2022</v>
      </c>
      <c r="C1485" t="s">
        <v>1075</v>
      </c>
      <c r="D1485" t="s">
        <v>1076</v>
      </c>
    </row>
    <row r="1486" spans="1:4" x14ac:dyDescent="0.3">
      <c r="A1486" s="2">
        <v>44585</v>
      </c>
      <c r="B1486">
        <v>2022</v>
      </c>
      <c r="C1486" t="s">
        <v>1075</v>
      </c>
      <c r="D1486" t="s">
        <v>1076</v>
      </c>
    </row>
    <row r="1487" spans="1:4" x14ac:dyDescent="0.3">
      <c r="A1487" s="2">
        <v>44586</v>
      </c>
      <c r="B1487">
        <v>2022</v>
      </c>
      <c r="C1487" t="s">
        <v>1075</v>
      </c>
      <c r="D1487" t="s">
        <v>1076</v>
      </c>
    </row>
    <row r="1488" spans="1:4" x14ac:dyDescent="0.3">
      <c r="A1488" s="2">
        <v>44587</v>
      </c>
      <c r="B1488">
        <v>2022</v>
      </c>
      <c r="C1488" t="s">
        <v>1075</v>
      </c>
      <c r="D1488" t="s">
        <v>1076</v>
      </c>
    </row>
    <row r="1489" spans="1:4" x14ac:dyDescent="0.3">
      <c r="A1489" s="2">
        <v>44588</v>
      </c>
      <c r="B1489">
        <v>2022</v>
      </c>
      <c r="C1489" t="s">
        <v>1075</v>
      </c>
      <c r="D1489" t="s">
        <v>1076</v>
      </c>
    </row>
    <row r="1490" spans="1:4" x14ac:dyDescent="0.3">
      <c r="A1490" s="2">
        <v>44589</v>
      </c>
      <c r="B1490">
        <v>2022</v>
      </c>
      <c r="C1490" t="s">
        <v>1075</v>
      </c>
      <c r="D1490" t="s">
        <v>1076</v>
      </c>
    </row>
    <row r="1491" spans="1:4" x14ac:dyDescent="0.3">
      <c r="A1491" s="2">
        <v>44590</v>
      </c>
      <c r="B1491">
        <v>2022</v>
      </c>
      <c r="C1491" t="s">
        <v>1075</v>
      </c>
      <c r="D1491" t="s">
        <v>1076</v>
      </c>
    </row>
    <row r="1492" spans="1:4" x14ac:dyDescent="0.3">
      <c r="A1492" s="2">
        <v>44591</v>
      </c>
      <c r="B1492">
        <v>2022</v>
      </c>
      <c r="C1492" t="s">
        <v>1075</v>
      </c>
      <c r="D1492" t="s">
        <v>1076</v>
      </c>
    </row>
    <row r="1493" spans="1:4" x14ac:dyDescent="0.3">
      <c r="A1493" s="2">
        <v>44592</v>
      </c>
      <c r="B1493">
        <v>2022</v>
      </c>
      <c r="C1493" t="s">
        <v>1075</v>
      </c>
      <c r="D1493" t="s">
        <v>1076</v>
      </c>
    </row>
    <row r="1494" spans="1:4" x14ac:dyDescent="0.3">
      <c r="A1494" s="2">
        <v>44593</v>
      </c>
      <c r="B1494">
        <v>2022</v>
      </c>
      <c r="C1494" t="s">
        <v>1075</v>
      </c>
      <c r="D1494" t="s">
        <v>1077</v>
      </c>
    </row>
    <row r="1495" spans="1:4" x14ac:dyDescent="0.3">
      <c r="A1495" s="2">
        <v>44594</v>
      </c>
      <c r="B1495">
        <v>2022</v>
      </c>
      <c r="C1495" t="s">
        <v>1075</v>
      </c>
      <c r="D1495" t="s">
        <v>1077</v>
      </c>
    </row>
    <row r="1496" spans="1:4" x14ac:dyDescent="0.3">
      <c r="A1496" s="2">
        <v>44595</v>
      </c>
      <c r="B1496">
        <v>2022</v>
      </c>
      <c r="C1496" t="s">
        <v>1075</v>
      </c>
      <c r="D1496" t="s">
        <v>1077</v>
      </c>
    </row>
    <row r="1497" spans="1:4" x14ac:dyDescent="0.3">
      <c r="A1497" s="2">
        <v>44596</v>
      </c>
      <c r="B1497">
        <v>2022</v>
      </c>
      <c r="C1497" t="s">
        <v>1075</v>
      </c>
      <c r="D1497" t="s">
        <v>1077</v>
      </c>
    </row>
    <row r="1498" spans="1:4" x14ac:dyDescent="0.3">
      <c r="A1498" s="2">
        <v>44597</v>
      </c>
      <c r="B1498">
        <v>2022</v>
      </c>
      <c r="C1498" t="s">
        <v>1075</v>
      </c>
      <c r="D1498" t="s">
        <v>1077</v>
      </c>
    </row>
    <row r="1499" spans="1:4" x14ac:dyDescent="0.3">
      <c r="A1499" s="2">
        <v>44598</v>
      </c>
      <c r="B1499">
        <v>2022</v>
      </c>
      <c r="C1499" t="s">
        <v>1075</v>
      </c>
      <c r="D1499" t="s">
        <v>1077</v>
      </c>
    </row>
    <row r="1500" spans="1:4" x14ac:dyDescent="0.3">
      <c r="A1500" s="2">
        <v>44599</v>
      </c>
      <c r="B1500">
        <v>2022</v>
      </c>
      <c r="C1500" t="s">
        <v>1075</v>
      </c>
      <c r="D1500" t="s">
        <v>1077</v>
      </c>
    </row>
    <row r="1501" spans="1:4" x14ac:dyDescent="0.3">
      <c r="A1501" s="2">
        <v>44600</v>
      </c>
      <c r="B1501">
        <v>2022</v>
      </c>
      <c r="C1501" t="s">
        <v>1075</v>
      </c>
      <c r="D1501" t="s">
        <v>1077</v>
      </c>
    </row>
    <row r="1502" spans="1:4" x14ac:dyDescent="0.3">
      <c r="A1502" s="2">
        <v>44601</v>
      </c>
      <c r="B1502">
        <v>2022</v>
      </c>
      <c r="C1502" t="s">
        <v>1075</v>
      </c>
      <c r="D1502" t="s">
        <v>1077</v>
      </c>
    </row>
    <row r="1503" spans="1:4" x14ac:dyDescent="0.3">
      <c r="A1503" s="2">
        <v>44602</v>
      </c>
      <c r="B1503">
        <v>2022</v>
      </c>
      <c r="C1503" t="s">
        <v>1075</v>
      </c>
      <c r="D1503" t="s">
        <v>1077</v>
      </c>
    </row>
    <row r="1504" spans="1:4" x14ac:dyDescent="0.3">
      <c r="A1504" s="2">
        <v>44603</v>
      </c>
      <c r="B1504">
        <v>2022</v>
      </c>
      <c r="C1504" t="s">
        <v>1075</v>
      </c>
      <c r="D1504" t="s">
        <v>1077</v>
      </c>
    </row>
    <row r="1505" spans="1:4" x14ac:dyDescent="0.3">
      <c r="A1505" s="2">
        <v>44604</v>
      </c>
      <c r="B1505">
        <v>2022</v>
      </c>
      <c r="C1505" t="s">
        <v>1075</v>
      </c>
      <c r="D1505" t="s">
        <v>1077</v>
      </c>
    </row>
    <row r="1506" spans="1:4" x14ac:dyDescent="0.3">
      <c r="A1506" s="2">
        <v>44605</v>
      </c>
      <c r="B1506">
        <v>2022</v>
      </c>
      <c r="C1506" t="s">
        <v>1075</v>
      </c>
      <c r="D1506" t="s">
        <v>1077</v>
      </c>
    </row>
    <row r="1507" spans="1:4" x14ac:dyDescent="0.3">
      <c r="A1507" s="2">
        <v>44606</v>
      </c>
      <c r="B1507">
        <v>2022</v>
      </c>
      <c r="C1507" t="s">
        <v>1075</v>
      </c>
      <c r="D1507" t="s">
        <v>1077</v>
      </c>
    </row>
    <row r="1508" spans="1:4" x14ac:dyDescent="0.3">
      <c r="A1508" s="2">
        <v>44607</v>
      </c>
      <c r="B1508">
        <v>2022</v>
      </c>
      <c r="C1508" t="s">
        <v>1075</v>
      </c>
      <c r="D1508" t="s">
        <v>1077</v>
      </c>
    </row>
    <row r="1509" spans="1:4" x14ac:dyDescent="0.3">
      <c r="A1509" s="2">
        <v>44608</v>
      </c>
      <c r="B1509">
        <v>2022</v>
      </c>
      <c r="C1509" t="s">
        <v>1075</v>
      </c>
      <c r="D1509" t="s">
        <v>1077</v>
      </c>
    </row>
    <row r="1510" spans="1:4" x14ac:dyDescent="0.3">
      <c r="A1510" s="2">
        <v>44609</v>
      </c>
      <c r="B1510">
        <v>2022</v>
      </c>
      <c r="C1510" t="s">
        <v>1075</v>
      </c>
      <c r="D1510" t="s">
        <v>1077</v>
      </c>
    </row>
    <row r="1511" spans="1:4" x14ac:dyDescent="0.3">
      <c r="A1511" s="2">
        <v>44610</v>
      </c>
      <c r="B1511">
        <v>2022</v>
      </c>
      <c r="C1511" t="s">
        <v>1075</v>
      </c>
      <c r="D1511" t="s">
        <v>1077</v>
      </c>
    </row>
    <row r="1512" spans="1:4" x14ac:dyDescent="0.3">
      <c r="A1512" s="2">
        <v>44611</v>
      </c>
      <c r="B1512">
        <v>2022</v>
      </c>
      <c r="C1512" t="s">
        <v>1075</v>
      </c>
      <c r="D1512" t="s">
        <v>1077</v>
      </c>
    </row>
    <row r="1513" spans="1:4" x14ac:dyDescent="0.3">
      <c r="A1513" s="2">
        <v>44612</v>
      </c>
      <c r="B1513">
        <v>2022</v>
      </c>
      <c r="C1513" t="s">
        <v>1075</v>
      </c>
      <c r="D1513" t="s">
        <v>1077</v>
      </c>
    </row>
    <row r="1514" spans="1:4" x14ac:dyDescent="0.3">
      <c r="A1514" s="2">
        <v>44613</v>
      </c>
      <c r="B1514">
        <v>2022</v>
      </c>
      <c r="C1514" t="s">
        <v>1075</v>
      </c>
      <c r="D1514" t="s">
        <v>1077</v>
      </c>
    </row>
    <row r="1515" spans="1:4" x14ac:dyDescent="0.3">
      <c r="A1515" s="2">
        <v>44614</v>
      </c>
      <c r="B1515">
        <v>2022</v>
      </c>
      <c r="C1515" t="s">
        <v>1075</v>
      </c>
      <c r="D1515" t="s">
        <v>1077</v>
      </c>
    </row>
    <row r="1516" spans="1:4" x14ac:dyDescent="0.3">
      <c r="A1516" s="2">
        <v>44615</v>
      </c>
      <c r="B1516">
        <v>2022</v>
      </c>
      <c r="C1516" t="s">
        <v>1075</v>
      </c>
      <c r="D1516" t="s">
        <v>1077</v>
      </c>
    </row>
    <row r="1517" spans="1:4" x14ac:dyDescent="0.3">
      <c r="A1517" s="2">
        <v>44616</v>
      </c>
      <c r="B1517">
        <v>2022</v>
      </c>
      <c r="C1517" t="s">
        <v>1075</v>
      </c>
      <c r="D1517" t="s">
        <v>1077</v>
      </c>
    </row>
    <row r="1518" spans="1:4" x14ac:dyDescent="0.3">
      <c r="A1518" s="2">
        <v>44617</v>
      </c>
      <c r="B1518">
        <v>2022</v>
      </c>
      <c r="C1518" t="s">
        <v>1075</v>
      </c>
      <c r="D1518" t="s">
        <v>1077</v>
      </c>
    </row>
    <row r="1519" spans="1:4" x14ac:dyDescent="0.3">
      <c r="A1519" s="2">
        <v>44618</v>
      </c>
      <c r="B1519">
        <v>2022</v>
      </c>
      <c r="C1519" t="s">
        <v>1075</v>
      </c>
      <c r="D1519" t="s">
        <v>1077</v>
      </c>
    </row>
    <row r="1520" spans="1:4" x14ac:dyDescent="0.3">
      <c r="A1520" s="2">
        <v>44619</v>
      </c>
      <c r="B1520">
        <v>2022</v>
      </c>
      <c r="C1520" t="s">
        <v>1075</v>
      </c>
      <c r="D1520" t="s">
        <v>1077</v>
      </c>
    </row>
    <row r="1521" spans="1:4" x14ac:dyDescent="0.3">
      <c r="A1521" s="2">
        <v>44620</v>
      </c>
      <c r="B1521">
        <v>2022</v>
      </c>
      <c r="C1521" t="s">
        <v>1075</v>
      </c>
      <c r="D1521" t="s">
        <v>1077</v>
      </c>
    </row>
    <row r="1522" spans="1:4" x14ac:dyDescent="0.3">
      <c r="A1522" s="2">
        <v>44621</v>
      </c>
      <c r="B1522">
        <v>2022</v>
      </c>
      <c r="C1522" t="s">
        <v>1075</v>
      </c>
      <c r="D1522" t="s">
        <v>1078</v>
      </c>
    </row>
    <row r="1523" spans="1:4" x14ac:dyDescent="0.3">
      <c r="A1523" s="2">
        <v>44622</v>
      </c>
      <c r="B1523">
        <v>2022</v>
      </c>
      <c r="C1523" t="s">
        <v>1075</v>
      </c>
      <c r="D1523" t="s">
        <v>1078</v>
      </c>
    </row>
    <row r="1524" spans="1:4" x14ac:dyDescent="0.3">
      <c r="A1524" s="2">
        <v>44623</v>
      </c>
      <c r="B1524">
        <v>2022</v>
      </c>
      <c r="C1524" t="s">
        <v>1075</v>
      </c>
      <c r="D1524" t="s">
        <v>1078</v>
      </c>
    </row>
    <row r="1525" spans="1:4" x14ac:dyDescent="0.3">
      <c r="A1525" s="2">
        <v>44624</v>
      </c>
      <c r="B1525">
        <v>2022</v>
      </c>
      <c r="C1525" t="s">
        <v>1075</v>
      </c>
      <c r="D1525" t="s">
        <v>1078</v>
      </c>
    </row>
    <row r="1526" spans="1:4" x14ac:dyDescent="0.3">
      <c r="A1526" s="2">
        <v>44625</v>
      </c>
      <c r="B1526">
        <v>2022</v>
      </c>
      <c r="C1526" t="s">
        <v>1075</v>
      </c>
      <c r="D1526" t="s">
        <v>1078</v>
      </c>
    </row>
    <row r="1527" spans="1:4" x14ac:dyDescent="0.3">
      <c r="A1527" s="2">
        <v>44626</v>
      </c>
      <c r="B1527">
        <v>2022</v>
      </c>
      <c r="C1527" t="s">
        <v>1075</v>
      </c>
      <c r="D1527" t="s">
        <v>1078</v>
      </c>
    </row>
    <row r="1528" spans="1:4" x14ac:dyDescent="0.3">
      <c r="A1528" s="2">
        <v>44627</v>
      </c>
      <c r="B1528">
        <v>2022</v>
      </c>
      <c r="C1528" t="s">
        <v>1075</v>
      </c>
      <c r="D1528" t="s">
        <v>1078</v>
      </c>
    </row>
    <row r="1529" spans="1:4" x14ac:dyDescent="0.3">
      <c r="A1529" s="2">
        <v>44628</v>
      </c>
      <c r="B1529">
        <v>2022</v>
      </c>
      <c r="C1529" t="s">
        <v>1075</v>
      </c>
      <c r="D1529" t="s">
        <v>1078</v>
      </c>
    </row>
    <row r="1530" spans="1:4" x14ac:dyDescent="0.3">
      <c r="A1530" s="2">
        <v>44629</v>
      </c>
      <c r="B1530">
        <v>2022</v>
      </c>
      <c r="C1530" t="s">
        <v>1075</v>
      </c>
      <c r="D1530" t="s">
        <v>1078</v>
      </c>
    </row>
    <row r="1531" spans="1:4" x14ac:dyDescent="0.3">
      <c r="A1531" s="2">
        <v>44630</v>
      </c>
      <c r="B1531">
        <v>2022</v>
      </c>
      <c r="C1531" t="s">
        <v>1075</v>
      </c>
      <c r="D1531" t="s">
        <v>1078</v>
      </c>
    </row>
    <row r="1532" spans="1:4" x14ac:dyDescent="0.3">
      <c r="A1532" s="2">
        <v>44631</v>
      </c>
      <c r="B1532">
        <v>2022</v>
      </c>
      <c r="C1532" t="s">
        <v>1075</v>
      </c>
      <c r="D1532" t="s">
        <v>1078</v>
      </c>
    </row>
    <row r="1533" spans="1:4" x14ac:dyDescent="0.3">
      <c r="A1533" s="2">
        <v>44632</v>
      </c>
      <c r="B1533">
        <v>2022</v>
      </c>
      <c r="C1533" t="s">
        <v>1075</v>
      </c>
      <c r="D1533" t="s">
        <v>1078</v>
      </c>
    </row>
    <row r="1534" spans="1:4" x14ac:dyDescent="0.3">
      <c r="A1534" s="2">
        <v>44633</v>
      </c>
      <c r="B1534">
        <v>2022</v>
      </c>
      <c r="C1534" t="s">
        <v>1075</v>
      </c>
      <c r="D1534" t="s">
        <v>1078</v>
      </c>
    </row>
    <row r="1535" spans="1:4" x14ac:dyDescent="0.3">
      <c r="A1535" s="2">
        <v>44634</v>
      </c>
      <c r="B1535">
        <v>2022</v>
      </c>
      <c r="C1535" t="s">
        <v>1075</v>
      </c>
      <c r="D1535" t="s">
        <v>1078</v>
      </c>
    </row>
    <row r="1536" spans="1:4" x14ac:dyDescent="0.3">
      <c r="A1536" s="2">
        <v>44635</v>
      </c>
      <c r="B1536">
        <v>2022</v>
      </c>
      <c r="C1536" t="s">
        <v>1075</v>
      </c>
      <c r="D1536" t="s">
        <v>1078</v>
      </c>
    </row>
    <row r="1537" spans="1:4" x14ac:dyDescent="0.3">
      <c r="A1537" s="2">
        <v>44636</v>
      </c>
      <c r="B1537">
        <v>2022</v>
      </c>
      <c r="C1537" t="s">
        <v>1075</v>
      </c>
      <c r="D1537" t="s">
        <v>1078</v>
      </c>
    </row>
    <row r="1538" spans="1:4" x14ac:dyDescent="0.3">
      <c r="A1538" s="2">
        <v>44637</v>
      </c>
      <c r="B1538">
        <v>2022</v>
      </c>
      <c r="C1538" t="s">
        <v>1075</v>
      </c>
      <c r="D1538" t="s">
        <v>1078</v>
      </c>
    </row>
    <row r="1539" spans="1:4" x14ac:dyDescent="0.3">
      <c r="A1539" s="2">
        <v>44638</v>
      </c>
      <c r="B1539">
        <v>2022</v>
      </c>
      <c r="C1539" t="s">
        <v>1075</v>
      </c>
      <c r="D1539" t="s">
        <v>1078</v>
      </c>
    </row>
    <row r="1540" spans="1:4" x14ac:dyDescent="0.3">
      <c r="A1540" s="2">
        <v>44639</v>
      </c>
      <c r="B1540">
        <v>2022</v>
      </c>
      <c r="C1540" t="s">
        <v>1075</v>
      </c>
      <c r="D1540" t="s">
        <v>1078</v>
      </c>
    </row>
    <row r="1541" spans="1:4" x14ac:dyDescent="0.3">
      <c r="A1541" s="2">
        <v>44640</v>
      </c>
      <c r="B1541">
        <v>2022</v>
      </c>
      <c r="C1541" t="s">
        <v>1075</v>
      </c>
      <c r="D1541" t="s">
        <v>1078</v>
      </c>
    </row>
    <row r="1542" spans="1:4" x14ac:dyDescent="0.3">
      <c r="A1542" s="2">
        <v>44641</v>
      </c>
      <c r="B1542">
        <v>2022</v>
      </c>
      <c r="C1542" t="s">
        <v>1075</v>
      </c>
      <c r="D1542" t="s">
        <v>1078</v>
      </c>
    </row>
    <row r="1543" spans="1:4" x14ac:dyDescent="0.3">
      <c r="A1543" s="2">
        <v>44642</v>
      </c>
      <c r="B1543">
        <v>2022</v>
      </c>
      <c r="C1543" t="s">
        <v>1075</v>
      </c>
      <c r="D1543" t="s">
        <v>1078</v>
      </c>
    </row>
    <row r="1544" spans="1:4" x14ac:dyDescent="0.3">
      <c r="A1544" s="2">
        <v>44643</v>
      </c>
      <c r="B1544">
        <v>2022</v>
      </c>
      <c r="C1544" t="s">
        <v>1075</v>
      </c>
      <c r="D1544" t="s">
        <v>1078</v>
      </c>
    </row>
    <row r="1545" spans="1:4" x14ac:dyDescent="0.3">
      <c r="A1545" s="2">
        <v>44644</v>
      </c>
      <c r="B1545">
        <v>2022</v>
      </c>
      <c r="C1545" t="s">
        <v>1075</v>
      </c>
      <c r="D1545" t="s">
        <v>1078</v>
      </c>
    </row>
    <row r="1546" spans="1:4" x14ac:dyDescent="0.3">
      <c r="A1546" s="2">
        <v>44645</v>
      </c>
      <c r="B1546">
        <v>2022</v>
      </c>
      <c r="C1546" t="s">
        <v>1075</v>
      </c>
      <c r="D1546" t="s">
        <v>1078</v>
      </c>
    </row>
    <row r="1547" spans="1:4" x14ac:dyDescent="0.3">
      <c r="A1547" s="2">
        <v>44646</v>
      </c>
      <c r="B1547">
        <v>2022</v>
      </c>
      <c r="C1547" t="s">
        <v>1075</v>
      </c>
      <c r="D1547" t="s">
        <v>1078</v>
      </c>
    </row>
    <row r="1548" spans="1:4" x14ac:dyDescent="0.3">
      <c r="A1548" s="2">
        <v>44647</v>
      </c>
      <c r="B1548">
        <v>2022</v>
      </c>
      <c r="C1548" t="s">
        <v>1075</v>
      </c>
      <c r="D1548" t="s">
        <v>1078</v>
      </c>
    </row>
    <row r="1549" spans="1:4" x14ac:dyDescent="0.3">
      <c r="A1549" s="2">
        <v>44648</v>
      </c>
      <c r="B1549">
        <v>2022</v>
      </c>
      <c r="C1549" t="s">
        <v>1075</v>
      </c>
      <c r="D1549" t="s">
        <v>1078</v>
      </c>
    </row>
    <row r="1550" spans="1:4" x14ac:dyDescent="0.3">
      <c r="A1550" s="2">
        <v>44649</v>
      </c>
      <c r="B1550">
        <v>2022</v>
      </c>
      <c r="C1550" t="s">
        <v>1075</v>
      </c>
      <c r="D1550" t="s">
        <v>1078</v>
      </c>
    </row>
    <row r="1551" spans="1:4" x14ac:dyDescent="0.3">
      <c r="A1551" s="2">
        <v>44650</v>
      </c>
      <c r="B1551">
        <v>2022</v>
      </c>
      <c r="C1551" t="s">
        <v>1075</v>
      </c>
      <c r="D1551" t="s">
        <v>1078</v>
      </c>
    </row>
    <row r="1552" spans="1:4" x14ac:dyDescent="0.3">
      <c r="A1552" s="2">
        <v>44651</v>
      </c>
      <c r="B1552">
        <v>2022</v>
      </c>
      <c r="C1552" t="s">
        <v>1075</v>
      </c>
      <c r="D1552" t="s">
        <v>1078</v>
      </c>
    </row>
    <row r="1553" spans="1:4" x14ac:dyDescent="0.3">
      <c r="A1553" s="2">
        <v>44652</v>
      </c>
      <c r="B1553">
        <v>2022</v>
      </c>
      <c r="C1553" t="s">
        <v>1079</v>
      </c>
      <c r="D1553" t="s">
        <v>1080</v>
      </c>
    </row>
    <row r="1554" spans="1:4" x14ac:dyDescent="0.3">
      <c r="A1554" s="2">
        <v>44653</v>
      </c>
      <c r="B1554">
        <v>2022</v>
      </c>
      <c r="C1554" t="s">
        <v>1079</v>
      </c>
      <c r="D1554" t="s">
        <v>1080</v>
      </c>
    </row>
    <row r="1555" spans="1:4" x14ac:dyDescent="0.3">
      <c r="A1555" s="2">
        <v>44654</v>
      </c>
      <c r="B1555">
        <v>2022</v>
      </c>
      <c r="C1555" t="s">
        <v>1079</v>
      </c>
      <c r="D1555" t="s">
        <v>1080</v>
      </c>
    </row>
    <row r="1556" spans="1:4" x14ac:dyDescent="0.3">
      <c r="A1556" s="2">
        <v>44655</v>
      </c>
      <c r="B1556">
        <v>2022</v>
      </c>
      <c r="C1556" t="s">
        <v>1079</v>
      </c>
      <c r="D1556" t="s">
        <v>1080</v>
      </c>
    </row>
    <row r="1557" spans="1:4" x14ac:dyDescent="0.3">
      <c r="A1557" s="2">
        <v>44656</v>
      </c>
      <c r="B1557">
        <v>2022</v>
      </c>
      <c r="C1557" t="s">
        <v>1079</v>
      </c>
      <c r="D1557" t="s">
        <v>1080</v>
      </c>
    </row>
    <row r="1558" spans="1:4" x14ac:dyDescent="0.3">
      <c r="A1558" s="2">
        <v>44657</v>
      </c>
      <c r="B1558">
        <v>2022</v>
      </c>
      <c r="C1558" t="s">
        <v>1079</v>
      </c>
      <c r="D1558" t="s">
        <v>1080</v>
      </c>
    </row>
    <row r="1559" spans="1:4" x14ac:dyDescent="0.3">
      <c r="A1559" s="2">
        <v>44658</v>
      </c>
      <c r="B1559">
        <v>2022</v>
      </c>
      <c r="C1559" t="s">
        <v>1079</v>
      </c>
      <c r="D1559" t="s">
        <v>1080</v>
      </c>
    </row>
    <row r="1560" spans="1:4" x14ac:dyDescent="0.3">
      <c r="A1560" s="2">
        <v>44659</v>
      </c>
      <c r="B1560">
        <v>2022</v>
      </c>
      <c r="C1560" t="s">
        <v>1079</v>
      </c>
      <c r="D1560" t="s">
        <v>1080</v>
      </c>
    </row>
    <row r="1561" spans="1:4" x14ac:dyDescent="0.3">
      <c r="A1561" s="2">
        <v>44660</v>
      </c>
      <c r="B1561">
        <v>2022</v>
      </c>
      <c r="C1561" t="s">
        <v>1079</v>
      </c>
      <c r="D1561" t="s">
        <v>1080</v>
      </c>
    </row>
    <row r="1562" spans="1:4" x14ac:dyDescent="0.3">
      <c r="A1562" s="2">
        <v>44661</v>
      </c>
      <c r="B1562">
        <v>2022</v>
      </c>
      <c r="C1562" t="s">
        <v>1079</v>
      </c>
      <c r="D1562" t="s">
        <v>1080</v>
      </c>
    </row>
    <row r="1563" spans="1:4" x14ac:dyDescent="0.3">
      <c r="A1563" s="2">
        <v>44662</v>
      </c>
      <c r="B1563">
        <v>2022</v>
      </c>
      <c r="C1563" t="s">
        <v>1079</v>
      </c>
      <c r="D1563" t="s">
        <v>1080</v>
      </c>
    </row>
    <row r="1564" spans="1:4" x14ac:dyDescent="0.3">
      <c r="A1564" s="2">
        <v>44663</v>
      </c>
      <c r="B1564">
        <v>2022</v>
      </c>
      <c r="C1564" t="s">
        <v>1079</v>
      </c>
      <c r="D1564" t="s">
        <v>1080</v>
      </c>
    </row>
    <row r="1565" spans="1:4" x14ac:dyDescent="0.3">
      <c r="A1565" s="2">
        <v>44664</v>
      </c>
      <c r="B1565">
        <v>2022</v>
      </c>
      <c r="C1565" t="s">
        <v>1079</v>
      </c>
      <c r="D1565" t="s">
        <v>1080</v>
      </c>
    </row>
    <row r="1566" spans="1:4" x14ac:dyDescent="0.3">
      <c r="A1566" s="2">
        <v>44665</v>
      </c>
      <c r="B1566">
        <v>2022</v>
      </c>
      <c r="C1566" t="s">
        <v>1079</v>
      </c>
      <c r="D1566" t="s">
        <v>1080</v>
      </c>
    </row>
    <row r="1567" spans="1:4" x14ac:dyDescent="0.3">
      <c r="A1567" s="2">
        <v>44666</v>
      </c>
      <c r="B1567">
        <v>2022</v>
      </c>
      <c r="C1567" t="s">
        <v>1079</v>
      </c>
      <c r="D1567" t="s">
        <v>1080</v>
      </c>
    </row>
    <row r="1568" spans="1:4" x14ac:dyDescent="0.3">
      <c r="A1568" s="2">
        <v>44667</v>
      </c>
      <c r="B1568">
        <v>2022</v>
      </c>
      <c r="C1568" t="s">
        <v>1079</v>
      </c>
      <c r="D1568" t="s">
        <v>1080</v>
      </c>
    </row>
    <row r="1569" spans="1:4" x14ac:dyDescent="0.3">
      <c r="A1569" s="2">
        <v>44668</v>
      </c>
      <c r="B1569">
        <v>2022</v>
      </c>
      <c r="C1569" t="s">
        <v>1079</v>
      </c>
      <c r="D1569" t="s">
        <v>1080</v>
      </c>
    </row>
    <row r="1570" spans="1:4" x14ac:dyDescent="0.3">
      <c r="A1570" s="2">
        <v>44669</v>
      </c>
      <c r="B1570">
        <v>2022</v>
      </c>
      <c r="C1570" t="s">
        <v>1079</v>
      </c>
      <c r="D1570" t="s">
        <v>1080</v>
      </c>
    </row>
    <row r="1571" spans="1:4" x14ac:dyDescent="0.3">
      <c r="A1571" s="2">
        <v>44670</v>
      </c>
      <c r="B1571">
        <v>2022</v>
      </c>
      <c r="C1571" t="s">
        <v>1079</v>
      </c>
      <c r="D1571" t="s">
        <v>1080</v>
      </c>
    </row>
    <row r="1572" spans="1:4" x14ac:dyDescent="0.3">
      <c r="A1572" s="2">
        <v>44671</v>
      </c>
      <c r="B1572">
        <v>2022</v>
      </c>
      <c r="C1572" t="s">
        <v>1079</v>
      </c>
      <c r="D1572" t="s">
        <v>1080</v>
      </c>
    </row>
    <row r="1573" spans="1:4" x14ac:dyDescent="0.3">
      <c r="A1573" s="2">
        <v>44672</v>
      </c>
      <c r="B1573">
        <v>2022</v>
      </c>
      <c r="C1573" t="s">
        <v>1079</v>
      </c>
      <c r="D1573" t="s">
        <v>1080</v>
      </c>
    </row>
    <row r="1574" spans="1:4" x14ac:dyDescent="0.3">
      <c r="A1574" s="2">
        <v>44673</v>
      </c>
      <c r="B1574">
        <v>2022</v>
      </c>
      <c r="C1574" t="s">
        <v>1079</v>
      </c>
      <c r="D1574" t="s">
        <v>1080</v>
      </c>
    </row>
    <row r="1575" spans="1:4" x14ac:dyDescent="0.3">
      <c r="A1575" s="2">
        <v>44674</v>
      </c>
      <c r="B1575">
        <v>2022</v>
      </c>
      <c r="C1575" t="s">
        <v>1079</v>
      </c>
      <c r="D1575" t="s">
        <v>1080</v>
      </c>
    </row>
    <row r="1576" spans="1:4" x14ac:dyDescent="0.3">
      <c r="A1576" s="2">
        <v>44675</v>
      </c>
      <c r="B1576">
        <v>2022</v>
      </c>
      <c r="C1576" t="s">
        <v>1079</v>
      </c>
      <c r="D1576" t="s">
        <v>1080</v>
      </c>
    </row>
    <row r="1577" spans="1:4" x14ac:dyDescent="0.3">
      <c r="A1577" s="2">
        <v>44676</v>
      </c>
      <c r="B1577">
        <v>2022</v>
      </c>
      <c r="C1577" t="s">
        <v>1079</v>
      </c>
      <c r="D1577" t="s">
        <v>1080</v>
      </c>
    </row>
    <row r="1578" spans="1:4" x14ac:dyDescent="0.3">
      <c r="A1578" s="2">
        <v>44677</v>
      </c>
      <c r="B1578">
        <v>2022</v>
      </c>
      <c r="C1578" t="s">
        <v>1079</v>
      </c>
      <c r="D1578" t="s">
        <v>1080</v>
      </c>
    </row>
    <row r="1579" spans="1:4" x14ac:dyDescent="0.3">
      <c r="A1579" s="2">
        <v>44678</v>
      </c>
      <c r="B1579">
        <v>2022</v>
      </c>
      <c r="C1579" t="s">
        <v>1079</v>
      </c>
      <c r="D1579" t="s">
        <v>1080</v>
      </c>
    </row>
    <row r="1580" spans="1:4" x14ac:dyDescent="0.3">
      <c r="A1580" s="2">
        <v>44679</v>
      </c>
      <c r="B1580">
        <v>2022</v>
      </c>
      <c r="C1580" t="s">
        <v>1079</v>
      </c>
      <c r="D1580" t="s">
        <v>1080</v>
      </c>
    </row>
    <row r="1581" spans="1:4" x14ac:dyDescent="0.3">
      <c r="A1581" s="2">
        <v>44680</v>
      </c>
      <c r="B1581">
        <v>2022</v>
      </c>
      <c r="C1581" t="s">
        <v>1079</v>
      </c>
      <c r="D1581" t="s">
        <v>1080</v>
      </c>
    </row>
    <row r="1582" spans="1:4" x14ac:dyDescent="0.3">
      <c r="A1582" s="2">
        <v>44681</v>
      </c>
      <c r="B1582">
        <v>2022</v>
      </c>
      <c r="C1582" t="s">
        <v>1079</v>
      </c>
      <c r="D1582" t="s">
        <v>1080</v>
      </c>
    </row>
    <row r="1583" spans="1:4" x14ac:dyDescent="0.3">
      <c r="A1583" s="2">
        <v>44682</v>
      </c>
      <c r="B1583">
        <v>2022</v>
      </c>
      <c r="C1583" t="s">
        <v>1079</v>
      </c>
      <c r="D1583" t="s">
        <v>1081</v>
      </c>
    </row>
    <row r="1584" spans="1:4" x14ac:dyDescent="0.3">
      <c r="A1584" s="2">
        <v>44683</v>
      </c>
      <c r="B1584">
        <v>2022</v>
      </c>
      <c r="C1584" t="s">
        <v>1079</v>
      </c>
      <c r="D1584" t="s">
        <v>1081</v>
      </c>
    </row>
    <row r="1585" spans="1:4" x14ac:dyDescent="0.3">
      <c r="A1585" s="2">
        <v>44684</v>
      </c>
      <c r="B1585">
        <v>2022</v>
      </c>
      <c r="C1585" t="s">
        <v>1079</v>
      </c>
      <c r="D1585" t="s">
        <v>1081</v>
      </c>
    </row>
    <row r="1586" spans="1:4" x14ac:dyDescent="0.3">
      <c r="A1586" s="2">
        <v>44685</v>
      </c>
      <c r="B1586">
        <v>2022</v>
      </c>
      <c r="C1586" t="s">
        <v>1079</v>
      </c>
      <c r="D1586" t="s">
        <v>1081</v>
      </c>
    </row>
    <row r="1587" spans="1:4" x14ac:dyDescent="0.3">
      <c r="A1587" s="2">
        <v>44686</v>
      </c>
      <c r="B1587">
        <v>2022</v>
      </c>
      <c r="C1587" t="s">
        <v>1079</v>
      </c>
      <c r="D1587" t="s">
        <v>1081</v>
      </c>
    </row>
    <row r="1588" spans="1:4" x14ac:dyDescent="0.3">
      <c r="A1588" s="2">
        <v>44687</v>
      </c>
      <c r="B1588">
        <v>2022</v>
      </c>
      <c r="C1588" t="s">
        <v>1079</v>
      </c>
      <c r="D1588" t="s">
        <v>1081</v>
      </c>
    </row>
    <row r="1589" spans="1:4" x14ac:dyDescent="0.3">
      <c r="A1589" s="2">
        <v>44688</v>
      </c>
      <c r="B1589">
        <v>2022</v>
      </c>
      <c r="C1589" t="s">
        <v>1079</v>
      </c>
      <c r="D1589" t="s">
        <v>1081</v>
      </c>
    </row>
    <row r="1590" spans="1:4" x14ac:dyDescent="0.3">
      <c r="A1590" s="2">
        <v>44689</v>
      </c>
      <c r="B1590">
        <v>2022</v>
      </c>
      <c r="C1590" t="s">
        <v>1079</v>
      </c>
      <c r="D1590" t="s">
        <v>1081</v>
      </c>
    </row>
    <row r="1591" spans="1:4" x14ac:dyDescent="0.3">
      <c r="A1591" s="2">
        <v>44690</v>
      </c>
      <c r="B1591">
        <v>2022</v>
      </c>
      <c r="C1591" t="s">
        <v>1079</v>
      </c>
      <c r="D1591" t="s">
        <v>1081</v>
      </c>
    </row>
    <row r="1592" spans="1:4" x14ac:dyDescent="0.3">
      <c r="A1592" s="2">
        <v>44691</v>
      </c>
      <c r="B1592">
        <v>2022</v>
      </c>
      <c r="C1592" t="s">
        <v>1079</v>
      </c>
      <c r="D1592" t="s">
        <v>1081</v>
      </c>
    </row>
    <row r="1593" spans="1:4" x14ac:dyDescent="0.3">
      <c r="A1593" s="2">
        <v>44692</v>
      </c>
      <c r="B1593">
        <v>2022</v>
      </c>
      <c r="C1593" t="s">
        <v>1079</v>
      </c>
      <c r="D1593" t="s">
        <v>1081</v>
      </c>
    </row>
    <row r="1594" spans="1:4" x14ac:dyDescent="0.3">
      <c r="A1594" s="2">
        <v>44693</v>
      </c>
      <c r="B1594">
        <v>2022</v>
      </c>
      <c r="C1594" t="s">
        <v>1079</v>
      </c>
      <c r="D1594" t="s">
        <v>1081</v>
      </c>
    </row>
    <row r="1595" spans="1:4" x14ac:dyDescent="0.3">
      <c r="A1595" s="2">
        <v>44694</v>
      </c>
      <c r="B1595">
        <v>2022</v>
      </c>
      <c r="C1595" t="s">
        <v>1079</v>
      </c>
      <c r="D1595" t="s">
        <v>1081</v>
      </c>
    </row>
    <row r="1596" spans="1:4" x14ac:dyDescent="0.3">
      <c r="A1596" s="2">
        <v>44695</v>
      </c>
      <c r="B1596">
        <v>2022</v>
      </c>
      <c r="C1596" t="s">
        <v>1079</v>
      </c>
      <c r="D1596" t="s">
        <v>1081</v>
      </c>
    </row>
    <row r="1597" spans="1:4" x14ac:dyDescent="0.3">
      <c r="A1597" s="2">
        <v>44696</v>
      </c>
      <c r="B1597">
        <v>2022</v>
      </c>
      <c r="C1597" t="s">
        <v>1079</v>
      </c>
      <c r="D1597" t="s">
        <v>1081</v>
      </c>
    </row>
    <row r="1598" spans="1:4" x14ac:dyDescent="0.3">
      <c r="A1598" s="2">
        <v>44697</v>
      </c>
      <c r="B1598">
        <v>2022</v>
      </c>
      <c r="C1598" t="s">
        <v>1079</v>
      </c>
      <c r="D1598" t="s">
        <v>1081</v>
      </c>
    </row>
    <row r="1599" spans="1:4" x14ac:dyDescent="0.3">
      <c r="A1599" s="2">
        <v>44698</v>
      </c>
      <c r="B1599">
        <v>2022</v>
      </c>
      <c r="C1599" t="s">
        <v>1079</v>
      </c>
      <c r="D1599" t="s">
        <v>1081</v>
      </c>
    </row>
    <row r="1600" spans="1:4" x14ac:dyDescent="0.3">
      <c r="A1600" s="2">
        <v>44699</v>
      </c>
      <c r="B1600">
        <v>2022</v>
      </c>
      <c r="C1600" t="s">
        <v>1079</v>
      </c>
      <c r="D1600" t="s">
        <v>1081</v>
      </c>
    </row>
    <row r="1601" spans="1:4" x14ac:dyDescent="0.3">
      <c r="A1601" s="2">
        <v>44700</v>
      </c>
      <c r="B1601">
        <v>2022</v>
      </c>
      <c r="C1601" t="s">
        <v>1079</v>
      </c>
      <c r="D1601" t="s">
        <v>1081</v>
      </c>
    </row>
    <row r="1602" spans="1:4" x14ac:dyDescent="0.3">
      <c r="A1602" s="2">
        <v>44701</v>
      </c>
      <c r="B1602">
        <v>2022</v>
      </c>
      <c r="C1602" t="s">
        <v>1079</v>
      </c>
      <c r="D1602" t="s">
        <v>1081</v>
      </c>
    </row>
    <row r="1603" spans="1:4" x14ac:dyDescent="0.3">
      <c r="A1603" s="2">
        <v>44702</v>
      </c>
      <c r="B1603">
        <v>2022</v>
      </c>
      <c r="C1603" t="s">
        <v>1079</v>
      </c>
      <c r="D1603" t="s">
        <v>1081</v>
      </c>
    </row>
    <row r="1604" spans="1:4" x14ac:dyDescent="0.3">
      <c r="A1604" s="2">
        <v>44703</v>
      </c>
      <c r="B1604">
        <v>2022</v>
      </c>
      <c r="C1604" t="s">
        <v>1079</v>
      </c>
      <c r="D1604" t="s">
        <v>1081</v>
      </c>
    </row>
    <row r="1605" spans="1:4" x14ac:dyDescent="0.3">
      <c r="A1605" s="2">
        <v>44704</v>
      </c>
      <c r="B1605">
        <v>2022</v>
      </c>
      <c r="C1605" t="s">
        <v>1079</v>
      </c>
      <c r="D1605" t="s">
        <v>1081</v>
      </c>
    </row>
    <row r="1606" spans="1:4" x14ac:dyDescent="0.3">
      <c r="A1606" s="2">
        <v>44705</v>
      </c>
      <c r="B1606">
        <v>2022</v>
      </c>
      <c r="C1606" t="s">
        <v>1079</v>
      </c>
      <c r="D1606" t="s">
        <v>1081</v>
      </c>
    </row>
    <row r="1607" spans="1:4" x14ac:dyDescent="0.3">
      <c r="A1607" s="2">
        <v>44706</v>
      </c>
      <c r="B1607">
        <v>2022</v>
      </c>
      <c r="C1607" t="s">
        <v>1079</v>
      </c>
      <c r="D1607" t="s">
        <v>1081</v>
      </c>
    </row>
    <row r="1608" spans="1:4" x14ac:dyDescent="0.3">
      <c r="A1608" s="2">
        <v>44707</v>
      </c>
      <c r="B1608">
        <v>2022</v>
      </c>
      <c r="C1608" t="s">
        <v>1079</v>
      </c>
      <c r="D1608" t="s">
        <v>1081</v>
      </c>
    </row>
    <row r="1609" spans="1:4" x14ac:dyDescent="0.3">
      <c r="A1609" s="2">
        <v>44708</v>
      </c>
      <c r="B1609">
        <v>2022</v>
      </c>
      <c r="C1609" t="s">
        <v>1079</v>
      </c>
      <c r="D1609" t="s">
        <v>1081</v>
      </c>
    </row>
    <row r="1610" spans="1:4" x14ac:dyDescent="0.3">
      <c r="A1610" s="2">
        <v>44709</v>
      </c>
      <c r="B1610">
        <v>2022</v>
      </c>
      <c r="C1610" t="s">
        <v>1079</v>
      </c>
      <c r="D1610" t="s">
        <v>1081</v>
      </c>
    </row>
    <row r="1611" spans="1:4" x14ac:dyDescent="0.3">
      <c r="A1611" s="2">
        <v>44710</v>
      </c>
      <c r="B1611">
        <v>2022</v>
      </c>
      <c r="C1611" t="s">
        <v>1079</v>
      </c>
      <c r="D1611" t="s">
        <v>1081</v>
      </c>
    </row>
    <row r="1612" spans="1:4" x14ac:dyDescent="0.3">
      <c r="A1612" s="2">
        <v>44711</v>
      </c>
      <c r="B1612">
        <v>2022</v>
      </c>
      <c r="C1612" t="s">
        <v>1079</v>
      </c>
      <c r="D1612" t="s">
        <v>1081</v>
      </c>
    </row>
    <row r="1613" spans="1:4" x14ac:dyDescent="0.3">
      <c r="A1613" s="2">
        <v>44712</v>
      </c>
      <c r="B1613">
        <v>2022</v>
      </c>
      <c r="C1613" t="s">
        <v>1079</v>
      </c>
      <c r="D1613" t="s">
        <v>1081</v>
      </c>
    </row>
    <row r="1614" spans="1:4" x14ac:dyDescent="0.3">
      <c r="A1614" s="2">
        <v>44713</v>
      </c>
      <c r="B1614">
        <v>2022</v>
      </c>
      <c r="C1614" t="s">
        <v>1079</v>
      </c>
      <c r="D1614" t="s">
        <v>1082</v>
      </c>
    </row>
    <row r="1615" spans="1:4" x14ac:dyDescent="0.3">
      <c r="A1615" s="2">
        <v>44714</v>
      </c>
      <c r="B1615">
        <v>2022</v>
      </c>
      <c r="C1615" t="s">
        <v>1079</v>
      </c>
      <c r="D1615" t="s">
        <v>1082</v>
      </c>
    </row>
    <row r="1616" spans="1:4" x14ac:dyDescent="0.3">
      <c r="A1616" s="2">
        <v>44715</v>
      </c>
      <c r="B1616">
        <v>2022</v>
      </c>
      <c r="C1616" t="s">
        <v>1079</v>
      </c>
      <c r="D1616" t="s">
        <v>1082</v>
      </c>
    </row>
    <row r="1617" spans="1:4" x14ac:dyDescent="0.3">
      <c r="A1617" s="2">
        <v>44716</v>
      </c>
      <c r="B1617">
        <v>2022</v>
      </c>
      <c r="C1617" t="s">
        <v>1079</v>
      </c>
      <c r="D1617" t="s">
        <v>1082</v>
      </c>
    </row>
    <row r="1618" spans="1:4" x14ac:dyDescent="0.3">
      <c r="A1618" s="2">
        <v>44717</v>
      </c>
      <c r="B1618">
        <v>2022</v>
      </c>
      <c r="C1618" t="s">
        <v>1079</v>
      </c>
      <c r="D1618" t="s">
        <v>1082</v>
      </c>
    </row>
    <row r="1619" spans="1:4" x14ac:dyDescent="0.3">
      <c r="A1619" s="2">
        <v>44718</v>
      </c>
      <c r="B1619">
        <v>2022</v>
      </c>
      <c r="C1619" t="s">
        <v>1079</v>
      </c>
      <c r="D1619" t="s">
        <v>1082</v>
      </c>
    </row>
    <row r="1620" spans="1:4" x14ac:dyDescent="0.3">
      <c r="A1620" s="2">
        <v>44719</v>
      </c>
      <c r="B1620">
        <v>2022</v>
      </c>
      <c r="C1620" t="s">
        <v>1079</v>
      </c>
      <c r="D1620" t="s">
        <v>1082</v>
      </c>
    </row>
    <row r="1621" spans="1:4" x14ac:dyDescent="0.3">
      <c r="A1621" s="2">
        <v>44720</v>
      </c>
      <c r="B1621">
        <v>2022</v>
      </c>
      <c r="C1621" t="s">
        <v>1079</v>
      </c>
      <c r="D1621" t="s">
        <v>1082</v>
      </c>
    </row>
    <row r="1622" spans="1:4" x14ac:dyDescent="0.3">
      <c r="A1622" s="2">
        <v>44721</v>
      </c>
      <c r="B1622">
        <v>2022</v>
      </c>
      <c r="C1622" t="s">
        <v>1079</v>
      </c>
      <c r="D1622" t="s">
        <v>1082</v>
      </c>
    </row>
    <row r="1623" spans="1:4" x14ac:dyDescent="0.3">
      <c r="A1623" s="2">
        <v>44722</v>
      </c>
      <c r="B1623">
        <v>2022</v>
      </c>
      <c r="C1623" t="s">
        <v>1079</v>
      </c>
      <c r="D1623" t="s">
        <v>1082</v>
      </c>
    </row>
    <row r="1624" spans="1:4" x14ac:dyDescent="0.3">
      <c r="A1624" s="2">
        <v>44723</v>
      </c>
      <c r="B1624">
        <v>2022</v>
      </c>
      <c r="C1624" t="s">
        <v>1079</v>
      </c>
      <c r="D1624" t="s">
        <v>1082</v>
      </c>
    </row>
    <row r="1625" spans="1:4" x14ac:dyDescent="0.3">
      <c r="A1625" s="2">
        <v>44724</v>
      </c>
      <c r="B1625">
        <v>2022</v>
      </c>
      <c r="C1625" t="s">
        <v>1079</v>
      </c>
      <c r="D1625" t="s">
        <v>1082</v>
      </c>
    </row>
    <row r="1626" spans="1:4" x14ac:dyDescent="0.3">
      <c r="A1626" s="2">
        <v>44725</v>
      </c>
      <c r="B1626">
        <v>2022</v>
      </c>
      <c r="C1626" t="s">
        <v>1079</v>
      </c>
      <c r="D1626" t="s">
        <v>1082</v>
      </c>
    </row>
    <row r="1627" spans="1:4" x14ac:dyDescent="0.3">
      <c r="A1627" s="2">
        <v>44726</v>
      </c>
      <c r="B1627">
        <v>2022</v>
      </c>
      <c r="C1627" t="s">
        <v>1079</v>
      </c>
      <c r="D1627" t="s">
        <v>1082</v>
      </c>
    </row>
    <row r="1628" spans="1:4" x14ac:dyDescent="0.3">
      <c r="A1628" s="2">
        <v>44727</v>
      </c>
      <c r="B1628">
        <v>2022</v>
      </c>
      <c r="C1628" t="s">
        <v>1079</v>
      </c>
      <c r="D1628" t="s">
        <v>1082</v>
      </c>
    </row>
    <row r="1629" spans="1:4" x14ac:dyDescent="0.3">
      <c r="A1629" s="2">
        <v>44728</v>
      </c>
      <c r="B1629">
        <v>2022</v>
      </c>
      <c r="C1629" t="s">
        <v>1079</v>
      </c>
      <c r="D1629" t="s">
        <v>1082</v>
      </c>
    </row>
    <row r="1630" spans="1:4" x14ac:dyDescent="0.3">
      <c r="A1630" s="2">
        <v>44729</v>
      </c>
      <c r="B1630">
        <v>2022</v>
      </c>
      <c r="C1630" t="s">
        <v>1079</v>
      </c>
      <c r="D1630" t="s">
        <v>1082</v>
      </c>
    </row>
    <row r="1631" spans="1:4" x14ac:dyDescent="0.3">
      <c r="A1631" s="2">
        <v>44730</v>
      </c>
      <c r="B1631">
        <v>2022</v>
      </c>
      <c r="C1631" t="s">
        <v>1079</v>
      </c>
      <c r="D1631" t="s">
        <v>1082</v>
      </c>
    </row>
    <row r="1632" spans="1:4" x14ac:dyDescent="0.3">
      <c r="A1632" s="2">
        <v>44731</v>
      </c>
      <c r="B1632">
        <v>2022</v>
      </c>
      <c r="C1632" t="s">
        <v>1079</v>
      </c>
      <c r="D1632" t="s">
        <v>1082</v>
      </c>
    </row>
    <row r="1633" spans="1:4" x14ac:dyDescent="0.3">
      <c r="A1633" s="2">
        <v>44732</v>
      </c>
      <c r="B1633">
        <v>2022</v>
      </c>
      <c r="C1633" t="s">
        <v>1079</v>
      </c>
      <c r="D1633" t="s">
        <v>1082</v>
      </c>
    </row>
    <row r="1634" spans="1:4" x14ac:dyDescent="0.3">
      <c r="A1634" s="2">
        <v>44733</v>
      </c>
      <c r="B1634">
        <v>2022</v>
      </c>
      <c r="C1634" t="s">
        <v>1079</v>
      </c>
      <c r="D1634" t="s">
        <v>1082</v>
      </c>
    </row>
    <row r="1635" spans="1:4" x14ac:dyDescent="0.3">
      <c r="A1635" s="2">
        <v>44734</v>
      </c>
      <c r="B1635">
        <v>2022</v>
      </c>
      <c r="C1635" t="s">
        <v>1079</v>
      </c>
      <c r="D1635" t="s">
        <v>1082</v>
      </c>
    </row>
    <row r="1636" spans="1:4" x14ac:dyDescent="0.3">
      <c r="A1636" s="2">
        <v>44735</v>
      </c>
      <c r="B1636">
        <v>2022</v>
      </c>
      <c r="C1636" t="s">
        <v>1079</v>
      </c>
      <c r="D1636" t="s">
        <v>1082</v>
      </c>
    </row>
    <row r="1637" spans="1:4" x14ac:dyDescent="0.3">
      <c r="A1637" s="2">
        <v>44736</v>
      </c>
      <c r="B1637">
        <v>2022</v>
      </c>
      <c r="C1637" t="s">
        <v>1079</v>
      </c>
      <c r="D1637" t="s">
        <v>1082</v>
      </c>
    </row>
    <row r="1638" spans="1:4" x14ac:dyDescent="0.3">
      <c r="A1638" s="2">
        <v>44737</v>
      </c>
      <c r="B1638">
        <v>2022</v>
      </c>
      <c r="C1638" t="s">
        <v>1079</v>
      </c>
      <c r="D1638" t="s">
        <v>1082</v>
      </c>
    </row>
    <row r="1639" spans="1:4" x14ac:dyDescent="0.3">
      <c r="A1639" s="2">
        <v>44738</v>
      </c>
      <c r="B1639">
        <v>2022</v>
      </c>
      <c r="C1639" t="s">
        <v>1079</v>
      </c>
      <c r="D1639" t="s">
        <v>1082</v>
      </c>
    </row>
    <row r="1640" spans="1:4" x14ac:dyDescent="0.3">
      <c r="A1640" s="2">
        <v>44739</v>
      </c>
      <c r="B1640">
        <v>2022</v>
      </c>
      <c r="C1640" t="s">
        <v>1079</v>
      </c>
      <c r="D1640" t="s">
        <v>1082</v>
      </c>
    </row>
    <row r="1641" spans="1:4" x14ac:dyDescent="0.3">
      <c r="A1641" s="2">
        <v>44740</v>
      </c>
      <c r="B1641">
        <v>2022</v>
      </c>
      <c r="C1641" t="s">
        <v>1079</v>
      </c>
      <c r="D1641" t="s">
        <v>1082</v>
      </c>
    </row>
    <row r="1642" spans="1:4" x14ac:dyDescent="0.3">
      <c r="A1642" s="2">
        <v>44741</v>
      </c>
      <c r="B1642">
        <v>2022</v>
      </c>
      <c r="C1642" t="s">
        <v>1079</v>
      </c>
      <c r="D1642" t="s">
        <v>1082</v>
      </c>
    </row>
    <row r="1643" spans="1:4" x14ac:dyDescent="0.3">
      <c r="A1643" s="2">
        <v>44742</v>
      </c>
      <c r="B1643">
        <v>2022</v>
      </c>
      <c r="C1643" t="s">
        <v>1079</v>
      </c>
      <c r="D1643" t="s">
        <v>1082</v>
      </c>
    </row>
    <row r="1644" spans="1:4" x14ac:dyDescent="0.3">
      <c r="A1644" s="2">
        <v>44743</v>
      </c>
      <c r="B1644">
        <v>2022</v>
      </c>
      <c r="C1644" t="s">
        <v>1083</v>
      </c>
      <c r="D1644" t="s">
        <v>1084</v>
      </c>
    </row>
    <row r="1645" spans="1:4" x14ac:dyDescent="0.3">
      <c r="A1645" s="2">
        <v>44744</v>
      </c>
      <c r="B1645">
        <v>2022</v>
      </c>
      <c r="C1645" t="s">
        <v>1083</v>
      </c>
      <c r="D1645" t="s">
        <v>1084</v>
      </c>
    </row>
    <row r="1646" spans="1:4" x14ac:dyDescent="0.3">
      <c r="A1646" s="2">
        <v>44745</v>
      </c>
      <c r="B1646">
        <v>2022</v>
      </c>
      <c r="C1646" t="s">
        <v>1083</v>
      </c>
      <c r="D1646" t="s">
        <v>1084</v>
      </c>
    </row>
    <row r="1647" spans="1:4" x14ac:dyDescent="0.3">
      <c r="A1647" s="2">
        <v>44746</v>
      </c>
      <c r="B1647">
        <v>2022</v>
      </c>
      <c r="C1647" t="s">
        <v>1083</v>
      </c>
      <c r="D1647" t="s">
        <v>1084</v>
      </c>
    </row>
    <row r="1648" spans="1:4" x14ac:dyDescent="0.3">
      <c r="A1648" s="2">
        <v>44747</v>
      </c>
      <c r="B1648">
        <v>2022</v>
      </c>
      <c r="C1648" t="s">
        <v>1083</v>
      </c>
      <c r="D1648" t="s">
        <v>1084</v>
      </c>
    </row>
    <row r="1649" spans="1:4" x14ac:dyDescent="0.3">
      <c r="A1649" s="2">
        <v>44748</v>
      </c>
      <c r="B1649">
        <v>2022</v>
      </c>
      <c r="C1649" t="s">
        <v>1083</v>
      </c>
      <c r="D1649" t="s">
        <v>1084</v>
      </c>
    </row>
    <row r="1650" spans="1:4" x14ac:dyDescent="0.3">
      <c r="A1650" s="2">
        <v>44749</v>
      </c>
      <c r="B1650">
        <v>2022</v>
      </c>
      <c r="C1650" t="s">
        <v>1083</v>
      </c>
      <c r="D1650" t="s">
        <v>1084</v>
      </c>
    </row>
    <row r="1651" spans="1:4" x14ac:dyDescent="0.3">
      <c r="A1651" s="2">
        <v>44750</v>
      </c>
      <c r="B1651">
        <v>2022</v>
      </c>
      <c r="C1651" t="s">
        <v>1083</v>
      </c>
      <c r="D1651" t="s">
        <v>1084</v>
      </c>
    </row>
    <row r="1652" spans="1:4" x14ac:dyDescent="0.3">
      <c r="A1652" s="2">
        <v>44751</v>
      </c>
      <c r="B1652">
        <v>2022</v>
      </c>
      <c r="C1652" t="s">
        <v>1083</v>
      </c>
      <c r="D1652" t="s">
        <v>1084</v>
      </c>
    </row>
    <row r="1653" spans="1:4" x14ac:dyDescent="0.3">
      <c r="A1653" s="2">
        <v>44752</v>
      </c>
      <c r="B1653">
        <v>2022</v>
      </c>
      <c r="C1653" t="s">
        <v>1083</v>
      </c>
      <c r="D1653" t="s">
        <v>1084</v>
      </c>
    </row>
    <row r="1654" spans="1:4" x14ac:dyDescent="0.3">
      <c r="A1654" s="2">
        <v>44753</v>
      </c>
      <c r="B1654">
        <v>2022</v>
      </c>
      <c r="C1654" t="s">
        <v>1083</v>
      </c>
      <c r="D1654" t="s">
        <v>1084</v>
      </c>
    </row>
    <row r="1655" spans="1:4" x14ac:dyDescent="0.3">
      <c r="A1655" s="2">
        <v>44754</v>
      </c>
      <c r="B1655">
        <v>2022</v>
      </c>
      <c r="C1655" t="s">
        <v>1083</v>
      </c>
      <c r="D1655" t="s">
        <v>1084</v>
      </c>
    </row>
    <row r="1656" spans="1:4" x14ac:dyDescent="0.3">
      <c r="A1656" s="2">
        <v>44755</v>
      </c>
      <c r="B1656">
        <v>2022</v>
      </c>
      <c r="C1656" t="s">
        <v>1083</v>
      </c>
      <c r="D1656" t="s">
        <v>1084</v>
      </c>
    </row>
    <row r="1657" spans="1:4" x14ac:dyDescent="0.3">
      <c r="A1657" s="2">
        <v>44756</v>
      </c>
      <c r="B1657">
        <v>2022</v>
      </c>
      <c r="C1657" t="s">
        <v>1083</v>
      </c>
      <c r="D1657" t="s">
        <v>1084</v>
      </c>
    </row>
    <row r="1658" spans="1:4" x14ac:dyDescent="0.3">
      <c r="A1658" s="2">
        <v>44757</v>
      </c>
      <c r="B1658">
        <v>2022</v>
      </c>
      <c r="C1658" t="s">
        <v>1083</v>
      </c>
      <c r="D1658" t="s">
        <v>1084</v>
      </c>
    </row>
    <row r="1659" spans="1:4" x14ac:dyDescent="0.3">
      <c r="A1659" s="2">
        <v>44758</v>
      </c>
      <c r="B1659">
        <v>2022</v>
      </c>
      <c r="C1659" t="s">
        <v>1083</v>
      </c>
      <c r="D1659" t="s">
        <v>1084</v>
      </c>
    </row>
    <row r="1660" spans="1:4" x14ac:dyDescent="0.3">
      <c r="A1660" s="2">
        <v>44759</v>
      </c>
      <c r="B1660">
        <v>2022</v>
      </c>
      <c r="C1660" t="s">
        <v>1083</v>
      </c>
      <c r="D1660" t="s">
        <v>1084</v>
      </c>
    </row>
    <row r="1661" spans="1:4" x14ac:dyDescent="0.3">
      <c r="A1661" s="2">
        <v>44760</v>
      </c>
      <c r="B1661">
        <v>2022</v>
      </c>
      <c r="C1661" t="s">
        <v>1083</v>
      </c>
      <c r="D1661" t="s">
        <v>1084</v>
      </c>
    </row>
    <row r="1662" spans="1:4" x14ac:dyDescent="0.3">
      <c r="A1662" s="2">
        <v>44761</v>
      </c>
      <c r="B1662">
        <v>2022</v>
      </c>
      <c r="C1662" t="s">
        <v>1083</v>
      </c>
      <c r="D1662" t="s">
        <v>1084</v>
      </c>
    </row>
    <row r="1663" spans="1:4" x14ac:dyDescent="0.3">
      <c r="A1663" s="2">
        <v>44762</v>
      </c>
      <c r="B1663">
        <v>2022</v>
      </c>
      <c r="C1663" t="s">
        <v>1083</v>
      </c>
      <c r="D1663" t="s">
        <v>1084</v>
      </c>
    </row>
    <row r="1664" spans="1:4" x14ac:dyDescent="0.3">
      <c r="A1664" s="2">
        <v>44763</v>
      </c>
      <c r="B1664">
        <v>2022</v>
      </c>
      <c r="C1664" t="s">
        <v>1083</v>
      </c>
      <c r="D1664" t="s">
        <v>1084</v>
      </c>
    </row>
    <row r="1665" spans="1:4" x14ac:dyDescent="0.3">
      <c r="A1665" s="2">
        <v>44764</v>
      </c>
      <c r="B1665">
        <v>2022</v>
      </c>
      <c r="C1665" t="s">
        <v>1083</v>
      </c>
      <c r="D1665" t="s">
        <v>1084</v>
      </c>
    </row>
    <row r="1666" spans="1:4" x14ac:dyDescent="0.3">
      <c r="A1666" s="2">
        <v>44765</v>
      </c>
      <c r="B1666">
        <v>2022</v>
      </c>
      <c r="C1666" t="s">
        <v>1083</v>
      </c>
      <c r="D1666" t="s">
        <v>1084</v>
      </c>
    </row>
    <row r="1667" spans="1:4" x14ac:dyDescent="0.3">
      <c r="A1667" s="2">
        <v>44766</v>
      </c>
      <c r="B1667">
        <v>2022</v>
      </c>
      <c r="C1667" t="s">
        <v>1083</v>
      </c>
      <c r="D1667" t="s">
        <v>1084</v>
      </c>
    </row>
    <row r="1668" spans="1:4" x14ac:dyDescent="0.3">
      <c r="A1668" s="2">
        <v>44767</v>
      </c>
      <c r="B1668">
        <v>2022</v>
      </c>
      <c r="C1668" t="s">
        <v>1083</v>
      </c>
      <c r="D1668" t="s">
        <v>1084</v>
      </c>
    </row>
    <row r="1669" spans="1:4" x14ac:dyDescent="0.3">
      <c r="A1669" s="2">
        <v>44768</v>
      </c>
      <c r="B1669">
        <v>2022</v>
      </c>
      <c r="C1669" t="s">
        <v>1083</v>
      </c>
      <c r="D1669" t="s">
        <v>1084</v>
      </c>
    </row>
    <row r="1670" spans="1:4" x14ac:dyDescent="0.3">
      <c r="A1670" s="2">
        <v>44769</v>
      </c>
      <c r="B1670">
        <v>2022</v>
      </c>
      <c r="C1670" t="s">
        <v>1083</v>
      </c>
      <c r="D1670" t="s">
        <v>1084</v>
      </c>
    </row>
    <row r="1671" spans="1:4" x14ac:dyDescent="0.3">
      <c r="A1671" s="2">
        <v>44770</v>
      </c>
      <c r="B1671">
        <v>2022</v>
      </c>
      <c r="C1671" t="s">
        <v>1083</v>
      </c>
      <c r="D1671" t="s">
        <v>1084</v>
      </c>
    </row>
    <row r="1672" spans="1:4" x14ac:dyDescent="0.3">
      <c r="A1672" s="2">
        <v>44771</v>
      </c>
      <c r="B1672">
        <v>2022</v>
      </c>
      <c r="C1672" t="s">
        <v>1083</v>
      </c>
      <c r="D1672" t="s">
        <v>1084</v>
      </c>
    </row>
    <row r="1673" spans="1:4" x14ac:dyDescent="0.3">
      <c r="A1673" s="2">
        <v>44772</v>
      </c>
      <c r="B1673">
        <v>2022</v>
      </c>
      <c r="C1673" t="s">
        <v>1083</v>
      </c>
      <c r="D1673" t="s">
        <v>1084</v>
      </c>
    </row>
    <row r="1674" spans="1:4" x14ac:dyDescent="0.3">
      <c r="A1674" s="2">
        <v>44773</v>
      </c>
      <c r="B1674">
        <v>2022</v>
      </c>
      <c r="C1674" t="s">
        <v>1083</v>
      </c>
      <c r="D1674" t="s">
        <v>1084</v>
      </c>
    </row>
    <row r="1675" spans="1:4" x14ac:dyDescent="0.3">
      <c r="A1675" s="2">
        <v>44774</v>
      </c>
      <c r="B1675">
        <v>2022</v>
      </c>
      <c r="C1675" t="s">
        <v>1083</v>
      </c>
      <c r="D1675" t="s">
        <v>1085</v>
      </c>
    </row>
    <row r="1676" spans="1:4" x14ac:dyDescent="0.3">
      <c r="A1676" s="2">
        <v>44775</v>
      </c>
      <c r="B1676">
        <v>2022</v>
      </c>
      <c r="C1676" t="s">
        <v>1083</v>
      </c>
      <c r="D1676" t="s">
        <v>1085</v>
      </c>
    </row>
    <row r="1677" spans="1:4" x14ac:dyDescent="0.3">
      <c r="A1677" s="2">
        <v>44776</v>
      </c>
      <c r="B1677">
        <v>2022</v>
      </c>
      <c r="C1677" t="s">
        <v>1083</v>
      </c>
      <c r="D1677" t="s">
        <v>1085</v>
      </c>
    </row>
    <row r="1678" spans="1:4" x14ac:dyDescent="0.3">
      <c r="A1678" s="2">
        <v>44777</v>
      </c>
      <c r="B1678">
        <v>2022</v>
      </c>
      <c r="C1678" t="s">
        <v>1083</v>
      </c>
      <c r="D1678" t="s">
        <v>1085</v>
      </c>
    </row>
    <row r="1679" spans="1:4" x14ac:dyDescent="0.3">
      <c r="A1679" s="2">
        <v>44778</v>
      </c>
      <c r="B1679">
        <v>2022</v>
      </c>
      <c r="C1679" t="s">
        <v>1083</v>
      </c>
      <c r="D1679" t="s">
        <v>1085</v>
      </c>
    </row>
    <row r="1680" spans="1:4" x14ac:dyDescent="0.3">
      <c r="A1680" s="2">
        <v>44779</v>
      </c>
      <c r="B1680">
        <v>2022</v>
      </c>
      <c r="C1680" t="s">
        <v>1083</v>
      </c>
      <c r="D1680" t="s">
        <v>1085</v>
      </c>
    </row>
    <row r="1681" spans="1:4" x14ac:dyDescent="0.3">
      <c r="A1681" s="2">
        <v>44780</v>
      </c>
      <c r="B1681">
        <v>2022</v>
      </c>
      <c r="C1681" t="s">
        <v>1083</v>
      </c>
      <c r="D1681" t="s">
        <v>1085</v>
      </c>
    </row>
    <row r="1682" spans="1:4" x14ac:dyDescent="0.3">
      <c r="A1682" s="2">
        <v>44781</v>
      </c>
      <c r="B1682">
        <v>2022</v>
      </c>
      <c r="C1682" t="s">
        <v>1083</v>
      </c>
      <c r="D1682" t="s">
        <v>1085</v>
      </c>
    </row>
    <row r="1683" spans="1:4" x14ac:dyDescent="0.3">
      <c r="A1683" s="2">
        <v>44782</v>
      </c>
      <c r="B1683">
        <v>2022</v>
      </c>
      <c r="C1683" t="s">
        <v>1083</v>
      </c>
      <c r="D1683" t="s">
        <v>1085</v>
      </c>
    </row>
    <row r="1684" spans="1:4" x14ac:dyDescent="0.3">
      <c r="A1684" s="2">
        <v>44783</v>
      </c>
      <c r="B1684">
        <v>2022</v>
      </c>
      <c r="C1684" t="s">
        <v>1083</v>
      </c>
      <c r="D1684" t="s">
        <v>1085</v>
      </c>
    </row>
    <row r="1685" spans="1:4" x14ac:dyDescent="0.3">
      <c r="A1685" s="2">
        <v>44784</v>
      </c>
      <c r="B1685">
        <v>2022</v>
      </c>
      <c r="C1685" t="s">
        <v>1083</v>
      </c>
      <c r="D1685" t="s">
        <v>1085</v>
      </c>
    </row>
    <row r="1686" spans="1:4" x14ac:dyDescent="0.3">
      <c r="A1686" s="2">
        <v>44785</v>
      </c>
      <c r="B1686">
        <v>2022</v>
      </c>
      <c r="C1686" t="s">
        <v>1083</v>
      </c>
      <c r="D1686" t="s">
        <v>1085</v>
      </c>
    </row>
    <row r="1687" spans="1:4" x14ac:dyDescent="0.3">
      <c r="A1687" s="2">
        <v>44786</v>
      </c>
      <c r="B1687">
        <v>2022</v>
      </c>
      <c r="C1687" t="s">
        <v>1083</v>
      </c>
      <c r="D1687" t="s">
        <v>1085</v>
      </c>
    </row>
    <row r="1688" spans="1:4" x14ac:dyDescent="0.3">
      <c r="A1688" s="2">
        <v>44787</v>
      </c>
      <c r="B1688">
        <v>2022</v>
      </c>
      <c r="C1688" t="s">
        <v>1083</v>
      </c>
      <c r="D1688" t="s">
        <v>1085</v>
      </c>
    </row>
    <row r="1689" spans="1:4" x14ac:dyDescent="0.3">
      <c r="A1689" s="2">
        <v>44788</v>
      </c>
      <c r="B1689">
        <v>2022</v>
      </c>
      <c r="C1689" t="s">
        <v>1083</v>
      </c>
      <c r="D1689" t="s">
        <v>1085</v>
      </c>
    </row>
    <row r="1690" spans="1:4" x14ac:dyDescent="0.3">
      <c r="A1690" s="2">
        <v>44789</v>
      </c>
      <c r="B1690">
        <v>2022</v>
      </c>
      <c r="C1690" t="s">
        <v>1083</v>
      </c>
      <c r="D1690" t="s">
        <v>1085</v>
      </c>
    </row>
    <row r="1691" spans="1:4" x14ac:dyDescent="0.3">
      <c r="A1691" s="2">
        <v>44790</v>
      </c>
      <c r="B1691">
        <v>2022</v>
      </c>
      <c r="C1691" t="s">
        <v>1083</v>
      </c>
      <c r="D1691" t="s">
        <v>1085</v>
      </c>
    </row>
    <row r="1692" spans="1:4" x14ac:dyDescent="0.3">
      <c r="A1692" s="2">
        <v>44791</v>
      </c>
      <c r="B1692">
        <v>2022</v>
      </c>
      <c r="C1692" t="s">
        <v>1083</v>
      </c>
      <c r="D1692" t="s">
        <v>1085</v>
      </c>
    </row>
    <row r="1693" spans="1:4" x14ac:dyDescent="0.3">
      <c r="A1693" s="2">
        <v>44792</v>
      </c>
      <c r="B1693">
        <v>2022</v>
      </c>
      <c r="C1693" t="s">
        <v>1083</v>
      </c>
      <c r="D1693" t="s">
        <v>1085</v>
      </c>
    </row>
    <row r="1694" spans="1:4" x14ac:dyDescent="0.3">
      <c r="A1694" s="2">
        <v>44793</v>
      </c>
      <c r="B1694">
        <v>2022</v>
      </c>
      <c r="C1694" t="s">
        <v>1083</v>
      </c>
      <c r="D1694" t="s">
        <v>1085</v>
      </c>
    </row>
    <row r="1695" spans="1:4" x14ac:dyDescent="0.3">
      <c r="A1695" s="2">
        <v>44794</v>
      </c>
      <c r="B1695">
        <v>2022</v>
      </c>
      <c r="C1695" t="s">
        <v>1083</v>
      </c>
      <c r="D1695" t="s">
        <v>1085</v>
      </c>
    </row>
    <row r="1696" spans="1:4" x14ac:dyDescent="0.3">
      <c r="A1696" s="2">
        <v>44795</v>
      </c>
      <c r="B1696">
        <v>2022</v>
      </c>
      <c r="C1696" t="s">
        <v>1083</v>
      </c>
      <c r="D1696" t="s">
        <v>1085</v>
      </c>
    </row>
    <row r="1697" spans="1:4" x14ac:dyDescent="0.3">
      <c r="A1697" s="2">
        <v>44796</v>
      </c>
      <c r="B1697">
        <v>2022</v>
      </c>
      <c r="C1697" t="s">
        <v>1083</v>
      </c>
      <c r="D1697" t="s">
        <v>1085</v>
      </c>
    </row>
    <row r="1698" spans="1:4" x14ac:dyDescent="0.3">
      <c r="A1698" s="2">
        <v>44797</v>
      </c>
      <c r="B1698">
        <v>2022</v>
      </c>
      <c r="C1698" t="s">
        <v>1083</v>
      </c>
      <c r="D1698" t="s">
        <v>1085</v>
      </c>
    </row>
    <row r="1699" spans="1:4" x14ac:dyDescent="0.3">
      <c r="A1699" s="2">
        <v>44798</v>
      </c>
      <c r="B1699">
        <v>2022</v>
      </c>
      <c r="C1699" t="s">
        <v>1083</v>
      </c>
      <c r="D1699" t="s">
        <v>1085</v>
      </c>
    </row>
    <row r="1700" spans="1:4" x14ac:dyDescent="0.3">
      <c r="A1700" s="2">
        <v>44799</v>
      </c>
      <c r="B1700">
        <v>2022</v>
      </c>
      <c r="C1700" t="s">
        <v>1083</v>
      </c>
      <c r="D1700" t="s">
        <v>1085</v>
      </c>
    </row>
    <row r="1701" spans="1:4" x14ac:dyDescent="0.3">
      <c r="A1701" s="2">
        <v>44800</v>
      </c>
      <c r="B1701">
        <v>2022</v>
      </c>
      <c r="C1701" t="s">
        <v>1083</v>
      </c>
      <c r="D1701" t="s">
        <v>1085</v>
      </c>
    </row>
    <row r="1702" spans="1:4" x14ac:dyDescent="0.3">
      <c r="A1702" s="2">
        <v>44801</v>
      </c>
      <c r="B1702">
        <v>2022</v>
      </c>
      <c r="C1702" t="s">
        <v>1083</v>
      </c>
      <c r="D1702" t="s">
        <v>1085</v>
      </c>
    </row>
    <row r="1703" spans="1:4" x14ac:dyDescent="0.3">
      <c r="A1703" s="2">
        <v>44802</v>
      </c>
      <c r="B1703">
        <v>2022</v>
      </c>
      <c r="C1703" t="s">
        <v>1083</v>
      </c>
      <c r="D1703" t="s">
        <v>1085</v>
      </c>
    </row>
    <row r="1704" spans="1:4" x14ac:dyDescent="0.3">
      <c r="A1704" s="2">
        <v>44803</v>
      </c>
      <c r="B1704">
        <v>2022</v>
      </c>
      <c r="C1704" t="s">
        <v>1083</v>
      </c>
      <c r="D1704" t="s">
        <v>1085</v>
      </c>
    </row>
    <row r="1705" spans="1:4" x14ac:dyDescent="0.3">
      <c r="A1705" s="2">
        <v>44804</v>
      </c>
      <c r="B1705">
        <v>2022</v>
      </c>
      <c r="C1705" t="s">
        <v>1083</v>
      </c>
      <c r="D1705" t="s">
        <v>1085</v>
      </c>
    </row>
    <row r="1706" spans="1:4" x14ac:dyDescent="0.3">
      <c r="A1706" s="2">
        <v>44805</v>
      </c>
      <c r="B1706">
        <v>2022</v>
      </c>
      <c r="C1706" t="s">
        <v>1083</v>
      </c>
      <c r="D1706" t="s">
        <v>1086</v>
      </c>
    </row>
    <row r="1707" spans="1:4" x14ac:dyDescent="0.3">
      <c r="A1707" s="2">
        <v>44806</v>
      </c>
      <c r="B1707">
        <v>2022</v>
      </c>
      <c r="C1707" t="s">
        <v>1083</v>
      </c>
      <c r="D1707" t="s">
        <v>1086</v>
      </c>
    </row>
    <row r="1708" spans="1:4" x14ac:dyDescent="0.3">
      <c r="A1708" s="2">
        <v>44807</v>
      </c>
      <c r="B1708">
        <v>2022</v>
      </c>
      <c r="C1708" t="s">
        <v>1083</v>
      </c>
      <c r="D1708" t="s">
        <v>1086</v>
      </c>
    </row>
    <row r="1709" spans="1:4" x14ac:dyDescent="0.3">
      <c r="A1709" s="2">
        <v>44808</v>
      </c>
      <c r="B1709">
        <v>2022</v>
      </c>
      <c r="C1709" t="s">
        <v>1083</v>
      </c>
      <c r="D1709" t="s">
        <v>1086</v>
      </c>
    </row>
    <row r="1710" spans="1:4" x14ac:dyDescent="0.3">
      <c r="A1710" s="2">
        <v>44809</v>
      </c>
      <c r="B1710">
        <v>2022</v>
      </c>
      <c r="C1710" t="s">
        <v>1083</v>
      </c>
      <c r="D1710" t="s">
        <v>1086</v>
      </c>
    </row>
    <row r="1711" spans="1:4" x14ac:dyDescent="0.3">
      <c r="A1711" s="2">
        <v>44810</v>
      </c>
      <c r="B1711">
        <v>2022</v>
      </c>
      <c r="C1711" t="s">
        <v>1083</v>
      </c>
      <c r="D1711" t="s">
        <v>1086</v>
      </c>
    </row>
    <row r="1712" spans="1:4" x14ac:dyDescent="0.3">
      <c r="A1712" s="2">
        <v>44811</v>
      </c>
      <c r="B1712">
        <v>2022</v>
      </c>
      <c r="C1712" t="s">
        <v>1083</v>
      </c>
      <c r="D1712" t="s">
        <v>1086</v>
      </c>
    </row>
    <row r="1713" spans="1:4" x14ac:dyDescent="0.3">
      <c r="A1713" s="2">
        <v>44812</v>
      </c>
      <c r="B1713">
        <v>2022</v>
      </c>
      <c r="C1713" t="s">
        <v>1083</v>
      </c>
      <c r="D1713" t="s">
        <v>1086</v>
      </c>
    </row>
    <row r="1714" spans="1:4" x14ac:dyDescent="0.3">
      <c r="A1714" s="2">
        <v>44813</v>
      </c>
      <c r="B1714">
        <v>2022</v>
      </c>
      <c r="C1714" t="s">
        <v>1083</v>
      </c>
      <c r="D1714" t="s">
        <v>1086</v>
      </c>
    </row>
    <row r="1715" spans="1:4" x14ac:dyDescent="0.3">
      <c r="A1715" s="2">
        <v>44814</v>
      </c>
      <c r="B1715">
        <v>2022</v>
      </c>
      <c r="C1715" t="s">
        <v>1083</v>
      </c>
      <c r="D1715" t="s">
        <v>1086</v>
      </c>
    </row>
    <row r="1716" spans="1:4" x14ac:dyDescent="0.3">
      <c r="A1716" s="2">
        <v>44815</v>
      </c>
      <c r="B1716">
        <v>2022</v>
      </c>
      <c r="C1716" t="s">
        <v>1083</v>
      </c>
      <c r="D1716" t="s">
        <v>1086</v>
      </c>
    </row>
    <row r="1717" spans="1:4" x14ac:dyDescent="0.3">
      <c r="A1717" s="2">
        <v>44816</v>
      </c>
      <c r="B1717">
        <v>2022</v>
      </c>
      <c r="C1717" t="s">
        <v>1083</v>
      </c>
      <c r="D1717" t="s">
        <v>1086</v>
      </c>
    </row>
    <row r="1718" spans="1:4" x14ac:dyDescent="0.3">
      <c r="A1718" s="2">
        <v>44817</v>
      </c>
      <c r="B1718">
        <v>2022</v>
      </c>
      <c r="C1718" t="s">
        <v>1083</v>
      </c>
      <c r="D1718" t="s">
        <v>1086</v>
      </c>
    </row>
    <row r="1719" spans="1:4" x14ac:dyDescent="0.3">
      <c r="A1719" s="2">
        <v>44818</v>
      </c>
      <c r="B1719">
        <v>2022</v>
      </c>
      <c r="C1719" t="s">
        <v>1083</v>
      </c>
      <c r="D1719" t="s">
        <v>1086</v>
      </c>
    </row>
    <row r="1720" spans="1:4" x14ac:dyDescent="0.3">
      <c r="A1720" s="2">
        <v>44819</v>
      </c>
      <c r="B1720">
        <v>2022</v>
      </c>
      <c r="C1720" t="s">
        <v>1083</v>
      </c>
      <c r="D1720" t="s">
        <v>1086</v>
      </c>
    </row>
    <row r="1721" spans="1:4" x14ac:dyDescent="0.3">
      <c r="A1721" s="2">
        <v>44820</v>
      </c>
      <c r="B1721">
        <v>2022</v>
      </c>
      <c r="C1721" t="s">
        <v>1083</v>
      </c>
      <c r="D1721" t="s">
        <v>1086</v>
      </c>
    </row>
    <row r="1722" spans="1:4" x14ac:dyDescent="0.3">
      <c r="A1722" s="2">
        <v>44821</v>
      </c>
      <c r="B1722">
        <v>2022</v>
      </c>
      <c r="C1722" t="s">
        <v>1083</v>
      </c>
      <c r="D1722" t="s">
        <v>1086</v>
      </c>
    </row>
    <row r="1723" spans="1:4" x14ac:dyDescent="0.3">
      <c r="A1723" s="2">
        <v>44822</v>
      </c>
      <c r="B1723">
        <v>2022</v>
      </c>
      <c r="C1723" t="s">
        <v>1083</v>
      </c>
      <c r="D1723" t="s">
        <v>1086</v>
      </c>
    </row>
    <row r="1724" spans="1:4" x14ac:dyDescent="0.3">
      <c r="A1724" s="2">
        <v>44823</v>
      </c>
      <c r="B1724">
        <v>2022</v>
      </c>
      <c r="C1724" t="s">
        <v>1083</v>
      </c>
      <c r="D1724" t="s">
        <v>1086</v>
      </c>
    </row>
    <row r="1725" spans="1:4" x14ac:dyDescent="0.3">
      <c r="A1725" s="2">
        <v>44824</v>
      </c>
      <c r="B1725">
        <v>2022</v>
      </c>
      <c r="C1725" t="s">
        <v>1083</v>
      </c>
      <c r="D1725" t="s">
        <v>1086</v>
      </c>
    </row>
    <row r="1726" spans="1:4" x14ac:dyDescent="0.3">
      <c r="A1726" s="2">
        <v>44825</v>
      </c>
      <c r="B1726">
        <v>2022</v>
      </c>
      <c r="C1726" t="s">
        <v>1083</v>
      </c>
      <c r="D1726" t="s">
        <v>1086</v>
      </c>
    </row>
    <row r="1727" spans="1:4" x14ac:dyDescent="0.3">
      <c r="A1727" s="2">
        <v>44826</v>
      </c>
      <c r="B1727">
        <v>2022</v>
      </c>
      <c r="C1727" t="s">
        <v>1083</v>
      </c>
      <c r="D1727" t="s">
        <v>1086</v>
      </c>
    </row>
    <row r="1728" spans="1:4" x14ac:dyDescent="0.3">
      <c r="A1728" s="2">
        <v>44827</v>
      </c>
      <c r="B1728">
        <v>2022</v>
      </c>
      <c r="C1728" t="s">
        <v>1083</v>
      </c>
      <c r="D1728" t="s">
        <v>1086</v>
      </c>
    </row>
    <row r="1729" spans="1:4" x14ac:dyDescent="0.3">
      <c r="A1729" s="2">
        <v>44828</v>
      </c>
      <c r="B1729">
        <v>2022</v>
      </c>
      <c r="C1729" t="s">
        <v>1083</v>
      </c>
      <c r="D1729" t="s">
        <v>1086</v>
      </c>
    </row>
    <row r="1730" spans="1:4" x14ac:dyDescent="0.3">
      <c r="A1730" s="2">
        <v>44829</v>
      </c>
      <c r="B1730">
        <v>2022</v>
      </c>
      <c r="C1730" t="s">
        <v>1083</v>
      </c>
      <c r="D1730" t="s">
        <v>1086</v>
      </c>
    </row>
    <row r="1731" spans="1:4" x14ac:dyDescent="0.3">
      <c r="A1731" s="2">
        <v>44830</v>
      </c>
      <c r="B1731">
        <v>2022</v>
      </c>
      <c r="C1731" t="s">
        <v>1083</v>
      </c>
      <c r="D1731" t="s">
        <v>1086</v>
      </c>
    </row>
    <row r="1732" spans="1:4" x14ac:dyDescent="0.3">
      <c r="A1732" s="2">
        <v>44831</v>
      </c>
      <c r="B1732">
        <v>2022</v>
      </c>
      <c r="C1732" t="s">
        <v>1083</v>
      </c>
      <c r="D1732" t="s">
        <v>1086</v>
      </c>
    </row>
    <row r="1733" spans="1:4" x14ac:dyDescent="0.3">
      <c r="A1733" s="2">
        <v>44832</v>
      </c>
      <c r="B1733">
        <v>2022</v>
      </c>
      <c r="C1733" t="s">
        <v>1083</v>
      </c>
      <c r="D1733" t="s">
        <v>1086</v>
      </c>
    </row>
    <row r="1734" spans="1:4" x14ac:dyDescent="0.3">
      <c r="A1734" s="2">
        <v>44833</v>
      </c>
      <c r="B1734">
        <v>2022</v>
      </c>
      <c r="C1734" t="s">
        <v>1083</v>
      </c>
      <c r="D1734" t="s">
        <v>1086</v>
      </c>
    </row>
    <row r="1735" spans="1:4" x14ac:dyDescent="0.3">
      <c r="A1735" s="2">
        <v>44834</v>
      </c>
      <c r="B1735">
        <v>2022</v>
      </c>
      <c r="C1735" t="s">
        <v>1083</v>
      </c>
      <c r="D1735" t="s">
        <v>1086</v>
      </c>
    </row>
    <row r="1736" spans="1:4" x14ac:dyDescent="0.3">
      <c r="A1736" s="2">
        <v>44835</v>
      </c>
      <c r="B1736">
        <v>2022</v>
      </c>
      <c r="C1736" t="s">
        <v>1087</v>
      </c>
      <c r="D1736" t="s">
        <v>1088</v>
      </c>
    </row>
    <row r="1737" spans="1:4" x14ac:dyDescent="0.3">
      <c r="A1737" s="2">
        <v>44836</v>
      </c>
      <c r="B1737">
        <v>2022</v>
      </c>
      <c r="C1737" t="s">
        <v>1087</v>
      </c>
      <c r="D1737" t="s">
        <v>1088</v>
      </c>
    </row>
    <row r="1738" spans="1:4" x14ac:dyDescent="0.3">
      <c r="A1738" s="2">
        <v>44837</v>
      </c>
      <c r="B1738">
        <v>2022</v>
      </c>
      <c r="C1738" t="s">
        <v>1087</v>
      </c>
      <c r="D1738" t="s">
        <v>1088</v>
      </c>
    </row>
    <row r="1739" spans="1:4" x14ac:dyDescent="0.3">
      <c r="A1739" s="2">
        <v>44838</v>
      </c>
      <c r="B1739">
        <v>2022</v>
      </c>
      <c r="C1739" t="s">
        <v>1087</v>
      </c>
      <c r="D1739" t="s">
        <v>1088</v>
      </c>
    </row>
    <row r="1740" spans="1:4" x14ac:dyDescent="0.3">
      <c r="A1740" s="2">
        <v>44839</v>
      </c>
      <c r="B1740">
        <v>2022</v>
      </c>
      <c r="C1740" t="s">
        <v>1087</v>
      </c>
      <c r="D1740" t="s">
        <v>1088</v>
      </c>
    </row>
    <row r="1741" spans="1:4" x14ac:dyDescent="0.3">
      <c r="A1741" s="2">
        <v>44840</v>
      </c>
      <c r="B1741">
        <v>2022</v>
      </c>
      <c r="C1741" t="s">
        <v>1087</v>
      </c>
      <c r="D1741" t="s">
        <v>1088</v>
      </c>
    </row>
    <row r="1742" spans="1:4" x14ac:dyDescent="0.3">
      <c r="A1742" s="2">
        <v>44841</v>
      </c>
      <c r="B1742">
        <v>2022</v>
      </c>
      <c r="C1742" t="s">
        <v>1087</v>
      </c>
      <c r="D1742" t="s">
        <v>1088</v>
      </c>
    </row>
    <row r="1743" spans="1:4" x14ac:dyDescent="0.3">
      <c r="A1743" s="2">
        <v>44842</v>
      </c>
      <c r="B1743">
        <v>2022</v>
      </c>
      <c r="C1743" t="s">
        <v>1087</v>
      </c>
      <c r="D1743" t="s">
        <v>1088</v>
      </c>
    </row>
    <row r="1744" spans="1:4" x14ac:dyDescent="0.3">
      <c r="A1744" s="2">
        <v>44843</v>
      </c>
      <c r="B1744">
        <v>2022</v>
      </c>
      <c r="C1744" t="s">
        <v>1087</v>
      </c>
      <c r="D1744" t="s">
        <v>1088</v>
      </c>
    </row>
    <row r="1745" spans="1:4" x14ac:dyDescent="0.3">
      <c r="A1745" s="2">
        <v>44844</v>
      </c>
      <c r="B1745">
        <v>2022</v>
      </c>
      <c r="C1745" t="s">
        <v>1087</v>
      </c>
      <c r="D1745" t="s">
        <v>1088</v>
      </c>
    </row>
    <row r="1746" spans="1:4" x14ac:dyDescent="0.3">
      <c r="A1746" s="2">
        <v>44845</v>
      </c>
      <c r="B1746">
        <v>2022</v>
      </c>
      <c r="C1746" t="s">
        <v>1087</v>
      </c>
      <c r="D1746" t="s">
        <v>1088</v>
      </c>
    </row>
    <row r="1747" spans="1:4" x14ac:dyDescent="0.3">
      <c r="A1747" s="2">
        <v>44846</v>
      </c>
      <c r="B1747">
        <v>2022</v>
      </c>
      <c r="C1747" t="s">
        <v>1087</v>
      </c>
      <c r="D1747" t="s">
        <v>1088</v>
      </c>
    </row>
    <row r="1748" spans="1:4" x14ac:dyDescent="0.3">
      <c r="A1748" s="2">
        <v>44847</v>
      </c>
      <c r="B1748">
        <v>2022</v>
      </c>
      <c r="C1748" t="s">
        <v>1087</v>
      </c>
      <c r="D1748" t="s">
        <v>1088</v>
      </c>
    </row>
    <row r="1749" spans="1:4" x14ac:dyDescent="0.3">
      <c r="A1749" s="2">
        <v>44848</v>
      </c>
      <c r="B1749">
        <v>2022</v>
      </c>
      <c r="C1749" t="s">
        <v>1087</v>
      </c>
      <c r="D1749" t="s">
        <v>1088</v>
      </c>
    </row>
    <row r="1750" spans="1:4" x14ac:dyDescent="0.3">
      <c r="A1750" s="2">
        <v>44849</v>
      </c>
      <c r="B1750">
        <v>2022</v>
      </c>
      <c r="C1750" t="s">
        <v>1087</v>
      </c>
      <c r="D1750" t="s">
        <v>1088</v>
      </c>
    </row>
    <row r="1751" spans="1:4" x14ac:dyDescent="0.3">
      <c r="A1751" s="2">
        <v>44850</v>
      </c>
      <c r="B1751">
        <v>2022</v>
      </c>
      <c r="C1751" t="s">
        <v>1087</v>
      </c>
      <c r="D1751" t="s">
        <v>1088</v>
      </c>
    </row>
    <row r="1752" spans="1:4" x14ac:dyDescent="0.3">
      <c r="A1752" s="2">
        <v>44851</v>
      </c>
      <c r="B1752">
        <v>2022</v>
      </c>
      <c r="C1752" t="s">
        <v>1087</v>
      </c>
      <c r="D1752" t="s">
        <v>1088</v>
      </c>
    </row>
    <row r="1753" spans="1:4" x14ac:dyDescent="0.3">
      <c r="A1753" s="2">
        <v>44852</v>
      </c>
      <c r="B1753">
        <v>2022</v>
      </c>
      <c r="C1753" t="s">
        <v>1087</v>
      </c>
      <c r="D1753" t="s">
        <v>1088</v>
      </c>
    </row>
    <row r="1754" spans="1:4" x14ac:dyDescent="0.3">
      <c r="A1754" s="2">
        <v>44853</v>
      </c>
      <c r="B1754">
        <v>2022</v>
      </c>
      <c r="C1754" t="s">
        <v>1087</v>
      </c>
      <c r="D1754" t="s">
        <v>1088</v>
      </c>
    </row>
    <row r="1755" spans="1:4" x14ac:dyDescent="0.3">
      <c r="A1755" s="2">
        <v>44854</v>
      </c>
      <c r="B1755">
        <v>2022</v>
      </c>
      <c r="C1755" t="s">
        <v>1087</v>
      </c>
      <c r="D1755" t="s">
        <v>1088</v>
      </c>
    </row>
    <row r="1756" spans="1:4" x14ac:dyDescent="0.3">
      <c r="A1756" s="2">
        <v>44855</v>
      </c>
      <c r="B1756">
        <v>2022</v>
      </c>
      <c r="C1756" t="s">
        <v>1087</v>
      </c>
      <c r="D1756" t="s">
        <v>1088</v>
      </c>
    </row>
    <row r="1757" spans="1:4" x14ac:dyDescent="0.3">
      <c r="A1757" s="2">
        <v>44856</v>
      </c>
      <c r="B1757">
        <v>2022</v>
      </c>
      <c r="C1757" t="s">
        <v>1087</v>
      </c>
      <c r="D1757" t="s">
        <v>1088</v>
      </c>
    </row>
    <row r="1758" spans="1:4" x14ac:dyDescent="0.3">
      <c r="A1758" s="2">
        <v>44857</v>
      </c>
      <c r="B1758">
        <v>2022</v>
      </c>
      <c r="C1758" t="s">
        <v>1087</v>
      </c>
      <c r="D1758" t="s">
        <v>1088</v>
      </c>
    </row>
    <row r="1759" spans="1:4" x14ac:dyDescent="0.3">
      <c r="A1759" s="2">
        <v>44858</v>
      </c>
      <c r="B1759">
        <v>2022</v>
      </c>
      <c r="C1759" t="s">
        <v>1087</v>
      </c>
      <c r="D1759" t="s">
        <v>1088</v>
      </c>
    </row>
    <row r="1760" spans="1:4" x14ac:dyDescent="0.3">
      <c r="A1760" s="2">
        <v>44859</v>
      </c>
      <c r="B1760">
        <v>2022</v>
      </c>
      <c r="C1760" t="s">
        <v>1087</v>
      </c>
      <c r="D1760" t="s">
        <v>1088</v>
      </c>
    </row>
    <row r="1761" spans="1:4" x14ac:dyDescent="0.3">
      <c r="A1761" s="2">
        <v>44860</v>
      </c>
      <c r="B1761">
        <v>2022</v>
      </c>
      <c r="C1761" t="s">
        <v>1087</v>
      </c>
      <c r="D1761" t="s">
        <v>1088</v>
      </c>
    </row>
    <row r="1762" spans="1:4" x14ac:dyDescent="0.3">
      <c r="A1762" s="2">
        <v>44861</v>
      </c>
      <c r="B1762">
        <v>2022</v>
      </c>
      <c r="C1762" t="s">
        <v>1087</v>
      </c>
      <c r="D1762" t="s">
        <v>1088</v>
      </c>
    </row>
    <row r="1763" spans="1:4" x14ac:dyDescent="0.3">
      <c r="A1763" s="2">
        <v>44862</v>
      </c>
      <c r="B1763">
        <v>2022</v>
      </c>
      <c r="C1763" t="s">
        <v>1087</v>
      </c>
      <c r="D1763" t="s">
        <v>1088</v>
      </c>
    </row>
    <row r="1764" spans="1:4" x14ac:dyDescent="0.3">
      <c r="A1764" s="2">
        <v>44863</v>
      </c>
      <c r="B1764">
        <v>2022</v>
      </c>
      <c r="C1764" t="s">
        <v>1087</v>
      </c>
      <c r="D1764" t="s">
        <v>1088</v>
      </c>
    </row>
    <row r="1765" spans="1:4" x14ac:dyDescent="0.3">
      <c r="A1765" s="2">
        <v>44864</v>
      </c>
      <c r="B1765">
        <v>2022</v>
      </c>
      <c r="C1765" t="s">
        <v>1087</v>
      </c>
      <c r="D1765" t="s">
        <v>1088</v>
      </c>
    </row>
    <row r="1766" spans="1:4" x14ac:dyDescent="0.3">
      <c r="A1766" s="2">
        <v>44865</v>
      </c>
      <c r="B1766">
        <v>2022</v>
      </c>
      <c r="C1766" t="s">
        <v>1087</v>
      </c>
      <c r="D1766" t="s">
        <v>1088</v>
      </c>
    </row>
    <row r="1767" spans="1:4" x14ac:dyDescent="0.3">
      <c r="A1767" s="2">
        <v>44866</v>
      </c>
      <c r="B1767">
        <v>2022</v>
      </c>
      <c r="C1767" t="s">
        <v>1087</v>
      </c>
      <c r="D1767" t="s">
        <v>1089</v>
      </c>
    </row>
    <row r="1768" spans="1:4" x14ac:dyDescent="0.3">
      <c r="A1768" s="2">
        <v>44867</v>
      </c>
      <c r="B1768">
        <v>2022</v>
      </c>
      <c r="C1768" t="s">
        <v>1087</v>
      </c>
      <c r="D1768" t="s">
        <v>1089</v>
      </c>
    </row>
    <row r="1769" spans="1:4" x14ac:dyDescent="0.3">
      <c r="A1769" s="2">
        <v>44868</v>
      </c>
      <c r="B1769">
        <v>2022</v>
      </c>
      <c r="C1769" t="s">
        <v>1087</v>
      </c>
      <c r="D1769" t="s">
        <v>1089</v>
      </c>
    </row>
    <row r="1770" spans="1:4" x14ac:dyDescent="0.3">
      <c r="A1770" s="2">
        <v>44869</v>
      </c>
      <c r="B1770">
        <v>2022</v>
      </c>
      <c r="C1770" t="s">
        <v>1087</v>
      </c>
      <c r="D1770" t="s">
        <v>1089</v>
      </c>
    </row>
    <row r="1771" spans="1:4" x14ac:dyDescent="0.3">
      <c r="A1771" s="2">
        <v>44870</v>
      </c>
      <c r="B1771">
        <v>2022</v>
      </c>
      <c r="C1771" t="s">
        <v>1087</v>
      </c>
      <c r="D1771" t="s">
        <v>1089</v>
      </c>
    </row>
    <row r="1772" spans="1:4" x14ac:dyDescent="0.3">
      <c r="A1772" s="2">
        <v>44871</v>
      </c>
      <c r="B1772">
        <v>2022</v>
      </c>
      <c r="C1772" t="s">
        <v>1087</v>
      </c>
      <c r="D1772" t="s">
        <v>1089</v>
      </c>
    </row>
    <row r="1773" spans="1:4" x14ac:dyDescent="0.3">
      <c r="A1773" s="2">
        <v>44872</v>
      </c>
      <c r="B1773">
        <v>2022</v>
      </c>
      <c r="C1773" t="s">
        <v>1087</v>
      </c>
      <c r="D1773" t="s">
        <v>1089</v>
      </c>
    </row>
    <row r="1774" spans="1:4" x14ac:dyDescent="0.3">
      <c r="A1774" s="2">
        <v>44873</v>
      </c>
      <c r="B1774">
        <v>2022</v>
      </c>
      <c r="C1774" t="s">
        <v>1087</v>
      </c>
      <c r="D1774" t="s">
        <v>1089</v>
      </c>
    </row>
    <row r="1775" spans="1:4" x14ac:dyDescent="0.3">
      <c r="A1775" s="2">
        <v>44874</v>
      </c>
      <c r="B1775">
        <v>2022</v>
      </c>
      <c r="C1775" t="s">
        <v>1087</v>
      </c>
      <c r="D1775" t="s">
        <v>1089</v>
      </c>
    </row>
    <row r="1776" spans="1:4" x14ac:dyDescent="0.3">
      <c r="A1776" s="2">
        <v>44875</v>
      </c>
      <c r="B1776">
        <v>2022</v>
      </c>
      <c r="C1776" t="s">
        <v>1087</v>
      </c>
      <c r="D1776" t="s">
        <v>1089</v>
      </c>
    </row>
    <row r="1777" spans="1:4" x14ac:dyDescent="0.3">
      <c r="A1777" s="2">
        <v>44876</v>
      </c>
      <c r="B1777">
        <v>2022</v>
      </c>
      <c r="C1777" t="s">
        <v>1087</v>
      </c>
      <c r="D1777" t="s">
        <v>1089</v>
      </c>
    </row>
    <row r="1778" spans="1:4" x14ac:dyDescent="0.3">
      <c r="A1778" s="2">
        <v>44877</v>
      </c>
      <c r="B1778">
        <v>2022</v>
      </c>
      <c r="C1778" t="s">
        <v>1087</v>
      </c>
      <c r="D1778" t="s">
        <v>1089</v>
      </c>
    </row>
    <row r="1779" spans="1:4" x14ac:dyDescent="0.3">
      <c r="A1779" s="2">
        <v>44878</v>
      </c>
      <c r="B1779">
        <v>2022</v>
      </c>
      <c r="C1779" t="s">
        <v>1087</v>
      </c>
      <c r="D1779" t="s">
        <v>1089</v>
      </c>
    </row>
    <row r="1780" spans="1:4" x14ac:dyDescent="0.3">
      <c r="A1780" s="2">
        <v>44879</v>
      </c>
      <c r="B1780">
        <v>2022</v>
      </c>
      <c r="C1780" t="s">
        <v>1087</v>
      </c>
      <c r="D1780" t="s">
        <v>1089</v>
      </c>
    </row>
    <row r="1781" spans="1:4" x14ac:dyDescent="0.3">
      <c r="A1781" s="2">
        <v>44880</v>
      </c>
      <c r="B1781">
        <v>2022</v>
      </c>
      <c r="C1781" t="s">
        <v>1087</v>
      </c>
      <c r="D1781" t="s">
        <v>1089</v>
      </c>
    </row>
    <row r="1782" spans="1:4" x14ac:dyDescent="0.3">
      <c r="A1782" s="2">
        <v>44881</v>
      </c>
      <c r="B1782">
        <v>2022</v>
      </c>
      <c r="C1782" t="s">
        <v>1087</v>
      </c>
      <c r="D1782" t="s">
        <v>1089</v>
      </c>
    </row>
    <row r="1783" spans="1:4" x14ac:dyDescent="0.3">
      <c r="A1783" s="2">
        <v>44882</v>
      </c>
      <c r="B1783">
        <v>2022</v>
      </c>
      <c r="C1783" t="s">
        <v>1087</v>
      </c>
      <c r="D1783" t="s">
        <v>1089</v>
      </c>
    </row>
    <row r="1784" spans="1:4" x14ac:dyDescent="0.3">
      <c r="A1784" s="2">
        <v>44883</v>
      </c>
      <c r="B1784">
        <v>2022</v>
      </c>
      <c r="C1784" t="s">
        <v>1087</v>
      </c>
      <c r="D1784" t="s">
        <v>1089</v>
      </c>
    </row>
    <row r="1785" spans="1:4" x14ac:dyDescent="0.3">
      <c r="A1785" s="2">
        <v>44884</v>
      </c>
      <c r="B1785">
        <v>2022</v>
      </c>
      <c r="C1785" t="s">
        <v>1087</v>
      </c>
      <c r="D1785" t="s">
        <v>1089</v>
      </c>
    </row>
    <row r="1786" spans="1:4" x14ac:dyDescent="0.3">
      <c r="A1786" s="2">
        <v>44885</v>
      </c>
      <c r="B1786">
        <v>2022</v>
      </c>
      <c r="C1786" t="s">
        <v>1087</v>
      </c>
      <c r="D1786" t="s">
        <v>1089</v>
      </c>
    </row>
    <row r="1787" spans="1:4" x14ac:dyDescent="0.3">
      <c r="A1787" s="2">
        <v>44886</v>
      </c>
      <c r="B1787">
        <v>2022</v>
      </c>
      <c r="C1787" t="s">
        <v>1087</v>
      </c>
      <c r="D1787" t="s">
        <v>1089</v>
      </c>
    </row>
    <row r="1788" spans="1:4" x14ac:dyDescent="0.3">
      <c r="A1788" s="2">
        <v>44887</v>
      </c>
      <c r="B1788">
        <v>2022</v>
      </c>
      <c r="C1788" t="s">
        <v>1087</v>
      </c>
      <c r="D1788" t="s">
        <v>1089</v>
      </c>
    </row>
    <row r="1789" spans="1:4" x14ac:dyDescent="0.3">
      <c r="A1789" s="2">
        <v>44888</v>
      </c>
      <c r="B1789">
        <v>2022</v>
      </c>
      <c r="C1789" t="s">
        <v>1087</v>
      </c>
      <c r="D1789" t="s">
        <v>1089</v>
      </c>
    </row>
    <row r="1790" spans="1:4" x14ac:dyDescent="0.3">
      <c r="A1790" s="2">
        <v>44889</v>
      </c>
      <c r="B1790">
        <v>2022</v>
      </c>
      <c r="C1790" t="s">
        <v>1087</v>
      </c>
      <c r="D1790" t="s">
        <v>1089</v>
      </c>
    </row>
    <row r="1791" spans="1:4" x14ac:dyDescent="0.3">
      <c r="A1791" s="2">
        <v>44890</v>
      </c>
      <c r="B1791">
        <v>2022</v>
      </c>
      <c r="C1791" t="s">
        <v>1087</v>
      </c>
      <c r="D1791" t="s">
        <v>1089</v>
      </c>
    </row>
    <row r="1792" spans="1:4" x14ac:dyDescent="0.3">
      <c r="A1792" s="2">
        <v>44891</v>
      </c>
      <c r="B1792">
        <v>2022</v>
      </c>
      <c r="C1792" t="s">
        <v>1087</v>
      </c>
      <c r="D1792" t="s">
        <v>1089</v>
      </c>
    </row>
    <row r="1793" spans="1:4" x14ac:dyDescent="0.3">
      <c r="A1793" s="2">
        <v>44892</v>
      </c>
      <c r="B1793">
        <v>2022</v>
      </c>
      <c r="C1793" t="s">
        <v>1087</v>
      </c>
      <c r="D1793" t="s">
        <v>1089</v>
      </c>
    </row>
    <row r="1794" spans="1:4" x14ac:dyDescent="0.3">
      <c r="A1794" s="2">
        <v>44893</v>
      </c>
      <c r="B1794">
        <v>2022</v>
      </c>
      <c r="C1794" t="s">
        <v>1087</v>
      </c>
      <c r="D1794" t="s">
        <v>1089</v>
      </c>
    </row>
    <row r="1795" spans="1:4" x14ac:dyDescent="0.3">
      <c r="A1795" s="2">
        <v>44894</v>
      </c>
      <c r="B1795">
        <v>2022</v>
      </c>
      <c r="C1795" t="s">
        <v>1087</v>
      </c>
      <c r="D1795" t="s">
        <v>1089</v>
      </c>
    </row>
    <row r="1796" spans="1:4" x14ac:dyDescent="0.3">
      <c r="A1796" s="2">
        <v>44895</v>
      </c>
      <c r="B1796">
        <v>2022</v>
      </c>
      <c r="C1796" t="s">
        <v>1087</v>
      </c>
      <c r="D1796" t="s">
        <v>1089</v>
      </c>
    </row>
    <row r="1797" spans="1:4" x14ac:dyDescent="0.3">
      <c r="A1797" s="2">
        <v>44896</v>
      </c>
      <c r="B1797">
        <v>2022</v>
      </c>
      <c r="C1797" t="s">
        <v>1087</v>
      </c>
      <c r="D1797" t="s">
        <v>1090</v>
      </c>
    </row>
    <row r="1798" spans="1:4" x14ac:dyDescent="0.3">
      <c r="A1798" s="2">
        <v>44897</v>
      </c>
      <c r="B1798">
        <v>2022</v>
      </c>
      <c r="C1798" t="s">
        <v>1087</v>
      </c>
      <c r="D1798" t="s">
        <v>1090</v>
      </c>
    </row>
    <row r="1799" spans="1:4" x14ac:dyDescent="0.3">
      <c r="A1799" s="2">
        <v>44898</v>
      </c>
      <c r="B1799">
        <v>2022</v>
      </c>
      <c r="C1799" t="s">
        <v>1087</v>
      </c>
      <c r="D1799" t="s">
        <v>1090</v>
      </c>
    </row>
    <row r="1800" spans="1:4" x14ac:dyDescent="0.3">
      <c r="A1800" s="2">
        <v>44899</v>
      </c>
      <c r="B1800">
        <v>2022</v>
      </c>
      <c r="C1800" t="s">
        <v>1087</v>
      </c>
      <c r="D1800" t="s">
        <v>1090</v>
      </c>
    </row>
    <row r="1801" spans="1:4" x14ac:dyDescent="0.3">
      <c r="A1801" s="2">
        <v>44900</v>
      </c>
      <c r="B1801">
        <v>2022</v>
      </c>
      <c r="C1801" t="s">
        <v>1087</v>
      </c>
      <c r="D1801" t="s">
        <v>1090</v>
      </c>
    </row>
    <row r="1802" spans="1:4" x14ac:dyDescent="0.3">
      <c r="A1802" s="2">
        <v>44901</v>
      </c>
      <c r="B1802">
        <v>2022</v>
      </c>
      <c r="C1802" t="s">
        <v>1087</v>
      </c>
      <c r="D1802" t="s">
        <v>1090</v>
      </c>
    </row>
    <row r="1803" spans="1:4" x14ac:dyDescent="0.3">
      <c r="A1803" s="2">
        <v>44902</v>
      </c>
      <c r="B1803">
        <v>2022</v>
      </c>
      <c r="C1803" t="s">
        <v>1087</v>
      </c>
      <c r="D1803" t="s">
        <v>1090</v>
      </c>
    </row>
    <row r="1804" spans="1:4" x14ac:dyDescent="0.3">
      <c r="A1804" s="2">
        <v>44903</v>
      </c>
      <c r="B1804">
        <v>2022</v>
      </c>
      <c r="C1804" t="s">
        <v>1087</v>
      </c>
      <c r="D1804" t="s">
        <v>1090</v>
      </c>
    </row>
    <row r="1805" spans="1:4" x14ac:dyDescent="0.3">
      <c r="A1805" s="2">
        <v>44904</v>
      </c>
      <c r="B1805">
        <v>2022</v>
      </c>
      <c r="C1805" t="s">
        <v>1087</v>
      </c>
      <c r="D1805" t="s">
        <v>1090</v>
      </c>
    </row>
    <row r="1806" spans="1:4" x14ac:dyDescent="0.3">
      <c r="A1806" s="2">
        <v>44905</v>
      </c>
      <c r="B1806">
        <v>2022</v>
      </c>
      <c r="C1806" t="s">
        <v>1087</v>
      </c>
      <c r="D1806" t="s">
        <v>1090</v>
      </c>
    </row>
    <row r="1807" spans="1:4" x14ac:dyDescent="0.3">
      <c r="A1807" s="2">
        <v>44906</v>
      </c>
      <c r="B1807">
        <v>2022</v>
      </c>
      <c r="C1807" t="s">
        <v>1087</v>
      </c>
      <c r="D1807" t="s">
        <v>1090</v>
      </c>
    </row>
    <row r="1808" spans="1:4" x14ac:dyDescent="0.3">
      <c r="A1808" s="2">
        <v>44907</v>
      </c>
      <c r="B1808">
        <v>2022</v>
      </c>
      <c r="C1808" t="s">
        <v>1087</v>
      </c>
      <c r="D1808" t="s">
        <v>1090</v>
      </c>
    </row>
    <row r="1809" spans="1:4" x14ac:dyDescent="0.3">
      <c r="A1809" s="2">
        <v>44908</v>
      </c>
      <c r="B1809">
        <v>2022</v>
      </c>
      <c r="C1809" t="s">
        <v>1087</v>
      </c>
      <c r="D1809" t="s">
        <v>1090</v>
      </c>
    </row>
    <row r="1810" spans="1:4" x14ac:dyDescent="0.3">
      <c r="A1810" s="2">
        <v>44909</v>
      </c>
      <c r="B1810">
        <v>2022</v>
      </c>
      <c r="C1810" t="s">
        <v>1087</v>
      </c>
      <c r="D1810" t="s">
        <v>1090</v>
      </c>
    </row>
    <row r="1811" spans="1:4" x14ac:dyDescent="0.3">
      <c r="A1811" s="2">
        <v>44910</v>
      </c>
      <c r="B1811">
        <v>2022</v>
      </c>
      <c r="C1811" t="s">
        <v>1087</v>
      </c>
      <c r="D1811" t="s">
        <v>1090</v>
      </c>
    </row>
    <row r="1812" spans="1:4" x14ac:dyDescent="0.3">
      <c r="A1812" s="2">
        <v>44911</v>
      </c>
      <c r="B1812">
        <v>2022</v>
      </c>
      <c r="C1812" t="s">
        <v>1087</v>
      </c>
      <c r="D1812" t="s">
        <v>1090</v>
      </c>
    </row>
    <row r="1813" spans="1:4" x14ac:dyDescent="0.3">
      <c r="A1813" s="2">
        <v>44912</v>
      </c>
      <c r="B1813">
        <v>2022</v>
      </c>
      <c r="C1813" t="s">
        <v>1087</v>
      </c>
      <c r="D1813" t="s">
        <v>1090</v>
      </c>
    </row>
    <row r="1814" spans="1:4" x14ac:dyDescent="0.3">
      <c r="A1814" s="2">
        <v>44913</v>
      </c>
      <c r="B1814">
        <v>2022</v>
      </c>
      <c r="C1814" t="s">
        <v>1087</v>
      </c>
      <c r="D1814" t="s">
        <v>1090</v>
      </c>
    </row>
    <row r="1815" spans="1:4" x14ac:dyDescent="0.3">
      <c r="A1815" s="2">
        <v>44914</v>
      </c>
      <c r="B1815">
        <v>2022</v>
      </c>
      <c r="C1815" t="s">
        <v>1087</v>
      </c>
      <c r="D1815" t="s">
        <v>1090</v>
      </c>
    </row>
    <row r="1816" spans="1:4" x14ac:dyDescent="0.3">
      <c r="A1816" s="2">
        <v>44915</v>
      </c>
      <c r="B1816">
        <v>2022</v>
      </c>
      <c r="C1816" t="s">
        <v>1087</v>
      </c>
      <c r="D1816" t="s">
        <v>1090</v>
      </c>
    </row>
    <row r="1817" spans="1:4" x14ac:dyDescent="0.3">
      <c r="A1817" s="2">
        <v>44916</v>
      </c>
      <c r="B1817">
        <v>2022</v>
      </c>
      <c r="C1817" t="s">
        <v>1087</v>
      </c>
      <c r="D1817" t="s">
        <v>1090</v>
      </c>
    </row>
    <row r="1818" spans="1:4" x14ac:dyDescent="0.3">
      <c r="A1818" s="2">
        <v>44917</v>
      </c>
      <c r="B1818">
        <v>2022</v>
      </c>
      <c r="C1818" t="s">
        <v>1087</v>
      </c>
      <c r="D1818" t="s">
        <v>1090</v>
      </c>
    </row>
    <row r="1819" spans="1:4" x14ac:dyDescent="0.3">
      <c r="A1819" s="2">
        <v>44918</v>
      </c>
      <c r="B1819">
        <v>2022</v>
      </c>
      <c r="C1819" t="s">
        <v>1087</v>
      </c>
      <c r="D1819" t="s">
        <v>1090</v>
      </c>
    </row>
    <row r="1820" spans="1:4" x14ac:dyDescent="0.3">
      <c r="A1820" s="2">
        <v>44919</v>
      </c>
      <c r="B1820">
        <v>2022</v>
      </c>
      <c r="C1820" t="s">
        <v>1087</v>
      </c>
      <c r="D1820" t="s">
        <v>1090</v>
      </c>
    </row>
    <row r="1821" spans="1:4" x14ac:dyDescent="0.3">
      <c r="A1821" s="2">
        <v>44920</v>
      </c>
      <c r="B1821">
        <v>2022</v>
      </c>
      <c r="C1821" t="s">
        <v>1087</v>
      </c>
      <c r="D1821" t="s">
        <v>1090</v>
      </c>
    </row>
    <row r="1822" spans="1:4" x14ac:dyDescent="0.3">
      <c r="A1822" s="2">
        <v>44921</v>
      </c>
      <c r="B1822">
        <v>2022</v>
      </c>
      <c r="C1822" t="s">
        <v>1087</v>
      </c>
      <c r="D1822" t="s">
        <v>1090</v>
      </c>
    </row>
    <row r="1823" spans="1:4" x14ac:dyDescent="0.3">
      <c r="A1823" s="2">
        <v>44922</v>
      </c>
      <c r="B1823">
        <v>2022</v>
      </c>
      <c r="C1823" t="s">
        <v>1087</v>
      </c>
      <c r="D1823" t="s">
        <v>1090</v>
      </c>
    </row>
    <row r="1824" spans="1:4" x14ac:dyDescent="0.3">
      <c r="A1824" s="2">
        <v>44923</v>
      </c>
      <c r="B1824">
        <v>2022</v>
      </c>
      <c r="C1824" t="s">
        <v>1087</v>
      </c>
      <c r="D1824" t="s">
        <v>1090</v>
      </c>
    </row>
    <row r="1825" spans="1:4" x14ac:dyDescent="0.3">
      <c r="A1825" s="2">
        <v>44924</v>
      </c>
      <c r="B1825">
        <v>2022</v>
      </c>
      <c r="C1825" t="s">
        <v>1087</v>
      </c>
      <c r="D1825" t="s">
        <v>1090</v>
      </c>
    </row>
    <row r="1826" spans="1:4" x14ac:dyDescent="0.3">
      <c r="A1826" s="2">
        <v>44925</v>
      </c>
      <c r="B1826">
        <v>2022</v>
      </c>
      <c r="C1826" t="s">
        <v>1087</v>
      </c>
      <c r="D1826" t="s">
        <v>1090</v>
      </c>
    </row>
    <row r="1827" spans="1:4" x14ac:dyDescent="0.3">
      <c r="A1827" s="2">
        <v>44926</v>
      </c>
      <c r="B1827">
        <v>2022</v>
      </c>
      <c r="C1827" t="s">
        <v>1087</v>
      </c>
      <c r="D1827" t="s">
        <v>1090</v>
      </c>
    </row>
    <row r="1828" spans="1:4" x14ac:dyDescent="0.3">
      <c r="A1828" s="2">
        <v>44927</v>
      </c>
      <c r="B1828">
        <v>2023</v>
      </c>
      <c r="C1828" t="s">
        <v>1075</v>
      </c>
      <c r="D1828" t="s">
        <v>1076</v>
      </c>
    </row>
    <row r="1829" spans="1:4" x14ac:dyDescent="0.3">
      <c r="A1829" s="2">
        <v>44928</v>
      </c>
      <c r="B1829">
        <v>2023</v>
      </c>
      <c r="C1829" t="s">
        <v>1075</v>
      </c>
      <c r="D1829" t="s">
        <v>1076</v>
      </c>
    </row>
    <row r="1830" spans="1:4" x14ac:dyDescent="0.3">
      <c r="A1830" s="2">
        <v>44929</v>
      </c>
      <c r="B1830">
        <v>2023</v>
      </c>
      <c r="C1830" t="s">
        <v>1075</v>
      </c>
      <c r="D1830" t="s">
        <v>1076</v>
      </c>
    </row>
    <row r="1831" spans="1:4" x14ac:dyDescent="0.3">
      <c r="A1831" s="2">
        <v>44930</v>
      </c>
      <c r="B1831">
        <v>2023</v>
      </c>
      <c r="C1831" t="s">
        <v>1075</v>
      </c>
      <c r="D1831" t="s">
        <v>1076</v>
      </c>
    </row>
    <row r="1832" spans="1:4" x14ac:dyDescent="0.3">
      <c r="A1832" s="2">
        <v>44931</v>
      </c>
      <c r="B1832">
        <v>2023</v>
      </c>
      <c r="C1832" t="s">
        <v>1075</v>
      </c>
      <c r="D1832" t="s">
        <v>1076</v>
      </c>
    </row>
    <row r="1833" spans="1:4" x14ac:dyDescent="0.3">
      <c r="A1833" s="2">
        <v>44932</v>
      </c>
      <c r="B1833">
        <v>2023</v>
      </c>
      <c r="C1833" t="s">
        <v>1075</v>
      </c>
      <c r="D1833" t="s">
        <v>1076</v>
      </c>
    </row>
    <row r="1834" spans="1:4" x14ac:dyDescent="0.3">
      <c r="A1834" s="2">
        <v>44933</v>
      </c>
      <c r="B1834">
        <v>2023</v>
      </c>
      <c r="C1834" t="s">
        <v>1075</v>
      </c>
      <c r="D1834" t="s">
        <v>1076</v>
      </c>
    </row>
    <row r="1835" spans="1:4" x14ac:dyDescent="0.3">
      <c r="A1835" s="2">
        <v>44934</v>
      </c>
      <c r="B1835">
        <v>2023</v>
      </c>
      <c r="C1835" t="s">
        <v>1075</v>
      </c>
      <c r="D1835" t="s">
        <v>1076</v>
      </c>
    </row>
    <row r="1836" spans="1:4" x14ac:dyDescent="0.3">
      <c r="A1836" s="2">
        <v>44935</v>
      </c>
      <c r="B1836">
        <v>2023</v>
      </c>
      <c r="C1836" t="s">
        <v>1075</v>
      </c>
      <c r="D1836" t="s">
        <v>1076</v>
      </c>
    </row>
    <row r="1837" spans="1:4" x14ac:dyDescent="0.3">
      <c r="A1837" s="2">
        <v>44936</v>
      </c>
      <c r="B1837">
        <v>2023</v>
      </c>
      <c r="C1837" t="s">
        <v>1075</v>
      </c>
      <c r="D1837" t="s">
        <v>1076</v>
      </c>
    </row>
    <row r="1838" spans="1:4" x14ac:dyDescent="0.3">
      <c r="A1838" s="2">
        <v>44937</v>
      </c>
      <c r="B1838">
        <v>2023</v>
      </c>
      <c r="C1838" t="s">
        <v>1075</v>
      </c>
      <c r="D1838" t="s">
        <v>1076</v>
      </c>
    </row>
    <row r="1839" spans="1:4" x14ac:dyDescent="0.3">
      <c r="A1839" s="2">
        <v>44938</v>
      </c>
      <c r="B1839">
        <v>2023</v>
      </c>
      <c r="C1839" t="s">
        <v>1075</v>
      </c>
      <c r="D1839" t="s">
        <v>1076</v>
      </c>
    </row>
    <row r="1840" spans="1:4" x14ac:dyDescent="0.3">
      <c r="A1840" s="2">
        <v>44939</v>
      </c>
      <c r="B1840">
        <v>2023</v>
      </c>
      <c r="C1840" t="s">
        <v>1075</v>
      </c>
      <c r="D1840" t="s">
        <v>1076</v>
      </c>
    </row>
    <row r="1841" spans="1:4" x14ac:dyDescent="0.3">
      <c r="A1841" s="2">
        <v>44940</v>
      </c>
      <c r="B1841">
        <v>2023</v>
      </c>
      <c r="C1841" t="s">
        <v>1075</v>
      </c>
      <c r="D1841" t="s">
        <v>1076</v>
      </c>
    </row>
    <row r="1842" spans="1:4" x14ac:dyDescent="0.3">
      <c r="A1842" s="2">
        <v>44941</v>
      </c>
      <c r="B1842">
        <v>2023</v>
      </c>
      <c r="C1842" t="s">
        <v>1075</v>
      </c>
      <c r="D1842" t="s">
        <v>1076</v>
      </c>
    </row>
    <row r="1843" spans="1:4" x14ac:dyDescent="0.3">
      <c r="A1843" s="2">
        <v>44942</v>
      </c>
      <c r="B1843">
        <v>2023</v>
      </c>
      <c r="C1843" t="s">
        <v>1075</v>
      </c>
      <c r="D1843" t="s">
        <v>1076</v>
      </c>
    </row>
    <row r="1844" spans="1:4" x14ac:dyDescent="0.3">
      <c r="A1844" s="2">
        <v>44943</v>
      </c>
      <c r="B1844">
        <v>2023</v>
      </c>
      <c r="C1844" t="s">
        <v>1075</v>
      </c>
      <c r="D1844" t="s">
        <v>1076</v>
      </c>
    </row>
    <row r="1845" spans="1:4" x14ac:dyDescent="0.3">
      <c r="A1845" s="2">
        <v>44944</v>
      </c>
      <c r="B1845">
        <v>2023</v>
      </c>
      <c r="C1845" t="s">
        <v>1075</v>
      </c>
      <c r="D1845" t="s">
        <v>1076</v>
      </c>
    </row>
    <row r="1846" spans="1:4" x14ac:dyDescent="0.3">
      <c r="A1846" s="2">
        <v>44945</v>
      </c>
      <c r="B1846">
        <v>2023</v>
      </c>
      <c r="C1846" t="s">
        <v>1075</v>
      </c>
      <c r="D1846" t="s">
        <v>1076</v>
      </c>
    </row>
    <row r="1847" spans="1:4" x14ac:dyDescent="0.3">
      <c r="A1847" s="2">
        <v>44946</v>
      </c>
      <c r="B1847">
        <v>2023</v>
      </c>
      <c r="C1847" t="s">
        <v>1075</v>
      </c>
      <c r="D1847" t="s">
        <v>1076</v>
      </c>
    </row>
    <row r="1848" spans="1:4" x14ac:dyDescent="0.3">
      <c r="A1848" s="2">
        <v>44947</v>
      </c>
      <c r="B1848">
        <v>2023</v>
      </c>
      <c r="C1848" t="s">
        <v>1075</v>
      </c>
      <c r="D1848" t="s">
        <v>1076</v>
      </c>
    </row>
    <row r="1849" spans="1:4" x14ac:dyDescent="0.3">
      <c r="A1849" s="2">
        <v>44948</v>
      </c>
      <c r="B1849">
        <v>2023</v>
      </c>
      <c r="C1849" t="s">
        <v>1075</v>
      </c>
      <c r="D1849" t="s">
        <v>1076</v>
      </c>
    </row>
    <row r="1850" spans="1:4" x14ac:dyDescent="0.3">
      <c r="A1850" s="2">
        <v>44949</v>
      </c>
      <c r="B1850">
        <v>2023</v>
      </c>
      <c r="C1850" t="s">
        <v>1075</v>
      </c>
      <c r="D1850" t="s">
        <v>1076</v>
      </c>
    </row>
    <row r="1851" spans="1:4" x14ac:dyDescent="0.3">
      <c r="A1851" s="2">
        <v>44950</v>
      </c>
      <c r="B1851">
        <v>2023</v>
      </c>
      <c r="C1851" t="s">
        <v>1075</v>
      </c>
      <c r="D1851" t="s">
        <v>1076</v>
      </c>
    </row>
    <row r="1852" spans="1:4" x14ac:dyDescent="0.3">
      <c r="A1852" s="2">
        <v>44951</v>
      </c>
      <c r="B1852">
        <v>2023</v>
      </c>
      <c r="C1852" t="s">
        <v>1075</v>
      </c>
      <c r="D1852" t="s">
        <v>1076</v>
      </c>
    </row>
    <row r="1853" spans="1:4" x14ac:dyDescent="0.3">
      <c r="A1853" s="2">
        <v>44952</v>
      </c>
      <c r="B1853">
        <v>2023</v>
      </c>
      <c r="C1853" t="s">
        <v>1075</v>
      </c>
      <c r="D1853" t="s">
        <v>1076</v>
      </c>
    </row>
    <row r="1854" spans="1:4" x14ac:dyDescent="0.3">
      <c r="A1854" s="2">
        <v>44953</v>
      </c>
      <c r="B1854">
        <v>2023</v>
      </c>
      <c r="C1854" t="s">
        <v>1075</v>
      </c>
      <c r="D1854" t="s">
        <v>1076</v>
      </c>
    </row>
    <row r="1855" spans="1:4" x14ac:dyDescent="0.3">
      <c r="A1855" s="2">
        <v>44954</v>
      </c>
      <c r="B1855">
        <v>2023</v>
      </c>
      <c r="C1855" t="s">
        <v>1075</v>
      </c>
      <c r="D1855" t="s">
        <v>1076</v>
      </c>
    </row>
    <row r="1856" spans="1:4" x14ac:dyDescent="0.3">
      <c r="A1856" s="2">
        <v>44955</v>
      </c>
      <c r="B1856">
        <v>2023</v>
      </c>
      <c r="C1856" t="s">
        <v>1075</v>
      </c>
      <c r="D1856" t="s">
        <v>1076</v>
      </c>
    </row>
    <row r="1857" spans="1:4" x14ac:dyDescent="0.3">
      <c r="A1857" s="2">
        <v>44956</v>
      </c>
      <c r="B1857">
        <v>2023</v>
      </c>
      <c r="C1857" t="s">
        <v>1075</v>
      </c>
      <c r="D1857" t="s">
        <v>1076</v>
      </c>
    </row>
    <row r="1858" spans="1:4" x14ac:dyDescent="0.3">
      <c r="A1858" s="2">
        <v>44957</v>
      </c>
      <c r="B1858">
        <v>2023</v>
      </c>
      <c r="C1858" t="s">
        <v>1075</v>
      </c>
      <c r="D1858" t="s">
        <v>1076</v>
      </c>
    </row>
    <row r="1859" spans="1:4" x14ac:dyDescent="0.3">
      <c r="A1859" s="2">
        <v>44958</v>
      </c>
      <c r="B1859">
        <v>2023</v>
      </c>
      <c r="C1859" t="s">
        <v>1075</v>
      </c>
      <c r="D1859" t="s">
        <v>1077</v>
      </c>
    </row>
    <row r="1860" spans="1:4" x14ac:dyDescent="0.3">
      <c r="A1860" s="2">
        <v>44959</v>
      </c>
      <c r="B1860">
        <v>2023</v>
      </c>
      <c r="C1860" t="s">
        <v>1075</v>
      </c>
      <c r="D1860" t="s">
        <v>1077</v>
      </c>
    </row>
    <row r="1861" spans="1:4" x14ac:dyDescent="0.3">
      <c r="A1861" s="2">
        <v>44960</v>
      </c>
      <c r="B1861">
        <v>2023</v>
      </c>
      <c r="C1861" t="s">
        <v>1075</v>
      </c>
      <c r="D1861" t="s">
        <v>1077</v>
      </c>
    </row>
    <row r="1862" spans="1:4" x14ac:dyDescent="0.3">
      <c r="A1862" s="2">
        <v>44961</v>
      </c>
      <c r="B1862">
        <v>2023</v>
      </c>
      <c r="C1862" t="s">
        <v>1075</v>
      </c>
      <c r="D1862" t="s">
        <v>1077</v>
      </c>
    </row>
    <row r="1863" spans="1:4" x14ac:dyDescent="0.3">
      <c r="A1863" s="2">
        <v>44962</v>
      </c>
      <c r="B1863">
        <v>2023</v>
      </c>
      <c r="C1863" t="s">
        <v>1075</v>
      </c>
      <c r="D1863" t="s">
        <v>1077</v>
      </c>
    </row>
    <row r="1864" spans="1:4" x14ac:dyDescent="0.3">
      <c r="A1864" s="2">
        <v>44963</v>
      </c>
      <c r="B1864">
        <v>2023</v>
      </c>
      <c r="C1864" t="s">
        <v>1075</v>
      </c>
      <c r="D1864" t="s">
        <v>1077</v>
      </c>
    </row>
    <row r="1865" spans="1:4" x14ac:dyDescent="0.3">
      <c r="A1865" s="2">
        <v>44964</v>
      </c>
      <c r="B1865">
        <v>2023</v>
      </c>
      <c r="C1865" t="s">
        <v>1075</v>
      </c>
      <c r="D1865" t="s">
        <v>1077</v>
      </c>
    </row>
    <row r="1866" spans="1:4" x14ac:dyDescent="0.3">
      <c r="A1866" s="2">
        <v>44965</v>
      </c>
      <c r="B1866">
        <v>2023</v>
      </c>
      <c r="C1866" t="s">
        <v>1075</v>
      </c>
      <c r="D1866" t="s">
        <v>1077</v>
      </c>
    </row>
    <row r="1867" spans="1:4" x14ac:dyDescent="0.3">
      <c r="A1867" s="2">
        <v>44966</v>
      </c>
      <c r="B1867">
        <v>2023</v>
      </c>
      <c r="C1867" t="s">
        <v>1075</v>
      </c>
      <c r="D1867" t="s">
        <v>1077</v>
      </c>
    </row>
    <row r="1868" spans="1:4" x14ac:dyDescent="0.3">
      <c r="A1868" s="2">
        <v>44967</v>
      </c>
      <c r="B1868">
        <v>2023</v>
      </c>
      <c r="C1868" t="s">
        <v>1075</v>
      </c>
      <c r="D1868" t="s">
        <v>1077</v>
      </c>
    </row>
    <row r="1869" spans="1:4" x14ac:dyDescent="0.3">
      <c r="A1869" s="2">
        <v>44968</v>
      </c>
      <c r="B1869">
        <v>2023</v>
      </c>
      <c r="C1869" t="s">
        <v>1075</v>
      </c>
      <c r="D1869" t="s">
        <v>1077</v>
      </c>
    </row>
    <row r="1870" spans="1:4" x14ac:dyDescent="0.3">
      <c r="A1870" s="2">
        <v>44969</v>
      </c>
      <c r="B1870">
        <v>2023</v>
      </c>
      <c r="C1870" t="s">
        <v>1075</v>
      </c>
      <c r="D1870" t="s">
        <v>1077</v>
      </c>
    </row>
    <row r="1871" spans="1:4" x14ac:dyDescent="0.3">
      <c r="A1871" s="2">
        <v>44970</v>
      </c>
      <c r="B1871">
        <v>2023</v>
      </c>
      <c r="C1871" t="s">
        <v>1075</v>
      </c>
      <c r="D1871" t="s">
        <v>1077</v>
      </c>
    </row>
    <row r="1872" spans="1:4" x14ac:dyDescent="0.3">
      <c r="A1872" s="2">
        <v>44971</v>
      </c>
      <c r="B1872">
        <v>2023</v>
      </c>
      <c r="C1872" t="s">
        <v>1075</v>
      </c>
      <c r="D1872" t="s">
        <v>1077</v>
      </c>
    </row>
    <row r="1873" spans="1:4" x14ac:dyDescent="0.3">
      <c r="A1873" s="2">
        <v>44972</v>
      </c>
      <c r="B1873">
        <v>2023</v>
      </c>
      <c r="C1873" t="s">
        <v>1075</v>
      </c>
      <c r="D1873" t="s">
        <v>1077</v>
      </c>
    </row>
    <row r="1874" spans="1:4" x14ac:dyDescent="0.3">
      <c r="A1874" s="2">
        <v>44973</v>
      </c>
      <c r="B1874">
        <v>2023</v>
      </c>
      <c r="C1874" t="s">
        <v>1075</v>
      </c>
      <c r="D1874" t="s">
        <v>1077</v>
      </c>
    </row>
    <row r="1875" spans="1:4" x14ac:dyDescent="0.3">
      <c r="A1875" s="2">
        <v>44974</v>
      </c>
      <c r="B1875">
        <v>2023</v>
      </c>
      <c r="C1875" t="s">
        <v>1075</v>
      </c>
      <c r="D1875" t="s">
        <v>1077</v>
      </c>
    </row>
    <row r="1876" spans="1:4" x14ac:dyDescent="0.3">
      <c r="A1876" s="2">
        <v>44975</v>
      </c>
      <c r="B1876">
        <v>2023</v>
      </c>
      <c r="C1876" t="s">
        <v>1075</v>
      </c>
      <c r="D1876" t="s">
        <v>1077</v>
      </c>
    </row>
    <row r="1877" spans="1:4" x14ac:dyDescent="0.3">
      <c r="A1877" s="2">
        <v>44976</v>
      </c>
      <c r="B1877">
        <v>2023</v>
      </c>
      <c r="C1877" t="s">
        <v>1075</v>
      </c>
      <c r="D1877" t="s">
        <v>1077</v>
      </c>
    </row>
    <row r="1878" spans="1:4" x14ac:dyDescent="0.3">
      <c r="A1878" s="2">
        <v>44977</v>
      </c>
      <c r="B1878">
        <v>2023</v>
      </c>
      <c r="C1878" t="s">
        <v>1075</v>
      </c>
      <c r="D1878" t="s">
        <v>1077</v>
      </c>
    </row>
    <row r="1879" spans="1:4" x14ac:dyDescent="0.3">
      <c r="A1879" s="2">
        <v>44978</v>
      </c>
      <c r="B1879">
        <v>2023</v>
      </c>
      <c r="C1879" t="s">
        <v>1075</v>
      </c>
      <c r="D1879" t="s">
        <v>1077</v>
      </c>
    </row>
    <row r="1880" spans="1:4" x14ac:dyDescent="0.3">
      <c r="A1880" s="2">
        <v>44979</v>
      </c>
      <c r="B1880">
        <v>2023</v>
      </c>
      <c r="C1880" t="s">
        <v>1075</v>
      </c>
      <c r="D1880" t="s">
        <v>1077</v>
      </c>
    </row>
    <row r="1881" spans="1:4" x14ac:dyDescent="0.3">
      <c r="A1881" s="2">
        <v>44980</v>
      </c>
      <c r="B1881">
        <v>2023</v>
      </c>
      <c r="C1881" t="s">
        <v>1075</v>
      </c>
      <c r="D1881" t="s">
        <v>1077</v>
      </c>
    </row>
    <row r="1882" spans="1:4" x14ac:dyDescent="0.3">
      <c r="A1882" s="2">
        <v>44981</v>
      </c>
      <c r="B1882">
        <v>2023</v>
      </c>
      <c r="C1882" t="s">
        <v>1075</v>
      </c>
      <c r="D1882" t="s">
        <v>1077</v>
      </c>
    </row>
    <row r="1883" spans="1:4" x14ac:dyDescent="0.3">
      <c r="A1883" s="2">
        <v>44982</v>
      </c>
      <c r="B1883">
        <v>2023</v>
      </c>
      <c r="C1883" t="s">
        <v>1075</v>
      </c>
      <c r="D1883" t="s">
        <v>1077</v>
      </c>
    </row>
    <row r="1884" spans="1:4" x14ac:dyDescent="0.3">
      <c r="A1884" s="2">
        <v>44983</v>
      </c>
      <c r="B1884">
        <v>2023</v>
      </c>
      <c r="C1884" t="s">
        <v>1075</v>
      </c>
      <c r="D1884" t="s">
        <v>1077</v>
      </c>
    </row>
    <row r="1885" spans="1:4" x14ac:dyDescent="0.3">
      <c r="A1885" s="2">
        <v>44984</v>
      </c>
      <c r="B1885">
        <v>2023</v>
      </c>
      <c r="C1885" t="s">
        <v>1075</v>
      </c>
      <c r="D1885" t="s">
        <v>1077</v>
      </c>
    </row>
    <row r="1886" spans="1:4" x14ac:dyDescent="0.3">
      <c r="A1886" s="2">
        <v>44985</v>
      </c>
      <c r="B1886">
        <v>2023</v>
      </c>
      <c r="C1886" t="s">
        <v>1075</v>
      </c>
      <c r="D1886" t="s">
        <v>1077</v>
      </c>
    </row>
    <row r="1887" spans="1:4" x14ac:dyDescent="0.3">
      <c r="A1887" s="2">
        <v>44986</v>
      </c>
      <c r="B1887">
        <v>2023</v>
      </c>
      <c r="C1887" t="s">
        <v>1075</v>
      </c>
      <c r="D1887" t="s">
        <v>1078</v>
      </c>
    </row>
    <row r="1888" spans="1:4" x14ac:dyDescent="0.3">
      <c r="A1888" s="2">
        <v>44987</v>
      </c>
      <c r="B1888">
        <v>2023</v>
      </c>
      <c r="C1888" t="s">
        <v>1075</v>
      </c>
      <c r="D1888" t="s">
        <v>1078</v>
      </c>
    </row>
    <row r="1889" spans="1:4" x14ac:dyDescent="0.3">
      <c r="A1889" s="2">
        <v>44988</v>
      </c>
      <c r="B1889">
        <v>2023</v>
      </c>
      <c r="C1889" t="s">
        <v>1075</v>
      </c>
      <c r="D1889" t="s">
        <v>1078</v>
      </c>
    </row>
    <row r="1890" spans="1:4" x14ac:dyDescent="0.3">
      <c r="A1890" s="2">
        <v>44989</v>
      </c>
      <c r="B1890">
        <v>2023</v>
      </c>
      <c r="C1890" t="s">
        <v>1075</v>
      </c>
      <c r="D1890" t="s">
        <v>1078</v>
      </c>
    </row>
    <row r="1891" spans="1:4" x14ac:dyDescent="0.3">
      <c r="A1891" s="2">
        <v>44990</v>
      </c>
      <c r="B1891">
        <v>2023</v>
      </c>
      <c r="C1891" t="s">
        <v>1075</v>
      </c>
      <c r="D1891" t="s">
        <v>1078</v>
      </c>
    </row>
    <row r="1892" spans="1:4" x14ac:dyDescent="0.3">
      <c r="A1892" s="2">
        <v>44991</v>
      </c>
      <c r="B1892">
        <v>2023</v>
      </c>
      <c r="C1892" t="s">
        <v>1075</v>
      </c>
      <c r="D1892" t="s">
        <v>1078</v>
      </c>
    </row>
    <row r="1893" spans="1:4" x14ac:dyDescent="0.3">
      <c r="A1893" s="2">
        <v>44992</v>
      </c>
      <c r="B1893">
        <v>2023</v>
      </c>
      <c r="C1893" t="s">
        <v>1075</v>
      </c>
      <c r="D1893" t="s">
        <v>1078</v>
      </c>
    </row>
    <row r="1894" spans="1:4" x14ac:dyDescent="0.3">
      <c r="A1894" s="2">
        <v>44993</v>
      </c>
      <c r="B1894">
        <v>2023</v>
      </c>
      <c r="C1894" t="s">
        <v>1075</v>
      </c>
      <c r="D1894" t="s">
        <v>1078</v>
      </c>
    </row>
    <row r="1895" spans="1:4" x14ac:dyDescent="0.3">
      <c r="A1895" s="2">
        <v>44994</v>
      </c>
      <c r="B1895">
        <v>2023</v>
      </c>
      <c r="C1895" t="s">
        <v>1075</v>
      </c>
      <c r="D1895" t="s">
        <v>1078</v>
      </c>
    </row>
    <row r="1896" spans="1:4" x14ac:dyDescent="0.3">
      <c r="A1896" s="2">
        <v>44995</v>
      </c>
      <c r="B1896">
        <v>2023</v>
      </c>
      <c r="C1896" t="s">
        <v>1075</v>
      </c>
      <c r="D1896" t="s">
        <v>1078</v>
      </c>
    </row>
    <row r="1897" spans="1:4" x14ac:dyDescent="0.3">
      <c r="A1897" s="2">
        <v>44996</v>
      </c>
      <c r="B1897">
        <v>2023</v>
      </c>
      <c r="C1897" t="s">
        <v>1075</v>
      </c>
      <c r="D1897" t="s">
        <v>1078</v>
      </c>
    </row>
    <row r="1898" spans="1:4" x14ac:dyDescent="0.3">
      <c r="A1898" s="2">
        <v>44997</v>
      </c>
      <c r="B1898">
        <v>2023</v>
      </c>
      <c r="C1898" t="s">
        <v>1075</v>
      </c>
      <c r="D1898" t="s">
        <v>1078</v>
      </c>
    </row>
    <row r="1899" spans="1:4" x14ac:dyDescent="0.3">
      <c r="A1899" s="2">
        <v>44998</v>
      </c>
      <c r="B1899">
        <v>2023</v>
      </c>
      <c r="C1899" t="s">
        <v>1075</v>
      </c>
      <c r="D1899" t="s">
        <v>1078</v>
      </c>
    </row>
    <row r="1900" spans="1:4" x14ac:dyDescent="0.3">
      <c r="A1900" s="2">
        <v>44999</v>
      </c>
      <c r="B1900">
        <v>2023</v>
      </c>
      <c r="C1900" t="s">
        <v>1075</v>
      </c>
      <c r="D1900" t="s">
        <v>1078</v>
      </c>
    </row>
    <row r="1901" spans="1:4" x14ac:dyDescent="0.3">
      <c r="A1901" s="2">
        <v>45000</v>
      </c>
      <c r="B1901">
        <v>2023</v>
      </c>
      <c r="C1901" t="s">
        <v>1075</v>
      </c>
      <c r="D1901" t="s">
        <v>1078</v>
      </c>
    </row>
    <row r="1902" spans="1:4" x14ac:dyDescent="0.3">
      <c r="A1902" s="2">
        <v>45001</v>
      </c>
      <c r="B1902">
        <v>2023</v>
      </c>
      <c r="C1902" t="s">
        <v>1075</v>
      </c>
      <c r="D1902" t="s">
        <v>1078</v>
      </c>
    </row>
    <row r="1903" spans="1:4" x14ac:dyDescent="0.3">
      <c r="A1903" s="2">
        <v>45002</v>
      </c>
      <c r="B1903">
        <v>2023</v>
      </c>
      <c r="C1903" t="s">
        <v>1075</v>
      </c>
      <c r="D1903" t="s">
        <v>1078</v>
      </c>
    </row>
    <row r="1904" spans="1:4" x14ac:dyDescent="0.3">
      <c r="A1904" s="2">
        <v>45003</v>
      </c>
      <c r="B1904">
        <v>2023</v>
      </c>
      <c r="C1904" t="s">
        <v>1075</v>
      </c>
      <c r="D1904" t="s">
        <v>1078</v>
      </c>
    </row>
    <row r="1905" spans="1:4" x14ac:dyDescent="0.3">
      <c r="A1905" s="2">
        <v>45004</v>
      </c>
      <c r="B1905">
        <v>2023</v>
      </c>
      <c r="C1905" t="s">
        <v>1075</v>
      </c>
      <c r="D1905" t="s">
        <v>1078</v>
      </c>
    </row>
    <row r="1906" spans="1:4" x14ac:dyDescent="0.3">
      <c r="A1906" s="2">
        <v>45005</v>
      </c>
      <c r="B1906">
        <v>2023</v>
      </c>
      <c r="C1906" t="s">
        <v>1075</v>
      </c>
      <c r="D1906" t="s">
        <v>1078</v>
      </c>
    </row>
    <row r="1907" spans="1:4" x14ac:dyDescent="0.3">
      <c r="A1907" s="2">
        <v>45006</v>
      </c>
      <c r="B1907">
        <v>2023</v>
      </c>
      <c r="C1907" t="s">
        <v>1075</v>
      </c>
      <c r="D1907" t="s">
        <v>1078</v>
      </c>
    </row>
    <row r="1908" spans="1:4" x14ac:dyDescent="0.3">
      <c r="A1908" s="2">
        <v>45007</v>
      </c>
      <c r="B1908">
        <v>2023</v>
      </c>
      <c r="C1908" t="s">
        <v>1075</v>
      </c>
      <c r="D1908" t="s">
        <v>1078</v>
      </c>
    </row>
    <row r="1909" spans="1:4" x14ac:dyDescent="0.3">
      <c r="A1909" s="2">
        <v>45008</v>
      </c>
      <c r="B1909">
        <v>2023</v>
      </c>
      <c r="C1909" t="s">
        <v>1075</v>
      </c>
      <c r="D1909" t="s">
        <v>1078</v>
      </c>
    </row>
    <row r="1910" spans="1:4" x14ac:dyDescent="0.3">
      <c r="A1910" s="2">
        <v>45009</v>
      </c>
      <c r="B1910">
        <v>2023</v>
      </c>
      <c r="C1910" t="s">
        <v>1075</v>
      </c>
      <c r="D1910" t="s">
        <v>1078</v>
      </c>
    </row>
    <row r="1911" spans="1:4" x14ac:dyDescent="0.3">
      <c r="A1911" s="2">
        <v>45010</v>
      </c>
      <c r="B1911">
        <v>2023</v>
      </c>
      <c r="C1911" t="s">
        <v>1075</v>
      </c>
      <c r="D1911" t="s">
        <v>1078</v>
      </c>
    </row>
    <row r="1912" spans="1:4" x14ac:dyDescent="0.3">
      <c r="A1912" s="2">
        <v>45011</v>
      </c>
      <c r="B1912">
        <v>2023</v>
      </c>
      <c r="C1912" t="s">
        <v>1075</v>
      </c>
      <c r="D1912" t="s">
        <v>1078</v>
      </c>
    </row>
    <row r="1913" spans="1:4" x14ac:dyDescent="0.3">
      <c r="A1913" s="2">
        <v>45012</v>
      </c>
      <c r="B1913">
        <v>2023</v>
      </c>
      <c r="C1913" t="s">
        <v>1075</v>
      </c>
      <c r="D1913" t="s">
        <v>1078</v>
      </c>
    </row>
    <row r="1914" spans="1:4" x14ac:dyDescent="0.3">
      <c r="A1914" s="2">
        <v>45013</v>
      </c>
      <c r="B1914">
        <v>2023</v>
      </c>
      <c r="C1914" t="s">
        <v>1075</v>
      </c>
      <c r="D1914" t="s">
        <v>1078</v>
      </c>
    </row>
    <row r="1915" spans="1:4" x14ac:dyDescent="0.3">
      <c r="A1915" s="2">
        <v>45014</v>
      </c>
      <c r="B1915">
        <v>2023</v>
      </c>
      <c r="C1915" t="s">
        <v>1075</v>
      </c>
      <c r="D1915" t="s">
        <v>1078</v>
      </c>
    </row>
    <row r="1916" spans="1:4" x14ac:dyDescent="0.3">
      <c r="A1916" s="2">
        <v>45015</v>
      </c>
      <c r="B1916">
        <v>2023</v>
      </c>
      <c r="C1916" t="s">
        <v>1075</v>
      </c>
      <c r="D1916" t="s">
        <v>1078</v>
      </c>
    </row>
    <row r="1917" spans="1:4" x14ac:dyDescent="0.3">
      <c r="A1917" s="2">
        <v>45016</v>
      </c>
      <c r="B1917">
        <v>2023</v>
      </c>
      <c r="C1917" t="s">
        <v>1075</v>
      </c>
      <c r="D1917" t="s">
        <v>1078</v>
      </c>
    </row>
    <row r="1918" spans="1:4" x14ac:dyDescent="0.3">
      <c r="A1918" s="2">
        <v>45017</v>
      </c>
      <c r="B1918">
        <v>2023</v>
      </c>
      <c r="C1918" t="s">
        <v>1079</v>
      </c>
      <c r="D1918" t="s">
        <v>1080</v>
      </c>
    </row>
    <row r="1919" spans="1:4" x14ac:dyDescent="0.3">
      <c r="A1919" s="2">
        <v>45018</v>
      </c>
      <c r="B1919">
        <v>2023</v>
      </c>
      <c r="C1919" t="s">
        <v>1079</v>
      </c>
      <c r="D1919" t="s">
        <v>1080</v>
      </c>
    </row>
    <row r="1920" spans="1:4" x14ac:dyDescent="0.3">
      <c r="A1920" s="2">
        <v>45019</v>
      </c>
      <c r="B1920">
        <v>2023</v>
      </c>
      <c r="C1920" t="s">
        <v>1079</v>
      </c>
      <c r="D1920" t="s">
        <v>1080</v>
      </c>
    </row>
    <row r="1921" spans="1:4" x14ac:dyDescent="0.3">
      <c r="A1921" s="2">
        <v>45020</v>
      </c>
      <c r="B1921">
        <v>2023</v>
      </c>
      <c r="C1921" t="s">
        <v>1079</v>
      </c>
      <c r="D1921" t="s">
        <v>1080</v>
      </c>
    </row>
    <row r="1922" spans="1:4" x14ac:dyDescent="0.3">
      <c r="A1922" s="2">
        <v>45021</v>
      </c>
      <c r="B1922">
        <v>2023</v>
      </c>
      <c r="C1922" t="s">
        <v>1079</v>
      </c>
      <c r="D1922" t="s">
        <v>1080</v>
      </c>
    </row>
    <row r="1923" spans="1:4" x14ac:dyDescent="0.3">
      <c r="A1923" s="2">
        <v>45022</v>
      </c>
      <c r="B1923">
        <v>2023</v>
      </c>
      <c r="C1923" t="s">
        <v>1079</v>
      </c>
      <c r="D1923" t="s">
        <v>1080</v>
      </c>
    </row>
    <row r="1924" spans="1:4" x14ac:dyDescent="0.3">
      <c r="A1924" s="2">
        <v>45023</v>
      </c>
      <c r="B1924">
        <v>2023</v>
      </c>
      <c r="C1924" t="s">
        <v>1079</v>
      </c>
      <c r="D1924" t="s">
        <v>1080</v>
      </c>
    </row>
    <row r="1925" spans="1:4" x14ac:dyDescent="0.3">
      <c r="A1925" s="2">
        <v>45024</v>
      </c>
      <c r="B1925">
        <v>2023</v>
      </c>
      <c r="C1925" t="s">
        <v>1079</v>
      </c>
      <c r="D1925" t="s">
        <v>1080</v>
      </c>
    </row>
    <row r="1926" spans="1:4" x14ac:dyDescent="0.3">
      <c r="A1926" s="2">
        <v>45025</v>
      </c>
      <c r="B1926">
        <v>2023</v>
      </c>
      <c r="C1926" t="s">
        <v>1079</v>
      </c>
      <c r="D1926" t="s">
        <v>1080</v>
      </c>
    </row>
    <row r="1927" spans="1:4" x14ac:dyDescent="0.3">
      <c r="A1927" s="2">
        <v>45026</v>
      </c>
      <c r="B1927">
        <v>2023</v>
      </c>
      <c r="C1927" t="s">
        <v>1079</v>
      </c>
      <c r="D1927" t="s">
        <v>1080</v>
      </c>
    </row>
    <row r="1928" spans="1:4" x14ac:dyDescent="0.3">
      <c r="A1928" s="2">
        <v>45027</v>
      </c>
      <c r="B1928">
        <v>2023</v>
      </c>
      <c r="C1928" t="s">
        <v>1079</v>
      </c>
      <c r="D1928" t="s">
        <v>1080</v>
      </c>
    </row>
    <row r="1929" spans="1:4" x14ac:dyDescent="0.3">
      <c r="A1929" s="2">
        <v>45028</v>
      </c>
      <c r="B1929">
        <v>2023</v>
      </c>
      <c r="C1929" t="s">
        <v>1079</v>
      </c>
      <c r="D1929" t="s">
        <v>1080</v>
      </c>
    </row>
    <row r="1930" spans="1:4" x14ac:dyDescent="0.3">
      <c r="A1930" s="2">
        <v>45029</v>
      </c>
      <c r="B1930">
        <v>2023</v>
      </c>
      <c r="C1930" t="s">
        <v>1079</v>
      </c>
      <c r="D1930" t="s">
        <v>1080</v>
      </c>
    </row>
    <row r="1931" spans="1:4" x14ac:dyDescent="0.3">
      <c r="A1931" s="2">
        <v>45030</v>
      </c>
      <c r="B1931">
        <v>2023</v>
      </c>
      <c r="C1931" t="s">
        <v>1079</v>
      </c>
      <c r="D1931" t="s">
        <v>1080</v>
      </c>
    </row>
    <row r="1932" spans="1:4" x14ac:dyDescent="0.3">
      <c r="A1932" s="2">
        <v>45031</v>
      </c>
      <c r="B1932">
        <v>2023</v>
      </c>
      <c r="C1932" t="s">
        <v>1079</v>
      </c>
      <c r="D1932" t="s">
        <v>1080</v>
      </c>
    </row>
    <row r="1933" spans="1:4" x14ac:dyDescent="0.3">
      <c r="A1933" s="2">
        <v>45032</v>
      </c>
      <c r="B1933">
        <v>2023</v>
      </c>
      <c r="C1933" t="s">
        <v>1079</v>
      </c>
      <c r="D1933" t="s">
        <v>1080</v>
      </c>
    </row>
    <row r="1934" spans="1:4" x14ac:dyDescent="0.3">
      <c r="A1934" s="2">
        <v>45033</v>
      </c>
      <c r="B1934">
        <v>2023</v>
      </c>
      <c r="C1934" t="s">
        <v>1079</v>
      </c>
      <c r="D1934" t="s">
        <v>1080</v>
      </c>
    </row>
    <row r="1935" spans="1:4" x14ac:dyDescent="0.3">
      <c r="A1935" s="2">
        <v>45034</v>
      </c>
      <c r="B1935">
        <v>2023</v>
      </c>
      <c r="C1935" t="s">
        <v>1079</v>
      </c>
      <c r="D1935" t="s">
        <v>1080</v>
      </c>
    </row>
    <row r="1936" spans="1:4" x14ac:dyDescent="0.3">
      <c r="A1936" s="2">
        <v>45035</v>
      </c>
      <c r="B1936">
        <v>2023</v>
      </c>
      <c r="C1936" t="s">
        <v>1079</v>
      </c>
      <c r="D1936" t="s">
        <v>1080</v>
      </c>
    </row>
    <row r="1937" spans="1:4" x14ac:dyDescent="0.3">
      <c r="A1937" s="2">
        <v>45036</v>
      </c>
      <c r="B1937">
        <v>2023</v>
      </c>
      <c r="C1937" t="s">
        <v>1079</v>
      </c>
      <c r="D1937" t="s">
        <v>1080</v>
      </c>
    </row>
    <row r="1938" spans="1:4" x14ac:dyDescent="0.3">
      <c r="A1938" s="2">
        <v>45037</v>
      </c>
      <c r="B1938">
        <v>2023</v>
      </c>
      <c r="C1938" t="s">
        <v>1079</v>
      </c>
      <c r="D1938" t="s">
        <v>1080</v>
      </c>
    </row>
    <row r="1939" spans="1:4" x14ac:dyDescent="0.3">
      <c r="A1939" s="2">
        <v>45038</v>
      </c>
      <c r="B1939">
        <v>2023</v>
      </c>
      <c r="C1939" t="s">
        <v>1079</v>
      </c>
      <c r="D1939" t="s">
        <v>1080</v>
      </c>
    </row>
    <row r="1940" spans="1:4" x14ac:dyDescent="0.3">
      <c r="A1940" s="2">
        <v>45039</v>
      </c>
      <c r="B1940">
        <v>2023</v>
      </c>
      <c r="C1940" t="s">
        <v>1079</v>
      </c>
      <c r="D1940" t="s">
        <v>1080</v>
      </c>
    </row>
    <row r="1941" spans="1:4" x14ac:dyDescent="0.3">
      <c r="A1941" s="2">
        <v>45040</v>
      </c>
      <c r="B1941">
        <v>2023</v>
      </c>
      <c r="C1941" t="s">
        <v>1079</v>
      </c>
      <c r="D1941" t="s">
        <v>1080</v>
      </c>
    </row>
    <row r="1942" spans="1:4" x14ac:dyDescent="0.3">
      <c r="A1942" s="2">
        <v>45041</v>
      </c>
      <c r="B1942">
        <v>2023</v>
      </c>
      <c r="C1942" t="s">
        <v>1079</v>
      </c>
      <c r="D1942" t="s">
        <v>1080</v>
      </c>
    </row>
    <row r="1943" spans="1:4" x14ac:dyDescent="0.3">
      <c r="A1943" s="2">
        <v>45042</v>
      </c>
      <c r="B1943">
        <v>2023</v>
      </c>
      <c r="C1943" t="s">
        <v>1079</v>
      </c>
      <c r="D1943" t="s">
        <v>1080</v>
      </c>
    </row>
    <row r="1944" spans="1:4" x14ac:dyDescent="0.3">
      <c r="A1944" s="2">
        <v>45043</v>
      </c>
      <c r="B1944">
        <v>2023</v>
      </c>
      <c r="C1944" t="s">
        <v>1079</v>
      </c>
      <c r="D1944" t="s">
        <v>1080</v>
      </c>
    </row>
    <row r="1945" spans="1:4" x14ac:dyDescent="0.3">
      <c r="A1945" s="2">
        <v>45044</v>
      </c>
      <c r="B1945">
        <v>2023</v>
      </c>
      <c r="C1945" t="s">
        <v>1079</v>
      </c>
      <c r="D1945" t="s">
        <v>1080</v>
      </c>
    </row>
    <row r="1946" spans="1:4" x14ac:dyDescent="0.3">
      <c r="A1946" s="2">
        <v>45045</v>
      </c>
      <c r="B1946">
        <v>2023</v>
      </c>
      <c r="C1946" t="s">
        <v>1079</v>
      </c>
      <c r="D1946" t="s">
        <v>1080</v>
      </c>
    </row>
    <row r="1947" spans="1:4" x14ac:dyDescent="0.3">
      <c r="A1947" s="2">
        <v>45046</v>
      </c>
      <c r="B1947">
        <v>2023</v>
      </c>
      <c r="C1947" t="s">
        <v>1079</v>
      </c>
      <c r="D1947" t="s">
        <v>1080</v>
      </c>
    </row>
    <row r="1948" spans="1:4" x14ac:dyDescent="0.3">
      <c r="A1948" s="2">
        <v>45047</v>
      </c>
      <c r="B1948">
        <v>2023</v>
      </c>
      <c r="C1948" t="s">
        <v>1079</v>
      </c>
      <c r="D1948" t="s">
        <v>1081</v>
      </c>
    </row>
    <row r="1949" spans="1:4" x14ac:dyDescent="0.3">
      <c r="A1949" s="2">
        <v>45048</v>
      </c>
      <c r="B1949">
        <v>2023</v>
      </c>
      <c r="C1949" t="s">
        <v>1079</v>
      </c>
      <c r="D1949" t="s">
        <v>1081</v>
      </c>
    </row>
    <row r="1950" spans="1:4" x14ac:dyDescent="0.3">
      <c r="A1950" s="2">
        <v>45049</v>
      </c>
      <c r="B1950">
        <v>2023</v>
      </c>
      <c r="C1950" t="s">
        <v>1079</v>
      </c>
      <c r="D1950" t="s">
        <v>1081</v>
      </c>
    </row>
    <row r="1951" spans="1:4" x14ac:dyDescent="0.3">
      <c r="A1951" s="2">
        <v>45050</v>
      </c>
      <c r="B1951">
        <v>2023</v>
      </c>
      <c r="C1951" t="s">
        <v>1079</v>
      </c>
      <c r="D1951" t="s">
        <v>1081</v>
      </c>
    </row>
    <row r="1952" spans="1:4" x14ac:dyDescent="0.3">
      <c r="A1952" s="2">
        <v>45051</v>
      </c>
      <c r="B1952">
        <v>2023</v>
      </c>
      <c r="C1952" t="s">
        <v>1079</v>
      </c>
      <c r="D1952" t="s">
        <v>1081</v>
      </c>
    </row>
    <row r="1953" spans="1:4" x14ac:dyDescent="0.3">
      <c r="A1953" s="2">
        <v>45052</v>
      </c>
      <c r="B1953">
        <v>2023</v>
      </c>
      <c r="C1953" t="s">
        <v>1079</v>
      </c>
      <c r="D1953" t="s">
        <v>1081</v>
      </c>
    </row>
    <row r="1954" spans="1:4" x14ac:dyDescent="0.3">
      <c r="A1954" s="2">
        <v>45053</v>
      </c>
      <c r="B1954">
        <v>2023</v>
      </c>
      <c r="C1954" t="s">
        <v>1079</v>
      </c>
      <c r="D1954" t="s">
        <v>1081</v>
      </c>
    </row>
    <row r="1955" spans="1:4" x14ac:dyDescent="0.3">
      <c r="A1955" s="2">
        <v>45054</v>
      </c>
      <c r="B1955">
        <v>2023</v>
      </c>
      <c r="C1955" t="s">
        <v>1079</v>
      </c>
      <c r="D1955" t="s">
        <v>1081</v>
      </c>
    </row>
    <row r="1956" spans="1:4" x14ac:dyDescent="0.3">
      <c r="A1956" s="2">
        <v>45055</v>
      </c>
      <c r="B1956">
        <v>2023</v>
      </c>
      <c r="C1956" t="s">
        <v>1079</v>
      </c>
      <c r="D1956" t="s">
        <v>1081</v>
      </c>
    </row>
    <row r="1957" spans="1:4" x14ac:dyDescent="0.3">
      <c r="A1957" s="2">
        <v>45056</v>
      </c>
      <c r="B1957">
        <v>2023</v>
      </c>
      <c r="C1957" t="s">
        <v>1079</v>
      </c>
      <c r="D1957" t="s">
        <v>1081</v>
      </c>
    </row>
    <row r="1958" spans="1:4" x14ac:dyDescent="0.3">
      <c r="A1958" s="2">
        <v>45057</v>
      </c>
      <c r="B1958">
        <v>2023</v>
      </c>
      <c r="C1958" t="s">
        <v>1079</v>
      </c>
      <c r="D1958" t="s">
        <v>1081</v>
      </c>
    </row>
    <row r="1959" spans="1:4" x14ac:dyDescent="0.3">
      <c r="A1959" s="2">
        <v>45058</v>
      </c>
      <c r="B1959">
        <v>2023</v>
      </c>
      <c r="C1959" t="s">
        <v>1079</v>
      </c>
      <c r="D1959" t="s">
        <v>1081</v>
      </c>
    </row>
    <row r="1960" spans="1:4" x14ac:dyDescent="0.3">
      <c r="A1960" s="2">
        <v>45059</v>
      </c>
      <c r="B1960">
        <v>2023</v>
      </c>
      <c r="C1960" t="s">
        <v>1079</v>
      </c>
      <c r="D1960" t="s">
        <v>1081</v>
      </c>
    </row>
    <row r="1961" spans="1:4" x14ac:dyDescent="0.3">
      <c r="A1961" s="2">
        <v>45060</v>
      </c>
      <c r="B1961">
        <v>2023</v>
      </c>
      <c r="C1961" t="s">
        <v>1079</v>
      </c>
      <c r="D1961" t="s">
        <v>1081</v>
      </c>
    </row>
    <row r="1962" spans="1:4" x14ac:dyDescent="0.3">
      <c r="A1962" s="2">
        <v>45061</v>
      </c>
      <c r="B1962">
        <v>2023</v>
      </c>
      <c r="C1962" t="s">
        <v>1079</v>
      </c>
      <c r="D1962" t="s">
        <v>1081</v>
      </c>
    </row>
    <row r="1963" spans="1:4" x14ac:dyDescent="0.3">
      <c r="A1963" s="2">
        <v>45062</v>
      </c>
      <c r="B1963">
        <v>2023</v>
      </c>
      <c r="C1963" t="s">
        <v>1079</v>
      </c>
      <c r="D1963" t="s">
        <v>1081</v>
      </c>
    </row>
    <row r="1964" spans="1:4" x14ac:dyDescent="0.3">
      <c r="A1964" s="2">
        <v>45063</v>
      </c>
      <c r="B1964">
        <v>2023</v>
      </c>
      <c r="C1964" t="s">
        <v>1079</v>
      </c>
      <c r="D1964" t="s">
        <v>1081</v>
      </c>
    </row>
    <row r="1965" spans="1:4" x14ac:dyDescent="0.3">
      <c r="A1965" s="2">
        <v>45064</v>
      </c>
      <c r="B1965">
        <v>2023</v>
      </c>
      <c r="C1965" t="s">
        <v>1079</v>
      </c>
      <c r="D1965" t="s">
        <v>1081</v>
      </c>
    </row>
    <row r="1966" spans="1:4" x14ac:dyDescent="0.3">
      <c r="A1966" s="2">
        <v>45065</v>
      </c>
      <c r="B1966">
        <v>2023</v>
      </c>
      <c r="C1966" t="s">
        <v>1079</v>
      </c>
      <c r="D1966" t="s">
        <v>1081</v>
      </c>
    </row>
    <row r="1967" spans="1:4" x14ac:dyDescent="0.3">
      <c r="A1967" s="2">
        <v>45066</v>
      </c>
      <c r="B1967">
        <v>2023</v>
      </c>
      <c r="C1967" t="s">
        <v>1079</v>
      </c>
      <c r="D1967" t="s">
        <v>1081</v>
      </c>
    </row>
    <row r="1968" spans="1:4" x14ac:dyDescent="0.3">
      <c r="A1968" s="2">
        <v>45067</v>
      </c>
      <c r="B1968">
        <v>2023</v>
      </c>
      <c r="C1968" t="s">
        <v>1079</v>
      </c>
      <c r="D1968" t="s">
        <v>1081</v>
      </c>
    </row>
    <row r="1969" spans="1:4" x14ac:dyDescent="0.3">
      <c r="A1969" s="2">
        <v>45068</v>
      </c>
      <c r="B1969">
        <v>2023</v>
      </c>
      <c r="C1969" t="s">
        <v>1079</v>
      </c>
      <c r="D1969" t="s">
        <v>1081</v>
      </c>
    </row>
    <row r="1970" spans="1:4" x14ac:dyDescent="0.3">
      <c r="A1970" s="2">
        <v>45069</v>
      </c>
      <c r="B1970">
        <v>2023</v>
      </c>
      <c r="C1970" t="s">
        <v>1079</v>
      </c>
      <c r="D1970" t="s">
        <v>1081</v>
      </c>
    </row>
    <row r="1971" spans="1:4" x14ac:dyDescent="0.3">
      <c r="A1971" s="2">
        <v>45070</v>
      </c>
      <c r="B1971">
        <v>2023</v>
      </c>
      <c r="C1971" t="s">
        <v>1079</v>
      </c>
      <c r="D1971" t="s">
        <v>1081</v>
      </c>
    </row>
    <row r="1972" spans="1:4" x14ac:dyDescent="0.3">
      <c r="A1972" s="2">
        <v>45071</v>
      </c>
      <c r="B1972">
        <v>2023</v>
      </c>
      <c r="C1972" t="s">
        <v>1079</v>
      </c>
      <c r="D1972" t="s">
        <v>1081</v>
      </c>
    </row>
    <row r="1973" spans="1:4" x14ac:dyDescent="0.3">
      <c r="A1973" s="2">
        <v>45072</v>
      </c>
      <c r="B1973">
        <v>2023</v>
      </c>
      <c r="C1973" t="s">
        <v>1079</v>
      </c>
      <c r="D1973" t="s">
        <v>1081</v>
      </c>
    </row>
    <row r="1974" spans="1:4" x14ac:dyDescent="0.3">
      <c r="A1974" s="2">
        <v>45073</v>
      </c>
      <c r="B1974">
        <v>2023</v>
      </c>
      <c r="C1974" t="s">
        <v>1079</v>
      </c>
      <c r="D1974" t="s">
        <v>1081</v>
      </c>
    </row>
    <row r="1975" spans="1:4" x14ac:dyDescent="0.3">
      <c r="A1975" s="2">
        <v>45074</v>
      </c>
      <c r="B1975">
        <v>2023</v>
      </c>
      <c r="C1975" t="s">
        <v>1079</v>
      </c>
      <c r="D1975" t="s">
        <v>1081</v>
      </c>
    </row>
    <row r="1976" spans="1:4" x14ac:dyDescent="0.3">
      <c r="A1976" s="2">
        <v>45075</v>
      </c>
      <c r="B1976">
        <v>2023</v>
      </c>
      <c r="C1976" t="s">
        <v>1079</v>
      </c>
      <c r="D1976" t="s">
        <v>1081</v>
      </c>
    </row>
    <row r="1977" spans="1:4" x14ac:dyDescent="0.3">
      <c r="A1977" s="2">
        <v>45076</v>
      </c>
      <c r="B1977">
        <v>2023</v>
      </c>
      <c r="C1977" t="s">
        <v>1079</v>
      </c>
      <c r="D1977" t="s">
        <v>1081</v>
      </c>
    </row>
    <row r="1978" spans="1:4" x14ac:dyDescent="0.3">
      <c r="A1978" s="2">
        <v>45077</v>
      </c>
      <c r="B1978">
        <v>2023</v>
      </c>
      <c r="C1978" t="s">
        <v>1079</v>
      </c>
      <c r="D1978" t="s">
        <v>1081</v>
      </c>
    </row>
    <row r="1979" spans="1:4" x14ac:dyDescent="0.3">
      <c r="A1979" s="2">
        <v>45078</v>
      </c>
      <c r="B1979">
        <v>2023</v>
      </c>
      <c r="C1979" t="s">
        <v>1079</v>
      </c>
      <c r="D1979" t="s">
        <v>1082</v>
      </c>
    </row>
    <row r="1980" spans="1:4" x14ac:dyDescent="0.3">
      <c r="A1980" s="2">
        <v>45079</v>
      </c>
      <c r="B1980">
        <v>2023</v>
      </c>
      <c r="C1980" t="s">
        <v>1079</v>
      </c>
      <c r="D1980" t="s">
        <v>1082</v>
      </c>
    </row>
    <row r="1981" spans="1:4" x14ac:dyDescent="0.3">
      <c r="A1981" s="2">
        <v>45080</v>
      </c>
      <c r="B1981">
        <v>2023</v>
      </c>
      <c r="C1981" t="s">
        <v>1079</v>
      </c>
      <c r="D1981" t="s">
        <v>1082</v>
      </c>
    </row>
    <row r="1982" spans="1:4" x14ac:dyDescent="0.3">
      <c r="A1982" s="2">
        <v>45081</v>
      </c>
      <c r="B1982">
        <v>2023</v>
      </c>
      <c r="C1982" t="s">
        <v>1079</v>
      </c>
      <c r="D1982" t="s">
        <v>1082</v>
      </c>
    </row>
    <row r="1983" spans="1:4" x14ac:dyDescent="0.3">
      <c r="A1983" s="2">
        <v>45082</v>
      </c>
      <c r="B1983">
        <v>2023</v>
      </c>
      <c r="C1983" t="s">
        <v>1079</v>
      </c>
      <c r="D1983" t="s">
        <v>1082</v>
      </c>
    </row>
    <row r="1984" spans="1:4" x14ac:dyDescent="0.3">
      <c r="A1984" s="2">
        <v>45083</v>
      </c>
      <c r="B1984">
        <v>2023</v>
      </c>
      <c r="C1984" t="s">
        <v>1079</v>
      </c>
      <c r="D1984" t="s">
        <v>1082</v>
      </c>
    </row>
    <row r="1985" spans="1:4" x14ac:dyDescent="0.3">
      <c r="A1985" s="2">
        <v>45084</v>
      </c>
      <c r="B1985">
        <v>2023</v>
      </c>
      <c r="C1985" t="s">
        <v>1079</v>
      </c>
      <c r="D1985" t="s">
        <v>1082</v>
      </c>
    </row>
    <row r="1986" spans="1:4" x14ac:dyDescent="0.3">
      <c r="A1986" s="2">
        <v>45085</v>
      </c>
      <c r="B1986">
        <v>2023</v>
      </c>
      <c r="C1986" t="s">
        <v>1079</v>
      </c>
      <c r="D1986" t="s">
        <v>1082</v>
      </c>
    </row>
    <row r="1987" spans="1:4" x14ac:dyDescent="0.3">
      <c r="A1987" s="2">
        <v>45086</v>
      </c>
      <c r="B1987">
        <v>2023</v>
      </c>
      <c r="C1987" t="s">
        <v>1079</v>
      </c>
      <c r="D1987" t="s">
        <v>1082</v>
      </c>
    </row>
    <row r="1988" spans="1:4" x14ac:dyDescent="0.3">
      <c r="A1988" s="2">
        <v>45087</v>
      </c>
      <c r="B1988">
        <v>2023</v>
      </c>
      <c r="C1988" t="s">
        <v>1079</v>
      </c>
      <c r="D1988" t="s">
        <v>1082</v>
      </c>
    </row>
    <row r="1989" spans="1:4" x14ac:dyDescent="0.3">
      <c r="A1989" s="2">
        <v>45088</v>
      </c>
      <c r="B1989">
        <v>2023</v>
      </c>
      <c r="C1989" t="s">
        <v>1079</v>
      </c>
      <c r="D1989" t="s">
        <v>1082</v>
      </c>
    </row>
    <row r="1990" spans="1:4" x14ac:dyDescent="0.3">
      <c r="A1990" s="2">
        <v>45089</v>
      </c>
      <c r="B1990">
        <v>2023</v>
      </c>
      <c r="C1990" t="s">
        <v>1079</v>
      </c>
      <c r="D1990" t="s">
        <v>1082</v>
      </c>
    </row>
    <row r="1991" spans="1:4" x14ac:dyDescent="0.3">
      <c r="A1991" s="2">
        <v>45090</v>
      </c>
      <c r="B1991">
        <v>2023</v>
      </c>
      <c r="C1991" t="s">
        <v>1079</v>
      </c>
      <c r="D1991" t="s">
        <v>1082</v>
      </c>
    </row>
    <row r="1992" spans="1:4" x14ac:dyDescent="0.3">
      <c r="A1992" s="2">
        <v>45091</v>
      </c>
      <c r="B1992">
        <v>2023</v>
      </c>
      <c r="C1992" t="s">
        <v>1079</v>
      </c>
      <c r="D1992" t="s">
        <v>1082</v>
      </c>
    </row>
    <row r="1993" spans="1:4" x14ac:dyDescent="0.3">
      <c r="A1993" s="2">
        <v>45092</v>
      </c>
      <c r="B1993">
        <v>2023</v>
      </c>
      <c r="C1993" t="s">
        <v>1079</v>
      </c>
      <c r="D1993" t="s">
        <v>1082</v>
      </c>
    </row>
    <row r="1994" spans="1:4" x14ac:dyDescent="0.3">
      <c r="A1994" s="2">
        <v>45093</v>
      </c>
      <c r="B1994">
        <v>2023</v>
      </c>
      <c r="C1994" t="s">
        <v>1079</v>
      </c>
      <c r="D1994" t="s">
        <v>1082</v>
      </c>
    </row>
    <row r="1995" spans="1:4" x14ac:dyDescent="0.3">
      <c r="A1995" s="2">
        <v>45094</v>
      </c>
      <c r="B1995">
        <v>2023</v>
      </c>
      <c r="C1995" t="s">
        <v>1079</v>
      </c>
      <c r="D1995" t="s">
        <v>1082</v>
      </c>
    </row>
    <row r="1996" spans="1:4" x14ac:dyDescent="0.3">
      <c r="A1996" s="2">
        <v>45095</v>
      </c>
      <c r="B1996">
        <v>2023</v>
      </c>
      <c r="C1996" t="s">
        <v>1079</v>
      </c>
      <c r="D1996" t="s">
        <v>1082</v>
      </c>
    </row>
    <row r="1997" spans="1:4" x14ac:dyDescent="0.3">
      <c r="A1997" s="2">
        <v>45096</v>
      </c>
      <c r="B1997">
        <v>2023</v>
      </c>
      <c r="C1997" t="s">
        <v>1079</v>
      </c>
      <c r="D1997" t="s">
        <v>1082</v>
      </c>
    </row>
    <row r="1998" spans="1:4" x14ac:dyDescent="0.3">
      <c r="A1998" s="2">
        <v>45097</v>
      </c>
      <c r="B1998">
        <v>2023</v>
      </c>
      <c r="C1998" t="s">
        <v>1079</v>
      </c>
      <c r="D1998" t="s">
        <v>1082</v>
      </c>
    </row>
    <row r="1999" spans="1:4" x14ac:dyDescent="0.3">
      <c r="A1999" s="2">
        <v>45098</v>
      </c>
      <c r="B1999">
        <v>2023</v>
      </c>
      <c r="C1999" t="s">
        <v>1079</v>
      </c>
      <c r="D1999" t="s">
        <v>1082</v>
      </c>
    </row>
    <row r="2000" spans="1:4" x14ac:dyDescent="0.3">
      <c r="A2000" s="2">
        <v>45099</v>
      </c>
      <c r="B2000">
        <v>2023</v>
      </c>
      <c r="C2000" t="s">
        <v>1079</v>
      </c>
      <c r="D2000" t="s">
        <v>1082</v>
      </c>
    </row>
    <row r="2001" spans="1:4" x14ac:dyDescent="0.3">
      <c r="A2001" s="2">
        <v>45100</v>
      </c>
      <c r="B2001">
        <v>2023</v>
      </c>
      <c r="C2001" t="s">
        <v>1079</v>
      </c>
      <c r="D2001" t="s">
        <v>1082</v>
      </c>
    </row>
    <row r="2002" spans="1:4" x14ac:dyDescent="0.3">
      <c r="A2002" s="2">
        <v>45101</v>
      </c>
      <c r="B2002">
        <v>2023</v>
      </c>
      <c r="C2002" t="s">
        <v>1079</v>
      </c>
      <c r="D2002" t="s">
        <v>1082</v>
      </c>
    </row>
    <row r="2003" spans="1:4" x14ac:dyDescent="0.3">
      <c r="A2003" s="2">
        <v>45102</v>
      </c>
      <c r="B2003">
        <v>2023</v>
      </c>
      <c r="C2003" t="s">
        <v>1079</v>
      </c>
      <c r="D2003" t="s">
        <v>1082</v>
      </c>
    </row>
    <row r="2004" spans="1:4" x14ac:dyDescent="0.3">
      <c r="A2004" s="2">
        <v>45103</v>
      </c>
      <c r="B2004">
        <v>2023</v>
      </c>
      <c r="C2004" t="s">
        <v>1079</v>
      </c>
      <c r="D2004" t="s">
        <v>1082</v>
      </c>
    </row>
    <row r="2005" spans="1:4" x14ac:dyDescent="0.3">
      <c r="A2005" s="2">
        <v>45104</v>
      </c>
      <c r="B2005">
        <v>2023</v>
      </c>
      <c r="C2005" t="s">
        <v>1079</v>
      </c>
      <c r="D2005" t="s">
        <v>1082</v>
      </c>
    </row>
    <row r="2006" spans="1:4" x14ac:dyDescent="0.3">
      <c r="A2006" s="2">
        <v>45105</v>
      </c>
      <c r="B2006">
        <v>2023</v>
      </c>
      <c r="C2006" t="s">
        <v>1079</v>
      </c>
      <c r="D2006" t="s">
        <v>1082</v>
      </c>
    </row>
    <row r="2007" spans="1:4" x14ac:dyDescent="0.3">
      <c r="A2007" s="2">
        <v>45106</v>
      </c>
      <c r="B2007">
        <v>2023</v>
      </c>
      <c r="C2007" t="s">
        <v>1079</v>
      </c>
      <c r="D2007" t="s">
        <v>1082</v>
      </c>
    </row>
    <row r="2008" spans="1:4" x14ac:dyDescent="0.3">
      <c r="A2008" s="2">
        <v>45107</v>
      </c>
      <c r="B2008">
        <v>2023</v>
      </c>
      <c r="C2008" t="s">
        <v>1079</v>
      </c>
      <c r="D2008" t="s">
        <v>1082</v>
      </c>
    </row>
    <row r="2009" spans="1:4" x14ac:dyDescent="0.3">
      <c r="A2009" s="2">
        <v>45108</v>
      </c>
      <c r="B2009">
        <v>2023</v>
      </c>
      <c r="C2009" t="s">
        <v>1083</v>
      </c>
      <c r="D2009" t="s">
        <v>1084</v>
      </c>
    </row>
    <row r="2010" spans="1:4" x14ac:dyDescent="0.3">
      <c r="A2010" s="2">
        <v>45109</v>
      </c>
      <c r="B2010">
        <v>2023</v>
      </c>
      <c r="C2010" t="s">
        <v>1083</v>
      </c>
      <c r="D2010" t="s">
        <v>1084</v>
      </c>
    </row>
    <row r="2011" spans="1:4" x14ac:dyDescent="0.3">
      <c r="A2011" s="2">
        <v>45110</v>
      </c>
      <c r="B2011">
        <v>2023</v>
      </c>
      <c r="C2011" t="s">
        <v>1083</v>
      </c>
      <c r="D2011" t="s">
        <v>1084</v>
      </c>
    </row>
    <row r="2012" spans="1:4" x14ac:dyDescent="0.3">
      <c r="A2012" s="2">
        <v>45111</v>
      </c>
      <c r="B2012">
        <v>2023</v>
      </c>
      <c r="C2012" t="s">
        <v>1083</v>
      </c>
      <c r="D2012" t="s">
        <v>1084</v>
      </c>
    </row>
    <row r="2013" spans="1:4" x14ac:dyDescent="0.3">
      <c r="A2013" s="2">
        <v>45112</v>
      </c>
      <c r="B2013">
        <v>2023</v>
      </c>
      <c r="C2013" t="s">
        <v>1083</v>
      </c>
      <c r="D2013" t="s">
        <v>1084</v>
      </c>
    </row>
    <row r="2014" spans="1:4" x14ac:dyDescent="0.3">
      <c r="A2014" s="2">
        <v>45113</v>
      </c>
      <c r="B2014">
        <v>2023</v>
      </c>
      <c r="C2014" t="s">
        <v>1083</v>
      </c>
      <c r="D2014" t="s">
        <v>1084</v>
      </c>
    </row>
    <row r="2015" spans="1:4" x14ac:dyDescent="0.3">
      <c r="A2015" s="2">
        <v>45114</v>
      </c>
      <c r="B2015">
        <v>2023</v>
      </c>
      <c r="C2015" t="s">
        <v>1083</v>
      </c>
      <c r="D2015" t="s">
        <v>1084</v>
      </c>
    </row>
    <row r="2016" spans="1:4" x14ac:dyDescent="0.3">
      <c r="A2016" s="2">
        <v>45115</v>
      </c>
      <c r="B2016">
        <v>2023</v>
      </c>
      <c r="C2016" t="s">
        <v>1083</v>
      </c>
      <c r="D2016" t="s">
        <v>1084</v>
      </c>
    </row>
    <row r="2017" spans="1:4" x14ac:dyDescent="0.3">
      <c r="A2017" s="2">
        <v>45116</v>
      </c>
      <c r="B2017">
        <v>2023</v>
      </c>
      <c r="C2017" t="s">
        <v>1083</v>
      </c>
      <c r="D2017" t="s">
        <v>1084</v>
      </c>
    </row>
    <row r="2018" spans="1:4" x14ac:dyDescent="0.3">
      <c r="A2018" s="2">
        <v>45117</v>
      </c>
      <c r="B2018">
        <v>2023</v>
      </c>
      <c r="C2018" t="s">
        <v>1083</v>
      </c>
      <c r="D2018" t="s">
        <v>1084</v>
      </c>
    </row>
    <row r="2019" spans="1:4" x14ac:dyDescent="0.3">
      <c r="A2019" s="2">
        <v>45118</v>
      </c>
      <c r="B2019">
        <v>2023</v>
      </c>
      <c r="C2019" t="s">
        <v>1083</v>
      </c>
      <c r="D2019" t="s">
        <v>1084</v>
      </c>
    </row>
    <row r="2020" spans="1:4" x14ac:dyDescent="0.3">
      <c r="A2020" s="2">
        <v>45119</v>
      </c>
      <c r="B2020">
        <v>2023</v>
      </c>
      <c r="C2020" t="s">
        <v>1083</v>
      </c>
      <c r="D2020" t="s">
        <v>1084</v>
      </c>
    </row>
    <row r="2021" spans="1:4" x14ac:dyDescent="0.3">
      <c r="A2021" s="2">
        <v>45120</v>
      </c>
      <c r="B2021">
        <v>2023</v>
      </c>
      <c r="C2021" t="s">
        <v>1083</v>
      </c>
      <c r="D2021" t="s">
        <v>1084</v>
      </c>
    </row>
    <row r="2022" spans="1:4" x14ac:dyDescent="0.3">
      <c r="A2022" s="2">
        <v>45121</v>
      </c>
      <c r="B2022">
        <v>2023</v>
      </c>
      <c r="C2022" t="s">
        <v>1083</v>
      </c>
      <c r="D2022" t="s">
        <v>1084</v>
      </c>
    </row>
    <row r="2023" spans="1:4" x14ac:dyDescent="0.3">
      <c r="A2023" s="2">
        <v>45122</v>
      </c>
      <c r="B2023">
        <v>2023</v>
      </c>
      <c r="C2023" t="s">
        <v>1083</v>
      </c>
      <c r="D2023" t="s">
        <v>1084</v>
      </c>
    </row>
    <row r="2024" spans="1:4" x14ac:dyDescent="0.3">
      <c r="A2024" s="2">
        <v>45123</v>
      </c>
      <c r="B2024">
        <v>2023</v>
      </c>
      <c r="C2024" t="s">
        <v>1083</v>
      </c>
      <c r="D2024" t="s">
        <v>1084</v>
      </c>
    </row>
    <row r="2025" spans="1:4" x14ac:dyDescent="0.3">
      <c r="A2025" s="2">
        <v>45124</v>
      </c>
      <c r="B2025">
        <v>2023</v>
      </c>
      <c r="C2025" t="s">
        <v>1083</v>
      </c>
      <c r="D2025" t="s">
        <v>1084</v>
      </c>
    </row>
    <row r="2026" spans="1:4" x14ac:dyDescent="0.3">
      <c r="A2026" s="2">
        <v>45125</v>
      </c>
      <c r="B2026">
        <v>2023</v>
      </c>
      <c r="C2026" t="s">
        <v>1083</v>
      </c>
      <c r="D2026" t="s">
        <v>1084</v>
      </c>
    </row>
    <row r="2027" spans="1:4" x14ac:dyDescent="0.3">
      <c r="A2027" s="2">
        <v>45126</v>
      </c>
      <c r="B2027">
        <v>2023</v>
      </c>
      <c r="C2027" t="s">
        <v>1083</v>
      </c>
      <c r="D2027" t="s">
        <v>1084</v>
      </c>
    </row>
    <row r="2028" spans="1:4" x14ac:dyDescent="0.3">
      <c r="A2028" s="2">
        <v>45127</v>
      </c>
      <c r="B2028">
        <v>2023</v>
      </c>
      <c r="C2028" t="s">
        <v>1083</v>
      </c>
      <c r="D2028" t="s">
        <v>1084</v>
      </c>
    </row>
    <row r="2029" spans="1:4" x14ac:dyDescent="0.3">
      <c r="A2029" s="2">
        <v>45128</v>
      </c>
      <c r="B2029">
        <v>2023</v>
      </c>
      <c r="C2029" t="s">
        <v>1083</v>
      </c>
      <c r="D2029" t="s">
        <v>1084</v>
      </c>
    </row>
    <row r="2030" spans="1:4" x14ac:dyDescent="0.3">
      <c r="A2030" s="2">
        <v>45129</v>
      </c>
      <c r="B2030">
        <v>2023</v>
      </c>
      <c r="C2030" t="s">
        <v>1083</v>
      </c>
      <c r="D2030" t="s">
        <v>1084</v>
      </c>
    </row>
    <row r="2031" spans="1:4" x14ac:dyDescent="0.3">
      <c r="A2031" s="2">
        <v>45130</v>
      </c>
      <c r="B2031">
        <v>2023</v>
      </c>
      <c r="C2031" t="s">
        <v>1083</v>
      </c>
      <c r="D2031" t="s">
        <v>1084</v>
      </c>
    </row>
    <row r="2032" spans="1:4" x14ac:dyDescent="0.3">
      <c r="A2032" s="2">
        <v>45131</v>
      </c>
      <c r="B2032">
        <v>2023</v>
      </c>
      <c r="C2032" t="s">
        <v>1083</v>
      </c>
      <c r="D2032" t="s">
        <v>1084</v>
      </c>
    </row>
    <row r="2033" spans="1:4" x14ac:dyDescent="0.3">
      <c r="A2033" s="2">
        <v>45132</v>
      </c>
      <c r="B2033">
        <v>2023</v>
      </c>
      <c r="C2033" t="s">
        <v>1083</v>
      </c>
      <c r="D2033" t="s">
        <v>1084</v>
      </c>
    </row>
    <row r="2034" spans="1:4" x14ac:dyDescent="0.3">
      <c r="A2034" s="2">
        <v>45133</v>
      </c>
      <c r="B2034">
        <v>2023</v>
      </c>
      <c r="C2034" t="s">
        <v>1083</v>
      </c>
      <c r="D2034" t="s">
        <v>1084</v>
      </c>
    </row>
    <row r="2035" spans="1:4" x14ac:dyDescent="0.3">
      <c r="A2035" s="2">
        <v>45134</v>
      </c>
      <c r="B2035">
        <v>2023</v>
      </c>
      <c r="C2035" t="s">
        <v>1083</v>
      </c>
      <c r="D2035" t="s">
        <v>1084</v>
      </c>
    </row>
    <row r="2036" spans="1:4" x14ac:dyDescent="0.3">
      <c r="A2036" s="2">
        <v>45135</v>
      </c>
      <c r="B2036">
        <v>2023</v>
      </c>
      <c r="C2036" t="s">
        <v>1083</v>
      </c>
      <c r="D2036" t="s">
        <v>1084</v>
      </c>
    </row>
    <row r="2037" spans="1:4" x14ac:dyDescent="0.3">
      <c r="A2037" s="2">
        <v>45136</v>
      </c>
      <c r="B2037">
        <v>2023</v>
      </c>
      <c r="C2037" t="s">
        <v>1083</v>
      </c>
      <c r="D2037" t="s">
        <v>1084</v>
      </c>
    </row>
    <row r="2038" spans="1:4" x14ac:dyDescent="0.3">
      <c r="A2038" s="2">
        <v>45137</v>
      </c>
      <c r="B2038">
        <v>2023</v>
      </c>
      <c r="C2038" t="s">
        <v>1083</v>
      </c>
      <c r="D2038" t="s">
        <v>1084</v>
      </c>
    </row>
    <row r="2039" spans="1:4" x14ac:dyDescent="0.3">
      <c r="A2039" s="2">
        <v>45138</v>
      </c>
      <c r="B2039">
        <v>2023</v>
      </c>
      <c r="C2039" t="s">
        <v>1083</v>
      </c>
      <c r="D2039" t="s">
        <v>1084</v>
      </c>
    </row>
    <row r="2040" spans="1:4" x14ac:dyDescent="0.3">
      <c r="A2040" s="2">
        <v>45139</v>
      </c>
      <c r="B2040">
        <v>2023</v>
      </c>
      <c r="C2040" t="s">
        <v>1083</v>
      </c>
      <c r="D2040" t="s">
        <v>1085</v>
      </c>
    </row>
    <row r="2041" spans="1:4" x14ac:dyDescent="0.3">
      <c r="A2041" s="2">
        <v>45140</v>
      </c>
      <c r="B2041">
        <v>2023</v>
      </c>
      <c r="C2041" t="s">
        <v>1083</v>
      </c>
      <c r="D2041" t="s">
        <v>1085</v>
      </c>
    </row>
    <row r="2042" spans="1:4" x14ac:dyDescent="0.3">
      <c r="A2042" s="2">
        <v>45141</v>
      </c>
      <c r="B2042">
        <v>2023</v>
      </c>
      <c r="C2042" t="s">
        <v>1083</v>
      </c>
      <c r="D2042" t="s">
        <v>1085</v>
      </c>
    </row>
    <row r="2043" spans="1:4" x14ac:dyDescent="0.3">
      <c r="A2043" s="2">
        <v>45142</v>
      </c>
      <c r="B2043">
        <v>2023</v>
      </c>
      <c r="C2043" t="s">
        <v>1083</v>
      </c>
      <c r="D2043" t="s">
        <v>1085</v>
      </c>
    </row>
    <row r="2044" spans="1:4" x14ac:dyDescent="0.3">
      <c r="A2044" s="2">
        <v>45143</v>
      </c>
      <c r="B2044">
        <v>2023</v>
      </c>
      <c r="C2044" t="s">
        <v>1083</v>
      </c>
      <c r="D2044" t="s">
        <v>1085</v>
      </c>
    </row>
    <row r="2045" spans="1:4" x14ac:dyDescent="0.3">
      <c r="A2045" s="2">
        <v>45144</v>
      </c>
      <c r="B2045">
        <v>2023</v>
      </c>
      <c r="C2045" t="s">
        <v>1083</v>
      </c>
      <c r="D2045" t="s">
        <v>1085</v>
      </c>
    </row>
    <row r="2046" spans="1:4" x14ac:dyDescent="0.3">
      <c r="A2046" s="2">
        <v>45145</v>
      </c>
      <c r="B2046">
        <v>2023</v>
      </c>
      <c r="C2046" t="s">
        <v>1083</v>
      </c>
      <c r="D2046" t="s">
        <v>1085</v>
      </c>
    </row>
    <row r="2047" spans="1:4" x14ac:dyDescent="0.3">
      <c r="A2047" s="2">
        <v>45146</v>
      </c>
      <c r="B2047">
        <v>2023</v>
      </c>
      <c r="C2047" t="s">
        <v>1083</v>
      </c>
      <c r="D2047" t="s">
        <v>1085</v>
      </c>
    </row>
    <row r="2048" spans="1:4" x14ac:dyDescent="0.3">
      <c r="A2048" s="2">
        <v>45147</v>
      </c>
      <c r="B2048">
        <v>2023</v>
      </c>
      <c r="C2048" t="s">
        <v>1083</v>
      </c>
      <c r="D2048" t="s">
        <v>1085</v>
      </c>
    </row>
    <row r="2049" spans="1:4" x14ac:dyDescent="0.3">
      <c r="A2049" s="2">
        <v>45148</v>
      </c>
      <c r="B2049">
        <v>2023</v>
      </c>
      <c r="C2049" t="s">
        <v>1083</v>
      </c>
      <c r="D2049" t="s">
        <v>1085</v>
      </c>
    </row>
    <row r="2050" spans="1:4" x14ac:dyDescent="0.3">
      <c r="A2050" s="2">
        <v>45149</v>
      </c>
      <c r="B2050">
        <v>2023</v>
      </c>
      <c r="C2050" t="s">
        <v>1083</v>
      </c>
      <c r="D2050" t="s">
        <v>1085</v>
      </c>
    </row>
    <row r="2051" spans="1:4" x14ac:dyDescent="0.3">
      <c r="A2051" s="2">
        <v>45150</v>
      </c>
      <c r="B2051">
        <v>2023</v>
      </c>
      <c r="C2051" t="s">
        <v>1083</v>
      </c>
      <c r="D2051" t="s">
        <v>1085</v>
      </c>
    </row>
    <row r="2052" spans="1:4" x14ac:dyDescent="0.3">
      <c r="A2052" s="2">
        <v>45151</v>
      </c>
      <c r="B2052">
        <v>2023</v>
      </c>
      <c r="C2052" t="s">
        <v>1083</v>
      </c>
      <c r="D2052" t="s">
        <v>1085</v>
      </c>
    </row>
    <row r="2053" spans="1:4" x14ac:dyDescent="0.3">
      <c r="A2053" s="2">
        <v>45152</v>
      </c>
      <c r="B2053">
        <v>2023</v>
      </c>
      <c r="C2053" t="s">
        <v>1083</v>
      </c>
      <c r="D2053" t="s">
        <v>1085</v>
      </c>
    </row>
    <row r="2054" spans="1:4" x14ac:dyDescent="0.3">
      <c r="A2054" s="2">
        <v>45153</v>
      </c>
      <c r="B2054">
        <v>2023</v>
      </c>
      <c r="C2054" t="s">
        <v>1083</v>
      </c>
      <c r="D2054" t="s">
        <v>1085</v>
      </c>
    </row>
    <row r="2055" spans="1:4" x14ac:dyDescent="0.3">
      <c r="A2055" s="2">
        <v>45154</v>
      </c>
      <c r="B2055">
        <v>2023</v>
      </c>
      <c r="C2055" t="s">
        <v>1083</v>
      </c>
      <c r="D2055" t="s">
        <v>1085</v>
      </c>
    </row>
    <row r="2056" spans="1:4" x14ac:dyDescent="0.3">
      <c r="A2056" s="2">
        <v>45155</v>
      </c>
      <c r="B2056">
        <v>2023</v>
      </c>
      <c r="C2056" t="s">
        <v>1083</v>
      </c>
      <c r="D2056" t="s">
        <v>1085</v>
      </c>
    </row>
    <row r="2057" spans="1:4" x14ac:dyDescent="0.3">
      <c r="A2057" s="2">
        <v>45156</v>
      </c>
      <c r="B2057">
        <v>2023</v>
      </c>
      <c r="C2057" t="s">
        <v>1083</v>
      </c>
      <c r="D2057" t="s">
        <v>1085</v>
      </c>
    </row>
    <row r="2058" spans="1:4" x14ac:dyDescent="0.3">
      <c r="A2058" s="2">
        <v>45157</v>
      </c>
      <c r="B2058">
        <v>2023</v>
      </c>
      <c r="C2058" t="s">
        <v>1083</v>
      </c>
      <c r="D2058" t="s">
        <v>1085</v>
      </c>
    </row>
    <row r="2059" spans="1:4" x14ac:dyDescent="0.3">
      <c r="A2059" s="2">
        <v>45158</v>
      </c>
      <c r="B2059">
        <v>2023</v>
      </c>
      <c r="C2059" t="s">
        <v>1083</v>
      </c>
      <c r="D2059" t="s">
        <v>1085</v>
      </c>
    </row>
    <row r="2060" spans="1:4" x14ac:dyDescent="0.3">
      <c r="A2060" s="2">
        <v>45159</v>
      </c>
      <c r="B2060">
        <v>2023</v>
      </c>
      <c r="C2060" t="s">
        <v>1083</v>
      </c>
      <c r="D2060" t="s">
        <v>1085</v>
      </c>
    </row>
    <row r="2061" spans="1:4" x14ac:dyDescent="0.3">
      <c r="A2061" s="2">
        <v>45160</v>
      </c>
      <c r="B2061">
        <v>2023</v>
      </c>
      <c r="C2061" t="s">
        <v>1083</v>
      </c>
      <c r="D2061" t="s">
        <v>1085</v>
      </c>
    </row>
    <row r="2062" spans="1:4" x14ac:dyDescent="0.3">
      <c r="A2062" s="2">
        <v>45161</v>
      </c>
      <c r="B2062">
        <v>2023</v>
      </c>
      <c r="C2062" t="s">
        <v>1083</v>
      </c>
      <c r="D2062" t="s">
        <v>1085</v>
      </c>
    </row>
    <row r="2063" spans="1:4" x14ac:dyDescent="0.3">
      <c r="A2063" s="2">
        <v>45162</v>
      </c>
      <c r="B2063">
        <v>2023</v>
      </c>
      <c r="C2063" t="s">
        <v>1083</v>
      </c>
      <c r="D2063" t="s">
        <v>1085</v>
      </c>
    </row>
    <row r="2064" spans="1:4" x14ac:dyDescent="0.3">
      <c r="A2064" s="2">
        <v>45163</v>
      </c>
      <c r="B2064">
        <v>2023</v>
      </c>
      <c r="C2064" t="s">
        <v>1083</v>
      </c>
      <c r="D2064" t="s">
        <v>1085</v>
      </c>
    </row>
    <row r="2065" spans="1:4" x14ac:dyDescent="0.3">
      <c r="A2065" s="2">
        <v>45164</v>
      </c>
      <c r="B2065">
        <v>2023</v>
      </c>
      <c r="C2065" t="s">
        <v>1083</v>
      </c>
      <c r="D2065" t="s">
        <v>1085</v>
      </c>
    </row>
    <row r="2066" spans="1:4" x14ac:dyDescent="0.3">
      <c r="A2066" s="2">
        <v>45165</v>
      </c>
      <c r="B2066">
        <v>2023</v>
      </c>
      <c r="C2066" t="s">
        <v>1083</v>
      </c>
      <c r="D2066" t="s">
        <v>1085</v>
      </c>
    </row>
    <row r="2067" spans="1:4" x14ac:dyDescent="0.3">
      <c r="A2067" s="2">
        <v>45166</v>
      </c>
      <c r="B2067">
        <v>2023</v>
      </c>
      <c r="C2067" t="s">
        <v>1083</v>
      </c>
      <c r="D2067" t="s">
        <v>1085</v>
      </c>
    </row>
    <row r="2068" spans="1:4" x14ac:dyDescent="0.3">
      <c r="A2068" s="2">
        <v>45167</v>
      </c>
      <c r="B2068">
        <v>2023</v>
      </c>
      <c r="C2068" t="s">
        <v>1083</v>
      </c>
      <c r="D2068" t="s">
        <v>1085</v>
      </c>
    </row>
    <row r="2069" spans="1:4" x14ac:dyDescent="0.3">
      <c r="A2069" s="2">
        <v>45168</v>
      </c>
      <c r="B2069">
        <v>2023</v>
      </c>
      <c r="C2069" t="s">
        <v>1083</v>
      </c>
      <c r="D2069" t="s">
        <v>1085</v>
      </c>
    </row>
    <row r="2070" spans="1:4" x14ac:dyDescent="0.3">
      <c r="A2070" s="2">
        <v>45169</v>
      </c>
      <c r="B2070">
        <v>2023</v>
      </c>
      <c r="C2070" t="s">
        <v>1083</v>
      </c>
      <c r="D2070" t="s">
        <v>1085</v>
      </c>
    </row>
    <row r="2071" spans="1:4" x14ac:dyDescent="0.3">
      <c r="A2071" s="2">
        <v>45170</v>
      </c>
      <c r="B2071">
        <v>2023</v>
      </c>
      <c r="C2071" t="s">
        <v>1083</v>
      </c>
      <c r="D2071" t="s">
        <v>1086</v>
      </c>
    </row>
    <row r="2072" spans="1:4" x14ac:dyDescent="0.3">
      <c r="A2072" s="2">
        <v>45171</v>
      </c>
      <c r="B2072">
        <v>2023</v>
      </c>
      <c r="C2072" t="s">
        <v>1083</v>
      </c>
      <c r="D2072" t="s">
        <v>1086</v>
      </c>
    </row>
    <row r="2073" spans="1:4" x14ac:dyDescent="0.3">
      <c r="A2073" s="2">
        <v>45172</v>
      </c>
      <c r="B2073">
        <v>2023</v>
      </c>
      <c r="C2073" t="s">
        <v>1083</v>
      </c>
      <c r="D2073" t="s">
        <v>1086</v>
      </c>
    </row>
    <row r="2074" spans="1:4" x14ac:dyDescent="0.3">
      <c r="A2074" s="2">
        <v>45173</v>
      </c>
      <c r="B2074">
        <v>2023</v>
      </c>
      <c r="C2074" t="s">
        <v>1083</v>
      </c>
      <c r="D2074" t="s">
        <v>1086</v>
      </c>
    </row>
    <row r="2075" spans="1:4" x14ac:dyDescent="0.3">
      <c r="A2075" s="2">
        <v>45174</v>
      </c>
      <c r="B2075">
        <v>2023</v>
      </c>
      <c r="C2075" t="s">
        <v>1083</v>
      </c>
      <c r="D2075" t="s">
        <v>1086</v>
      </c>
    </row>
    <row r="2076" spans="1:4" x14ac:dyDescent="0.3">
      <c r="A2076" s="2">
        <v>45175</v>
      </c>
      <c r="B2076">
        <v>2023</v>
      </c>
      <c r="C2076" t="s">
        <v>1083</v>
      </c>
      <c r="D2076" t="s">
        <v>1086</v>
      </c>
    </row>
    <row r="2077" spans="1:4" x14ac:dyDescent="0.3">
      <c r="A2077" s="2">
        <v>45176</v>
      </c>
      <c r="B2077">
        <v>2023</v>
      </c>
      <c r="C2077" t="s">
        <v>1083</v>
      </c>
      <c r="D2077" t="s">
        <v>1086</v>
      </c>
    </row>
    <row r="2078" spans="1:4" x14ac:dyDescent="0.3">
      <c r="A2078" s="2">
        <v>45177</v>
      </c>
      <c r="B2078">
        <v>2023</v>
      </c>
      <c r="C2078" t="s">
        <v>1083</v>
      </c>
      <c r="D2078" t="s">
        <v>1086</v>
      </c>
    </row>
    <row r="2079" spans="1:4" x14ac:dyDescent="0.3">
      <c r="A2079" s="2">
        <v>45178</v>
      </c>
      <c r="B2079">
        <v>2023</v>
      </c>
      <c r="C2079" t="s">
        <v>1083</v>
      </c>
      <c r="D2079" t="s">
        <v>1086</v>
      </c>
    </row>
    <row r="2080" spans="1:4" x14ac:dyDescent="0.3">
      <c r="A2080" s="2">
        <v>45179</v>
      </c>
      <c r="B2080">
        <v>2023</v>
      </c>
      <c r="C2080" t="s">
        <v>1083</v>
      </c>
      <c r="D2080" t="s">
        <v>1086</v>
      </c>
    </row>
    <row r="2081" spans="1:4" x14ac:dyDescent="0.3">
      <c r="A2081" s="2">
        <v>45180</v>
      </c>
      <c r="B2081">
        <v>2023</v>
      </c>
      <c r="C2081" t="s">
        <v>1083</v>
      </c>
      <c r="D2081" t="s">
        <v>1086</v>
      </c>
    </row>
    <row r="2082" spans="1:4" x14ac:dyDescent="0.3">
      <c r="A2082" s="2">
        <v>45181</v>
      </c>
      <c r="B2082">
        <v>2023</v>
      </c>
      <c r="C2082" t="s">
        <v>1083</v>
      </c>
      <c r="D2082" t="s">
        <v>1086</v>
      </c>
    </row>
    <row r="2083" spans="1:4" x14ac:dyDescent="0.3">
      <c r="A2083" s="2">
        <v>45182</v>
      </c>
      <c r="B2083">
        <v>2023</v>
      </c>
      <c r="C2083" t="s">
        <v>1083</v>
      </c>
      <c r="D2083" t="s">
        <v>1086</v>
      </c>
    </row>
    <row r="2084" spans="1:4" x14ac:dyDescent="0.3">
      <c r="A2084" s="2">
        <v>45183</v>
      </c>
      <c r="B2084">
        <v>2023</v>
      </c>
      <c r="C2084" t="s">
        <v>1083</v>
      </c>
      <c r="D2084" t="s">
        <v>1086</v>
      </c>
    </row>
    <row r="2085" spans="1:4" x14ac:dyDescent="0.3">
      <c r="A2085" s="2">
        <v>45184</v>
      </c>
      <c r="B2085">
        <v>2023</v>
      </c>
      <c r="C2085" t="s">
        <v>1083</v>
      </c>
      <c r="D2085" t="s">
        <v>1086</v>
      </c>
    </row>
    <row r="2086" spans="1:4" x14ac:dyDescent="0.3">
      <c r="A2086" s="2">
        <v>45185</v>
      </c>
      <c r="B2086">
        <v>2023</v>
      </c>
      <c r="C2086" t="s">
        <v>1083</v>
      </c>
      <c r="D2086" t="s">
        <v>1086</v>
      </c>
    </row>
    <row r="2087" spans="1:4" x14ac:dyDescent="0.3">
      <c r="A2087" s="2">
        <v>45186</v>
      </c>
      <c r="B2087">
        <v>2023</v>
      </c>
      <c r="C2087" t="s">
        <v>1083</v>
      </c>
      <c r="D2087" t="s">
        <v>1086</v>
      </c>
    </row>
    <row r="2088" spans="1:4" x14ac:dyDescent="0.3">
      <c r="A2088" s="2">
        <v>45187</v>
      </c>
      <c r="B2088">
        <v>2023</v>
      </c>
      <c r="C2088" t="s">
        <v>1083</v>
      </c>
      <c r="D2088" t="s">
        <v>1086</v>
      </c>
    </row>
    <row r="2089" spans="1:4" x14ac:dyDescent="0.3">
      <c r="A2089" s="2">
        <v>45188</v>
      </c>
      <c r="B2089">
        <v>2023</v>
      </c>
      <c r="C2089" t="s">
        <v>1083</v>
      </c>
      <c r="D2089" t="s">
        <v>1086</v>
      </c>
    </row>
    <row r="2090" spans="1:4" x14ac:dyDescent="0.3">
      <c r="A2090" s="2">
        <v>45189</v>
      </c>
      <c r="B2090">
        <v>2023</v>
      </c>
      <c r="C2090" t="s">
        <v>1083</v>
      </c>
      <c r="D2090" t="s">
        <v>1086</v>
      </c>
    </row>
    <row r="2091" spans="1:4" x14ac:dyDescent="0.3">
      <c r="A2091" s="2">
        <v>45190</v>
      </c>
      <c r="B2091">
        <v>2023</v>
      </c>
      <c r="C2091" t="s">
        <v>1083</v>
      </c>
      <c r="D2091" t="s">
        <v>1086</v>
      </c>
    </row>
    <row r="2092" spans="1:4" x14ac:dyDescent="0.3">
      <c r="A2092" s="2">
        <v>45191</v>
      </c>
      <c r="B2092">
        <v>2023</v>
      </c>
      <c r="C2092" t="s">
        <v>1083</v>
      </c>
      <c r="D2092" t="s">
        <v>1086</v>
      </c>
    </row>
    <row r="2093" spans="1:4" x14ac:dyDescent="0.3">
      <c r="A2093" s="2">
        <v>45192</v>
      </c>
      <c r="B2093">
        <v>2023</v>
      </c>
      <c r="C2093" t="s">
        <v>1083</v>
      </c>
      <c r="D2093" t="s">
        <v>1086</v>
      </c>
    </row>
    <row r="2094" spans="1:4" x14ac:dyDescent="0.3">
      <c r="A2094" s="2">
        <v>45193</v>
      </c>
      <c r="B2094">
        <v>2023</v>
      </c>
      <c r="C2094" t="s">
        <v>1083</v>
      </c>
      <c r="D2094" t="s">
        <v>1086</v>
      </c>
    </row>
    <row r="2095" spans="1:4" x14ac:dyDescent="0.3">
      <c r="A2095" s="2">
        <v>45194</v>
      </c>
      <c r="B2095">
        <v>2023</v>
      </c>
      <c r="C2095" t="s">
        <v>1083</v>
      </c>
      <c r="D2095" t="s">
        <v>1086</v>
      </c>
    </row>
    <row r="2096" spans="1:4" x14ac:dyDescent="0.3">
      <c r="A2096" s="2">
        <v>45195</v>
      </c>
      <c r="B2096">
        <v>2023</v>
      </c>
      <c r="C2096" t="s">
        <v>1083</v>
      </c>
      <c r="D2096" t="s">
        <v>1086</v>
      </c>
    </row>
    <row r="2097" spans="1:4" x14ac:dyDescent="0.3">
      <c r="A2097" s="2">
        <v>45196</v>
      </c>
      <c r="B2097">
        <v>2023</v>
      </c>
      <c r="C2097" t="s">
        <v>1083</v>
      </c>
      <c r="D2097" t="s">
        <v>1086</v>
      </c>
    </row>
    <row r="2098" spans="1:4" x14ac:dyDescent="0.3">
      <c r="A2098" s="2">
        <v>45197</v>
      </c>
      <c r="B2098">
        <v>2023</v>
      </c>
      <c r="C2098" t="s">
        <v>1083</v>
      </c>
      <c r="D2098" t="s">
        <v>1086</v>
      </c>
    </row>
    <row r="2099" spans="1:4" x14ac:dyDescent="0.3">
      <c r="A2099" s="2">
        <v>45198</v>
      </c>
      <c r="B2099">
        <v>2023</v>
      </c>
      <c r="C2099" t="s">
        <v>1083</v>
      </c>
      <c r="D2099" t="s">
        <v>1086</v>
      </c>
    </row>
    <row r="2100" spans="1:4" x14ac:dyDescent="0.3">
      <c r="A2100" s="2">
        <v>45199</v>
      </c>
      <c r="B2100">
        <v>2023</v>
      </c>
      <c r="C2100" t="s">
        <v>1083</v>
      </c>
      <c r="D2100" t="s">
        <v>1086</v>
      </c>
    </row>
    <row r="2101" spans="1:4" x14ac:dyDescent="0.3">
      <c r="A2101" s="2">
        <v>45200</v>
      </c>
      <c r="B2101">
        <v>2023</v>
      </c>
      <c r="C2101" t="s">
        <v>1087</v>
      </c>
      <c r="D2101" t="s">
        <v>1088</v>
      </c>
    </row>
    <row r="2102" spans="1:4" x14ac:dyDescent="0.3">
      <c r="A2102" s="2">
        <v>45201</v>
      </c>
      <c r="B2102">
        <v>2023</v>
      </c>
      <c r="C2102" t="s">
        <v>1087</v>
      </c>
      <c r="D2102" t="s">
        <v>1088</v>
      </c>
    </row>
    <row r="2103" spans="1:4" x14ac:dyDescent="0.3">
      <c r="A2103" s="2">
        <v>45202</v>
      </c>
      <c r="B2103">
        <v>2023</v>
      </c>
      <c r="C2103" t="s">
        <v>1087</v>
      </c>
      <c r="D2103" t="s">
        <v>1088</v>
      </c>
    </row>
    <row r="2104" spans="1:4" x14ac:dyDescent="0.3">
      <c r="A2104" s="2">
        <v>45203</v>
      </c>
      <c r="B2104">
        <v>2023</v>
      </c>
      <c r="C2104" t="s">
        <v>1087</v>
      </c>
      <c r="D2104" t="s">
        <v>1088</v>
      </c>
    </row>
    <row r="2105" spans="1:4" x14ac:dyDescent="0.3">
      <c r="A2105" s="2">
        <v>45204</v>
      </c>
      <c r="B2105">
        <v>2023</v>
      </c>
      <c r="C2105" t="s">
        <v>1087</v>
      </c>
      <c r="D2105" t="s">
        <v>1088</v>
      </c>
    </row>
    <row r="2106" spans="1:4" x14ac:dyDescent="0.3">
      <c r="A2106" s="2">
        <v>45205</v>
      </c>
      <c r="B2106">
        <v>2023</v>
      </c>
      <c r="C2106" t="s">
        <v>1087</v>
      </c>
      <c r="D2106" t="s">
        <v>1088</v>
      </c>
    </row>
    <row r="2107" spans="1:4" x14ac:dyDescent="0.3">
      <c r="A2107" s="2">
        <v>45206</v>
      </c>
      <c r="B2107">
        <v>2023</v>
      </c>
      <c r="C2107" t="s">
        <v>1087</v>
      </c>
      <c r="D2107" t="s">
        <v>1088</v>
      </c>
    </row>
    <row r="2108" spans="1:4" x14ac:dyDescent="0.3">
      <c r="A2108" s="2">
        <v>45207</v>
      </c>
      <c r="B2108">
        <v>2023</v>
      </c>
      <c r="C2108" t="s">
        <v>1087</v>
      </c>
      <c r="D2108" t="s">
        <v>1088</v>
      </c>
    </row>
    <row r="2109" spans="1:4" x14ac:dyDescent="0.3">
      <c r="A2109" s="2">
        <v>45208</v>
      </c>
      <c r="B2109">
        <v>2023</v>
      </c>
      <c r="C2109" t="s">
        <v>1087</v>
      </c>
      <c r="D2109" t="s">
        <v>1088</v>
      </c>
    </row>
    <row r="2110" spans="1:4" x14ac:dyDescent="0.3">
      <c r="A2110" s="2">
        <v>45209</v>
      </c>
      <c r="B2110">
        <v>2023</v>
      </c>
      <c r="C2110" t="s">
        <v>1087</v>
      </c>
      <c r="D2110" t="s">
        <v>1088</v>
      </c>
    </row>
    <row r="2111" spans="1:4" x14ac:dyDescent="0.3">
      <c r="A2111" s="2">
        <v>45210</v>
      </c>
      <c r="B2111">
        <v>2023</v>
      </c>
      <c r="C2111" t="s">
        <v>1087</v>
      </c>
      <c r="D2111" t="s">
        <v>1088</v>
      </c>
    </row>
    <row r="2112" spans="1:4" x14ac:dyDescent="0.3">
      <c r="A2112" s="2">
        <v>45211</v>
      </c>
      <c r="B2112">
        <v>2023</v>
      </c>
      <c r="C2112" t="s">
        <v>1087</v>
      </c>
      <c r="D2112" t="s">
        <v>1088</v>
      </c>
    </row>
    <row r="2113" spans="1:4" x14ac:dyDescent="0.3">
      <c r="A2113" s="2">
        <v>45212</v>
      </c>
      <c r="B2113">
        <v>2023</v>
      </c>
      <c r="C2113" t="s">
        <v>1087</v>
      </c>
      <c r="D2113" t="s">
        <v>1088</v>
      </c>
    </row>
    <row r="2114" spans="1:4" x14ac:dyDescent="0.3">
      <c r="A2114" s="2">
        <v>45213</v>
      </c>
      <c r="B2114">
        <v>2023</v>
      </c>
      <c r="C2114" t="s">
        <v>1087</v>
      </c>
      <c r="D2114" t="s">
        <v>1088</v>
      </c>
    </row>
    <row r="2115" spans="1:4" x14ac:dyDescent="0.3">
      <c r="A2115" s="2">
        <v>45214</v>
      </c>
      <c r="B2115">
        <v>2023</v>
      </c>
      <c r="C2115" t="s">
        <v>1087</v>
      </c>
      <c r="D2115" t="s">
        <v>1088</v>
      </c>
    </row>
    <row r="2116" spans="1:4" x14ac:dyDescent="0.3">
      <c r="A2116" s="2">
        <v>45215</v>
      </c>
      <c r="B2116">
        <v>2023</v>
      </c>
      <c r="C2116" t="s">
        <v>1087</v>
      </c>
      <c r="D2116" t="s">
        <v>1088</v>
      </c>
    </row>
    <row r="2117" spans="1:4" x14ac:dyDescent="0.3">
      <c r="A2117" s="2">
        <v>45216</v>
      </c>
      <c r="B2117">
        <v>2023</v>
      </c>
      <c r="C2117" t="s">
        <v>1087</v>
      </c>
      <c r="D2117" t="s">
        <v>1088</v>
      </c>
    </row>
    <row r="2118" spans="1:4" x14ac:dyDescent="0.3">
      <c r="A2118" s="2">
        <v>45217</v>
      </c>
      <c r="B2118">
        <v>2023</v>
      </c>
      <c r="C2118" t="s">
        <v>1087</v>
      </c>
      <c r="D2118" t="s">
        <v>1088</v>
      </c>
    </row>
    <row r="2119" spans="1:4" x14ac:dyDescent="0.3">
      <c r="A2119" s="2">
        <v>45218</v>
      </c>
      <c r="B2119">
        <v>2023</v>
      </c>
      <c r="C2119" t="s">
        <v>1087</v>
      </c>
      <c r="D2119" t="s">
        <v>1088</v>
      </c>
    </row>
    <row r="2120" spans="1:4" x14ac:dyDescent="0.3">
      <c r="A2120" s="2">
        <v>45219</v>
      </c>
      <c r="B2120">
        <v>2023</v>
      </c>
      <c r="C2120" t="s">
        <v>1087</v>
      </c>
      <c r="D2120" t="s">
        <v>1088</v>
      </c>
    </row>
    <row r="2121" spans="1:4" x14ac:dyDescent="0.3">
      <c r="A2121" s="2">
        <v>45220</v>
      </c>
      <c r="B2121">
        <v>2023</v>
      </c>
      <c r="C2121" t="s">
        <v>1087</v>
      </c>
      <c r="D2121" t="s">
        <v>1088</v>
      </c>
    </row>
    <row r="2122" spans="1:4" x14ac:dyDescent="0.3">
      <c r="A2122" s="2">
        <v>45221</v>
      </c>
      <c r="B2122">
        <v>2023</v>
      </c>
      <c r="C2122" t="s">
        <v>1087</v>
      </c>
      <c r="D2122" t="s">
        <v>1088</v>
      </c>
    </row>
    <row r="2123" spans="1:4" x14ac:dyDescent="0.3">
      <c r="A2123" s="2">
        <v>45222</v>
      </c>
      <c r="B2123">
        <v>2023</v>
      </c>
      <c r="C2123" t="s">
        <v>1087</v>
      </c>
      <c r="D2123" t="s">
        <v>1088</v>
      </c>
    </row>
    <row r="2124" spans="1:4" x14ac:dyDescent="0.3">
      <c r="A2124" s="2">
        <v>45223</v>
      </c>
      <c r="B2124">
        <v>2023</v>
      </c>
      <c r="C2124" t="s">
        <v>1087</v>
      </c>
      <c r="D2124" t="s">
        <v>1088</v>
      </c>
    </row>
    <row r="2125" spans="1:4" x14ac:dyDescent="0.3">
      <c r="A2125" s="2">
        <v>45224</v>
      </c>
      <c r="B2125">
        <v>2023</v>
      </c>
      <c r="C2125" t="s">
        <v>1087</v>
      </c>
      <c r="D2125" t="s">
        <v>1088</v>
      </c>
    </row>
    <row r="2126" spans="1:4" x14ac:dyDescent="0.3">
      <c r="A2126" s="2">
        <v>45225</v>
      </c>
      <c r="B2126">
        <v>2023</v>
      </c>
      <c r="C2126" t="s">
        <v>1087</v>
      </c>
      <c r="D2126" t="s">
        <v>1088</v>
      </c>
    </row>
    <row r="2127" spans="1:4" x14ac:dyDescent="0.3">
      <c r="A2127" s="2">
        <v>45226</v>
      </c>
      <c r="B2127">
        <v>2023</v>
      </c>
      <c r="C2127" t="s">
        <v>1087</v>
      </c>
      <c r="D2127" t="s">
        <v>1088</v>
      </c>
    </row>
    <row r="2128" spans="1:4" x14ac:dyDescent="0.3">
      <c r="A2128" s="2">
        <v>45227</v>
      </c>
      <c r="B2128">
        <v>2023</v>
      </c>
      <c r="C2128" t="s">
        <v>1087</v>
      </c>
      <c r="D2128" t="s">
        <v>1088</v>
      </c>
    </row>
    <row r="2129" spans="1:4" x14ac:dyDescent="0.3">
      <c r="A2129" s="2">
        <v>45228</v>
      </c>
      <c r="B2129">
        <v>2023</v>
      </c>
      <c r="C2129" t="s">
        <v>1087</v>
      </c>
      <c r="D2129" t="s">
        <v>1088</v>
      </c>
    </row>
    <row r="2130" spans="1:4" x14ac:dyDescent="0.3">
      <c r="A2130" s="2">
        <v>45229</v>
      </c>
      <c r="B2130">
        <v>2023</v>
      </c>
      <c r="C2130" t="s">
        <v>1087</v>
      </c>
      <c r="D2130" t="s">
        <v>1088</v>
      </c>
    </row>
    <row r="2131" spans="1:4" x14ac:dyDescent="0.3">
      <c r="A2131" s="2">
        <v>45230</v>
      </c>
      <c r="B2131">
        <v>2023</v>
      </c>
      <c r="C2131" t="s">
        <v>1087</v>
      </c>
      <c r="D2131" t="s">
        <v>1088</v>
      </c>
    </row>
    <row r="2132" spans="1:4" x14ac:dyDescent="0.3">
      <c r="A2132" s="2">
        <v>45231</v>
      </c>
      <c r="B2132">
        <v>2023</v>
      </c>
      <c r="C2132" t="s">
        <v>1087</v>
      </c>
      <c r="D2132" t="s">
        <v>1089</v>
      </c>
    </row>
    <row r="2133" spans="1:4" x14ac:dyDescent="0.3">
      <c r="A2133" s="2">
        <v>45232</v>
      </c>
      <c r="B2133">
        <v>2023</v>
      </c>
      <c r="C2133" t="s">
        <v>1087</v>
      </c>
      <c r="D2133" t="s">
        <v>1089</v>
      </c>
    </row>
    <row r="2134" spans="1:4" x14ac:dyDescent="0.3">
      <c r="A2134" s="2">
        <v>45233</v>
      </c>
      <c r="B2134">
        <v>2023</v>
      </c>
      <c r="C2134" t="s">
        <v>1087</v>
      </c>
      <c r="D2134" t="s">
        <v>1089</v>
      </c>
    </row>
    <row r="2135" spans="1:4" x14ac:dyDescent="0.3">
      <c r="A2135" s="2">
        <v>45234</v>
      </c>
      <c r="B2135">
        <v>2023</v>
      </c>
      <c r="C2135" t="s">
        <v>1087</v>
      </c>
      <c r="D2135" t="s">
        <v>1089</v>
      </c>
    </row>
    <row r="2136" spans="1:4" x14ac:dyDescent="0.3">
      <c r="A2136" s="2">
        <v>45235</v>
      </c>
      <c r="B2136">
        <v>2023</v>
      </c>
      <c r="C2136" t="s">
        <v>1087</v>
      </c>
      <c r="D2136" t="s">
        <v>1089</v>
      </c>
    </row>
    <row r="2137" spans="1:4" x14ac:dyDescent="0.3">
      <c r="A2137" s="2">
        <v>45236</v>
      </c>
      <c r="B2137">
        <v>2023</v>
      </c>
      <c r="C2137" t="s">
        <v>1087</v>
      </c>
      <c r="D2137" t="s">
        <v>1089</v>
      </c>
    </row>
    <row r="2138" spans="1:4" x14ac:dyDescent="0.3">
      <c r="A2138" s="2">
        <v>45237</v>
      </c>
      <c r="B2138">
        <v>2023</v>
      </c>
      <c r="C2138" t="s">
        <v>1087</v>
      </c>
      <c r="D2138" t="s">
        <v>1089</v>
      </c>
    </row>
    <row r="2139" spans="1:4" x14ac:dyDescent="0.3">
      <c r="A2139" s="2">
        <v>45238</v>
      </c>
      <c r="B2139">
        <v>2023</v>
      </c>
      <c r="C2139" t="s">
        <v>1087</v>
      </c>
      <c r="D2139" t="s">
        <v>1089</v>
      </c>
    </row>
    <row r="2140" spans="1:4" x14ac:dyDescent="0.3">
      <c r="A2140" s="2">
        <v>45239</v>
      </c>
      <c r="B2140">
        <v>2023</v>
      </c>
      <c r="C2140" t="s">
        <v>1087</v>
      </c>
      <c r="D2140" t="s">
        <v>1089</v>
      </c>
    </row>
    <row r="2141" spans="1:4" x14ac:dyDescent="0.3">
      <c r="A2141" s="2">
        <v>45240</v>
      </c>
      <c r="B2141">
        <v>2023</v>
      </c>
      <c r="C2141" t="s">
        <v>1087</v>
      </c>
      <c r="D2141" t="s">
        <v>1089</v>
      </c>
    </row>
    <row r="2142" spans="1:4" x14ac:dyDescent="0.3">
      <c r="A2142" s="2">
        <v>45241</v>
      </c>
      <c r="B2142">
        <v>2023</v>
      </c>
      <c r="C2142" t="s">
        <v>1087</v>
      </c>
      <c r="D2142" t="s">
        <v>1089</v>
      </c>
    </row>
    <row r="2143" spans="1:4" x14ac:dyDescent="0.3">
      <c r="A2143" s="2">
        <v>45242</v>
      </c>
      <c r="B2143">
        <v>2023</v>
      </c>
      <c r="C2143" t="s">
        <v>1087</v>
      </c>
      <c r="D2143" t="s">
        <v>1089</v>
      </c>
    </row>
    <row r="2144" spans="1:4" x14ac:dyDescent="0.3">
      <c r="A2144" s="2">
        <v>45243</v>
      </c>
      <c r="B2144">
        <v>2023</v>
      </c>
      <c r="C2144" t="s">
        <v>1087</v>
      </c>
      <c r="D2144" t="s">
        <v>1089</v>
      </c>
    </row>
    <row r="2145" spans="1:4" x14ac:dyDescent="0.3">
      <c r="A2145" s="2">
        <v>45244</v>
      </c>
      <c r="B2145">
        <v>2023</v>
      </c>
      <c r="C2145" t="s">
        <v>1087</v>
      </c>
      <c r="D2145" t="s">
        <v>1089</v>
      </c>
    </row>
    <row r="2146" spans="1:4" x14ac:dyDescent="0.3">
      <c r="A2146" s="2">
        <v>45245</v>
      </c>
      <c r="B2146">
        <v>2023</v>
      </c>
      <c r="C2146" t="s">
        <v>1087</v>
      </c>
      <c r="D2146" t="s">
        <v>1089</v>
      </c>
    </row>
    <row r="2147" spans="1:4" x14ac:dyDescent="0.3">
      <c r="A2147" s="2">
        <v>45246</v>
      </c>
      <c r="B2147">
        <v>2023</v>
      </c>
      <c r="C2147" t="s">
        <v>1087</v>
      </c>
      <c r="D2147" t="s">
        <v>1089</v>
      </c>
    </row>
    <row r="2148" spans="1:4" x14ac:dyDescent="0.3">
      <c r="A2148" s="2">
        <v>45247</v>
      </c>
      <c r="B2148">
        <v>2023</v>
      </c>
      <c r="C2148" t="s">
        <v>1087</v>
      </c>
      <c r="D2148" t="s">
        <v>1089</v>
      </c>
    </row>
    <row r="2149" spans="1:4" x14ac:dyDescent="0.3">
      <c r="A2149" s="2">
        <v>45248</v>
      </c>
      <c r="B2149">
        <v>2023</v>
      </c>
      <c r="C2149" t="s">
        <v>1087</v>
      </c>
      <c r="D2149" t="s">
        <v>1089</v>
      </c>
    </row>
    <row r="2150" spans="1:4" x14ac:dyDescent="0.3">
      <c r="A2150" s="2">
        <v>45249</v>
      </c>
      <c r="B2150">
        <v>2023</v>
      </c>
      <c r="C2150" t="s">
        <v>1087</v>
      </c>
      <c r="D2150" t="s">
        <v>1089</v>
      </c>
    </row>
    <row r="2151" spans="1:4" x14ac:dyDescent="0.3">
      <c r="A2151" s="2">
        <v>45250</v>
      </c>
      <c r="B2151">
        <v>2023</v>
      </c>
      <c r="C2151" t="s">
        <v>1087</v>
      </c>
      <c r="D2151" t="s">
        <v>1089</v>
      </c>
    </row>
    <row r="2152" spans="1:4" x14ac:dyDescent="0.3">
      <c r="A2152" s="2">
        <v>45251</v>
      </c>
      <c r="B2152">
        <v>2023</v>
      </c>
      <c r="C2152" t="s">
        <v>1087</v>
      </c>
      <c r="D2152" t="s">
        <v>1089</v>
      </c>
    </row>
    <row r="2153" spans="1:4" x14ac:dyDescent="0.3">
      <c r="A2153" s="2">
        <v>45252</v>
      </c>
      <c r="B2153">
        <v>2023</v>
      </c>
      <c r="C2153" t="s">
        <v>1087</v>
      </c>
      <c r="D2153" t="s">
        <v>1089</v>
      </c>
    </row>
    <row r="2154" spans="1:4" x14ac:dyDescent="0.3">
      <c r="A2154" s="2">
        <v>45253</v>
      </c>
      <c r="B2154">
        <v>2023</v>
      </c>
      <c r="C2154" t="s">
        <v>1087</v>
      </c>
      <c r="D2154" t="s">
        <v>1089</v>
      </c>
    </row>
    <row r="2155" spans="1:4" x14ac:dyDescent="0.3">
      <c r="A2155" s="2">
        <v>45254</v>
      </c>
      <c r="B2155">
        <v>2023</v>
      </c>
      <c r="C2155" t="s">
        <v>1087</v>
      </c>
      <c r="D2155" t="s">
        <v>1089</v>
      </c>
    </row>
    <row r="2156" spans="1:4" x14ac:dyDescent="0.3">
      <c r="A2156" s="2">
        <v>45255</v>
      </c>
      <c r="B2156">
        <v>2023</v>
      </c>
      <c r="C2156" t="s">
        <v>1087</v>
      </c>
      <c r="D2156" t="s">
        <v>1089</v>
      </c>
    </row>
    <row r="2157" spans="1:4" x14ac:dyDescent="0.3">
      <c r="A2157" s="2">
        <v>45256</v>
      </c>
      <c r="B2157">
        <v>2023</v>
      </c>
      <c r="C2157" t="s">
        <v>1087</v>
      </c>
      <c r="D2157" t="s">
        <v>1089</v>
      </c>
    </row>
    <row r="2158" spans="1:4" x14ac:dyDescent="0.3">
      <c r="A2158" s="2">
        <v>45257</v>
      </c>
      <c r="B2158">
        <v>2023</v>
      </c>
      <c r="C2158" t="s">
        <v>1087</v>
      </c>
      <c r="D2158" t="s">
        <v>1089</v>
      </c>
    </row>
    <row r="2159" spans="1:4" x14ac:dyDescent="0.3">
      <c r="A2159" s="2">
        <v>45258</v>
      </c>
      <c r="B2159">
        <v>2023</v>
      </c>
      <c r="C2159" t="s">
        <v>1087</v>
      </c>
      <c r="D2159" t="s">
        <v>1089</v>
      </c>
    </row>
    <row r="2160" spans="1:4" x14ac:dyDescent="0.3">
      <c r="A2160" s="2">
        <v>45259</v>
      </c>
      <c r="B2160">
        <v>2023</v>
      </c>
      <c r="C2160" t="s">
        <v>1087</v>
      </c>
      <c r="D2160" t="s">
        <v>1089</v>
      </c>
    </row>
    <row r="2161" spans="1:4" x14ac:dyDescent="0.3">
      <c r="A2161" s="2">
        <v>45260</v>
      </c>
      <c r="B2161">
        <v>2023</v>
      </c>
      <c r="C2161" t="s">
        <v>1087</v>
      </c>
      <c r="D2161" t="s">
        <v>1089</v>
      </c>
    </row>
    <row r="2162" spans="1:4" x14ac:dyDescent="0.3">
      <c r="A2162" s="2">
        <v>45261</v>
      </c>
      <c r="B2162">
        <v>2023</v>
      </c>
      <c r="C2162" t="s">
        <v>1087</v>
      </c>
      <c r="D2162" t="s">
        <v>1090</v>
      </c>
    </row>
    <row r="2163" spans="1:4" x14ac:dyDescent="0.3">
      <c r="A2163" s="2">
        <v>45262</v>
      </c>
      <c r="B2163">
        <v>2023</v>
      </c>
      <c r="C2163" t="s">
        <v>1087</v>
      </c>
      <c r="D2163" t="s">
        <v>1090</v>
      </c>
    </row>
    <row r="2164" spans="1:4" x14ac:dyDescent="0.3">
      <c r="A2164" s="2">
        <v>45263</v>
      </c>
      <c r="B2164">
        <v>2023</v>
      </c>
      <c r="C2164" t="s">
        <v>1087</v>
      </c>
      <c r="D2164" t="s">
        <v>1090</v>
      </c>
    </row>
    <row r="2165" spans="1:4" x14ac:dyDescent="0.3">
      <c r="A2165" s="2">
        <v>45264</v>
      </c>
      <c r="B2165">
        <v>2023</v>
      </c>
      <c r="C2165" t="s">
        <v>1087</v>
      </c>
      <c r="D2165" t="s">
        <v>1090</v>
      </c>
    </row>
    <row r="2166" spans="1:4" x14ac:dyDescent="0.3">
      <c r="A2166" s="2">
        <v>45265</v>
      </c>
      <c r="B2166">
        <v>2023</v>
      </c>
      <c r="C2166" t="s">
        <v>1087</v>
      </c>
      <c r="D2166" t="s">
        <v>1090</v>
      </c>
    </row>
    <row r="2167" spans="1:4" x14ac:dyDescent="0.3">
      <c r="A2167" s="2">
        <v>45266</v>
      </c>
      <c r="B2167">
        <v>2023</v>
      </c>
      <c r="C2167" t="s">
        <v>1087</v>
      </c>
      <c r="D2167" t="s">
        <v>1090</v>
      </c>
    </row>
    <row r="2168" spans="1:4" x14ac:dyDescent="0.3">
      <c r="A2168" s="2">
        <v>45267</v>
      </c>
      <c r="B2168">
        <v>2023</v>
      </c>
      <c r="C2168" t="s">
        <v>1087</v>
      </c>
      <c r="D2168" t="s">
        <v>1090</v>
      </c>
    </row>
    <row r="2169" spans="1:4" x14ac:dyDescent="0.3">
      <c r="A2169" s="2">
        <v>45268</v>
      </c>
      <c r="B2169">
        <v>2023</v>
      </c>
      <c r="C2169" t="s">
        <v>1087</v>
      </c>
      <c r="D2169" t="s">
        <v>1090</v>
      </c>
    </row>
    <row r="2170" spans="1:4" x14ac:dyDescent="0.3">
      <c r="A2170" s="2">
        <v>45269</v>
      </c>
      <c r="B2170">
        <v>2023</v>
      </c>
      <c r="C2170" t="s">
        <v>1087</v>
      </c>
      <c r="D2170" t="s">
        <v>1090</v>
      </c>
    </row>
    <row r="2171" spans="1:4" x14ac:dyDescent="0.3">
      <c r="A2171" s="2">
        <v>45270</v>
      </c>
      <c r="B2171">
        <v>2023</v>
      </c>
      <c r="C2171" t="s">
        <v>1087</v>
      </c>
      <c r="D2171" t="s">
        <v>1090</v>
      </c>
    </row>
    <row r="2172" spans="1:4" x14ac:dyDescent="0.3">
      <c r="A2172" s="2">
        <v>45271</v>
      </c>
      <c r="B2172">
        <v>2023</v>
      </c>
      <c r="C2172" t="s">
        <v>1087</v>
      </c>
      <c r="D2172" t="s">
        <v>1090</v>
      </c>
    </row>
    <row r="2173" spans="1:4" x14ac:dyDescent="0.3">
      <c r="A2173" s="2">
        <v>45272</v>
      </c>
      <c r="B2173">
        <v>2023</v>
      </c>
      <c r="C2173" t="s">
        <v>1087</v>
      </c>
      <c r="D2173" t="s">
        <v>1090</v>
      </c>
    </row>
    <row r="2174" spans="1:4" x14ac:dyDescent="0.3">
      <c r="A2174" s="2">
        <v>45273</v>
      </c>
      <c r="B2174">
        <v>2023</v>
      </c>
      <c r="C2174" t="s">
        <v>1087</v>
      </c>
      <c r="D2174" t="s">
        <v>1090</v>
      </c>
    </row>
    <row r="2175" spans="1:4" x14ac:dyDescent="0.3">
      <c r="A2175" s="2">
        <v>45274</v>
      </c>
      <c r="B2175">
        <v>2023</v>
      </c>
      <c r="C2175" t="s">
        <v>1087</v>
      </c>
      <c r="D2175" t="s">
        <v>1090</v>
      </c>
    </row>
    <row r="2176" spans="1:4" x14ac:dyDescent="0.3">
      <c r="A2176" s="2">
        <v>45275</v>
      </c>
      <c r="B2176">
        <v>2023</v>
      </c>
      <c r="C2176" t="s">
        <v>1087</v>
      </c>
      <c r="D2176" t="s">
        <v>1090</v>
      </c>
    </row>
    <row r="2177" spans="1:4" x14ac:dyDescent="0.3">
      <c r="A2177" s="2">
        <v>45276</v>
      </c>
      <c r="B2177">
        <v>2023</v>
      </c>
      <c r="C2177" t="s">
        <v>1087</v>
      </c>
      <c r="D2177" t="s">
        <v>1090</v>
      </c>
    </row>
    <row r="2178" spans="1:4" x14ac:dyDescent="0.3">
      <c r="A2178" s="2">
        <v>45277</v>
      </c>
      <c r="B2178">
        <v>2023</v>
      </c>
      <c r="C2178" t="s">
        <v>1087</v>
      </c>
      <c r="D2178" t="s">
        <v>1090</v>
      </c>
    </row>
    <row r="2179" spans="1:4" x14ac:dyDescent="0.3">
      <c r="A2179" s="2">
        <v>45278</v>
      </c>
      <c r="B2179">
        <v>2023</v>
      </c>
      <c r="C2179" t="s">
        <v>1087</v>
      </c>
      <c r="D2179" t="s">
        <v>1090</v>
      </c>
    </row>
    <row r="2180" spans="1:4" x14ac:dyDescent="0.3">
      <c r="A2180" s="2">
        <v>45279</v>
      </c>
      <c r="B2180">
        <v>2023</v>
      </c>
      <c r="C2180" t="s">
        <v>1087</v>
      </c>
      <c r="D2180" t="s">
        <v>1090</v>
      </c>
    </row>
    <row r="2181" spans="1:4" x14ac:dyDescent="0.3">
      <c r="A2181" s="2">
        <v>45280</v>
      </c>
      <c r="B2181">
        <v>2023</v>
      </c>
      <c r="C2181" t="s">
        <v>1087</v>
      </c>
      <c r="D2181" t="s">
        <v>1090</v>
      </c>
    </row>
    <row r="2182" spans="1:4" x14ac:dyDescent="0.3">
      <c r="A2182" s="2">
        <v>45281</v>
      </c>
      <c r="B2182">
        <v>2023</v>
      </c>
      <c r="C2182" t="s">
        <v>1087</v>
      </c>
      <c r="D2182" t="s">
        <v>1090</v>
      </c>
    </row>
    <row r="2183" spans="1:4" x14ac:dyDescent="0.3">
      <c r="A2183" s="2">
        <v>45282</v>
      </c>
      <c r="B2183">
        <v>2023</v>
      </c>
      <c r="C2183" t="s">
        <v>1087</v>
      </c>
      <c r="D2183" t="s">
        <v>1090</v>
      </c>
    </row>
    <row r="2184" spans="1:4" x14ac:dyDescent="0.3">
      <c r="A2184" s="2">
        <v>45283</v>
      </c>
      <c r="B2184">
        <v>2023</v>
      </c>
      <c r="C2184" t="s">
        <v>1087</v>
      </c>
      <c r="D2184" t="s">
        <v>1090</v>
      </c>
    </row>
    <row r="2185" spans="1:4" x14ac:dyDescent="0.3">
      <c r="A2185" s="2">
        <v>45284</v>
      </c>
      <c r="B2185">
        <v>2023</v>
      </c>
      <c r="C2185" t="s">
        <v>1087</v>
      </c>
      <c r="D2185" t="s">
        <v>1090</v>
      </c>
    </row>
    <row r="2186" spans="1:4" x14ac:dyDescent="0.3">
      <c r="A2186" s="2">
        <v>45285</v>
      </c>
      <c r="B2186">
        <v>2023</v>
      </c>
      <c r="C2186" t="s">
        <v>1087</v>
      </c>
      <c r="D2186" t="s">
        <v>1090</v>
      </c>
    </row>
    <row r="2187" spans="1:4" x14ac:dyDescent="0.3">
      <c r="A2187" s="2">
        <v>45286</v>
      </c>
      <c r="B2187">
        <v>2023</v>
      </c>
      <c r="C2187" t="s">
        <v>1087</v>
      </c>
      <c r="D2187" t="s">
        <v>1090</v>
      </c>
    </row>
    <row r="2188" spans="1:4" x14ac:dyDescent="0.3">
      <c r="A2188" s="2">
        <v>45287</v>
      </c>
      <c r="B2188">
        <v>2023</v>
      </c>
      <c r="C2188" t="s">
        <v>1087</v>
      </c>
      <c r="D2188" t="s">
        <v>1090</v>
      </c>
    </row>
    <row r="2189" spans="1:4" x14ac:dyDescent="0.3">
      <c r="A2189" s="2">
        <v>45288</v>
      </c>
      <c r="B2189">
        <v>2023</v>
      </c>
      <c r="C2189" t="s">
        <v>1087</v>
      </c>
      <c r="D2189" t="s">
        <v>1090</v>
      </c>
    </row>
    <row r="2190" spans="1:4" x14ac:dyDescent="0.3">
      <c r="A2190" s="2">
        <v>45289</v>
      </c>
      <c r="B2190">
        <v>2023</v>
      </c>
      <c r="C2190" t="s">
        <v>1087</v>
      </c>
      <c r="D2190" t="s">
        <v>1090</v>
      </c>
    </row>
    <row r="2191" spans="1:4" x14ac:dyDescent="0.3">
      <c r="A2191" s="2">
        <v>45290</v>
      </c>
      <c r="B2191">
        <v>2023</v>
      </c>
      <c r="C2191" t="s">
        <v>1087</v>
      </c>
      <c r="D2191" t="s">
        <v>1090</v>
      </c>
    </row>
    <row r="2192" spans="1:4" x14ac:dyDescent="0.3">
      <c r="A2192" s="2">
        <v>45291</v>
      </c>
      <c r="B2192">
        <v>2023</v>
      </c>
      <c r="C2192" t="s">
        <v>1087</v>
      </c>
      <c r="D2192" t="s">
        <v>1090</v>
      </c>
    </row>
    <row r="2193" spans="1:4" x14ac:dyDescent="0.3">
      <c r="A2193" s="2">
        <v>45292</v>
      </c>
      <c r="B2193">
        <v>2024</v>
      </c>
      <c r="C2193" t="s">
        <v>1075</v>
      </c>
      <c r="D2193" t="s">
        <v>1076</v>
      </c>
    </row>
    <row r="2194" spans="1:4" x14ac:dyDescent="0.3">
      <c r="A2194" s="2">
        <v>45293</v>
      </c>
      <c r="B2194">
        <v>2024</v>
      </c>
      <c r="C2194" t="s">
        <v>1075</v>
      </c>
      <c r="D2194" t="s">
        <v>1076</v>
      </c>
    </row>
    <row r="2195" spans="1:4" x14ac:dyDescent="0.3">
      <c r="A2195" s="2">
        <v>45294</v>
      </c>
      <c r="B2195">
        <v>2024</v>
      </c>
      <c r="C2195" t="s">
        <v>1075</v>
      </c>
      <c r="D2195" t="s">
        <v>1076</v>
      </c>
    </row>
    <row r="2196" spans="1:4" x14ac:dyDescent="0.3">
      <c r="A2196" s="2">
        <v>45295</v>
      </c>
      <c r="B2196">
        <v>2024</v>
      </c>
      <c r="C2196" t="s">
        <v>1075</v>
      </c>
      <c r="D2196" t="s">
        <v>1076</v>
      </c>
    </row>
    <row r="2197" spans="1:4" x14ac:dyDescent="0.3">
      <c r="A2197" s="2">
        <v>45296</v>
      </c>
      <c r="B2197">
        <v>2024</v>
      </c>
      <c r="C2197" t="s">
        <v>1075</v>
      </c>
      <c r="D2197" t="s">
        <v>1076</v>
      </c>
    </row>
    <row r="2198" spans="1:4" x14ac:dyDescent="0.3">
      <c r="A2198" s="2">
        <v>45297</v>
      </c>
      <c r="B2198">
        <v>2024</v>
      </c>
      <c r="C2198" t="s">
        <v>1075</v>
      </c>
      <c r="D2198" t="s">
        <v>1076</v>
      </c>
    </row>
    <row r="2199" spans="1:4" x14ac:dyDescent="0.3">
      <c r="A2199" s="2">
        <v>45298</v>
      </c>
      <c r="B2199">
        <v>2024</v>
      </c>
      <c r="C2199" t="s">
        <v>1075</v>
      </c>
      <c r="D2199" t="s">
        <v>1076</v>
      </c>
    </row>
    <row r="2200" spans="1:4" x14ac:dyDescent="0.3">
      <c r="A2200" s="2">
        <v>45299</v>
      </c>
      <c r="B2200">
        <v>2024</v>
      </c>
      <c r="C2200" t="s">
        <v>1075</v>
      </c>
      <c r="D2200" t="s">
        <v>1076</v>
      </c>
    </row>
    <row r="2201" spans="1:4" x14ac:dyDescent="0.3">
      <c r="A2201" s="2">
        <v>45300</v>
      </c>
      <c r="B2201">
        <v>2024</v>
      </c>
      <c r="C2201" t="s">
        <v>1075</v>
      </c>
      <c r="D2201" t="s">
        <v>1076</v>
      </c>
    </row>
    <row r="2202" spans="1:4" x14ac:dyDescent="0.3">
      <c r="A2202" s="2">
        <v>45301</v>
      </c>
      <c r="B2202">
        <v>2024</v>
      </c>
      <c r="C2202" t="s">
        <v>1075</v>
      </c>
      <c r="D2202" t="s">
        <v>1076</v>
      </c>
    </row>
    <row r="2203" spans="1:4" x14ac:dyDescent="0.3">
      <c r="A2203" s="2">
        <v>45302</v>
      </c>
      <c r="B2203">
        <v>2024</v>
      </c>
      <c r="C2203" t="s">
        <v>1075</v>
      </c>
      <c r="D2203" t="s">
        <v>1076</v>
      </c>
    </row>
    <row r="2204" spans="1:4" x14ac:dyDescent="0.3">
      <c r="A2204" s="2">
        <v>45303</v>
      </c>
      <c r="B2204">
        <v>2024</v>
      </c>
      <c r="C2204" t="s">
        <v>1075</v>
      </c>
      <c r="D2204" t="s">
        <v>1076</v>
      </c>
    </row>
    <row r="2205" spans="1:4" x14ac:dyDescent="0.3">
      <c r="A2205" s="2">
        <v>45304</v>
      </c>
      <c r="B2205">
        <v>2024</v>
      </c>
      <c r="C2205" t="s">
        <v>1075</v>
      </c>
      <c r="D2205" t="s">
        <v>1076</v>
      </c>
    </row>
    <row r="2206" spans="1:4" x14ac:dyDescent="0.3">
      <c r="A2206" s="2">
        <v>45305</v>
      </c>
      <c r="B2206">
        <v>2024</v>
      </c>
      <c r="C2206" t="s">
        <v>1075</v>
      </c>
      <c r="D2206" t="s">
        <v>1076</v>
      </c>
    </row>
    <row r="2207" spans="1:4" x14ac:dyDescent="0.3">
      <c r="A2207" s="2">
        <v>45306</v>
      </c>
      <c r="B2207">
        <v>2024</v>
      </c>
      <c r="C2207" t="s">
        <v>1075</v>
      </c>
      <c r="D2207" t="s">
        <v>1076</v>
      </c>
    </row>
    <row r="2208" spans="1:4" x14ac:dyDescent="0.3">
      <c r="A2208" s="2">
        <v>45307</v>
      </c>
      <c r="B2208">
        <v>2024</v>
      </c>
      <c r="C2208" t="s">
        <v>1075</v>
      </c>
      <c r="D2208" t="s">
        <v>1076</v>
      </c>
    </row>
    <row r="2209" spans="1:4" x14ac:dyDescent="0.3">
      <c r="A2209" s="2">
        <v>45308</v>
      </c>
      <c r="B2209">
        <v>2024</v>
      </c>
      <c r="C2209" t="s">
        <v>1075</v>
      </c>
      <c r="D2209" t="s">
        <v>1076</v>
      </c>
    </row>
    <row r="2210" spans="1:4" x14ac:dyDescent="0.3">
      <c r="A2210" s="2">
        <v>45309</v>
      </c>
      <c r="B2210">
        <v>2024</v>
      </c>
      <c r="C2210" t="s">
        <v>1075</v>
      </c>
      <c r="D2210" t="s">
        <v>1076</v>
      </c>
    </row>
    <row r="2211" spans="1:4" x14ac:dyDescent="0.3">
      <c r="A2211" s="2">
        <v>45310</v>
      </c>
      <c r="B2211">
        <v>2024</v>
      </c>
      <c r="C2211" t="s">
        <v>1075</v>
      </c>
      <c r="D2211" t="s">
        <v>1076</v>
      </c>
    </row>
    <row r="2212" spans="1:4" x14ac:dyDescent="0.3">
      <c r="A2212" s="2">
        <v>45311</v>
      </c>
      <c r="B2212">
        <v>2024</v>
      </c>
      <c r="C2212" t="s">
        <v>1075</v>
      </c>
      <c r="D2212" t="s">
        <v>1076</v>
      </c>
    </row>
    <row r="2213" spans="1:4" x14ac:dyDescent="0.3">
      <c r="A2213" s="2">
        <v>45312</v>
      </c>
      <c r="B2213">
        <v>2024</v>
      </c>
      <c r="C2213" t="s">
        <v>1075</v>
      </c>
      <c r="D2213" t="s">
        <v>1076</v>
      </c>
    </row>
    <row r="2214" spans="1:4" x14ac:dyDescent="0.3">
      <c r="A2214" s="2">
        <v>45313</v>
      </c>
      <c r="B2214">
        <v>2024</v>
      </c>
      <c r="C2214" t="s">
        <v>1075</v>
      </c>
      <c r="D2214" t="s">
        <v>1076</v>
      </c>
    </row>
    <row r="2215" spans="1:4" x14ac:dyDescent="0.3">
      <c r="A2215" s="2">
        <v>45314</v>
      </c>
      <c r="B2215">
        <v>2024</v>
      </c>
      <c r="C2215" t="s">
        <v>1075</v>
      </c>
      <c r="D2215" t="s">
        <v>1076</v>
      </c>
    </row>
    <row r="2216" spans="1:4" x14ac:dyDescent="0.3">
      <c r="A2216" s="2">
        <v>45315</v>
      </c>
      <c r="B2216">
        <v>2024</v>
      </c>
      <c r="C2216" t="s">
        <v>1075</v>
      </c>
      <c r="D2216" t="s">
        <v>1076</v>
      </c>
    </row>
    <row r="2217" spans="1:4" x14ac:dyDescent="0.3">
      <c r="A2217" s="2">
        <v>45316</v>
      </c>
      <c r="B2217">
        <v>2024</v>
      </c>
      <c r="C2217" t="s">
        <v>1075</v>
      </c>
      <c r="D2217" t="s">
        <v>1076</v>
      </c>
    </row>
    <row r="2218" spans="1:4" x14ac:dyDescent="0.3">
      <c r="A2218" s="2">
        <v>45317</v>
      </c>
      <c r="B2218">
        <v>2024</v>
      </c>
      <c r="C2218" t="s">
        <v>1075</v>
      </c>
      <c r="D2218" t="s">
        <v>1076</v>
      </c>
    </row>
    <row r="2219" spans="1:4" x14ac:dyDescent="0.3">
      <c r="A2219" s="2">
        <v>45318</v>
      </c>
      <c r="B2219">
        <v>2024</v>
      </c>
      <c r="C2219" t="s">
        <v>1075</v>
      </c>
      <c r="D2219" t="s">
        <v>1076</v>
      </c>
    </row>
    <row r="2220" spans="1:4" x14ac:dyDescent="0.3">
      <c r="A2220" s="2">
        <v>45319</v>
      </c>
      <c r="B2220">
        <v>2024</v>
      </c>
      <c r="C2220" t="s">
        <v>1075</v>
      </c>
      <c r="D2220" t="s">
        <v>1076</v>
      </c>
    </row>
    <row r="2221" spans="1:4" x14ac:dyDescent="0.3">
      <c r="A2221" s="2">
        <v>45320</v>
      </c>
      <c r="B2221">
        <v>2024</v>
      </c>
      <c r="C2221" t="s">
        <v>1075</v>
      </c>
      <c r="D2221" t="s">
        <v>1076</v>
      </c>
    </row>
    <row r="2222" spans="1:4" x14ac:dyDescent="0.3">
      <c r="A2222" s="2">
        <v>45321</v>
      </c>
      <c r="B2222">
        <v>2024</v>
      </c>
      <c r="C2222" t="s">
        <v>1075</v>
      </c>
      <c r="D2222" t="s">
        <v>1076</v>
      </c>
    </row>
    <row r="2223" spans="1:4" x14ac:dyDescent="0.3">
      <c r="A2223" s="2">
        <v>45322</v>
      </c>
      <c r="B2223">
        <v>2024</v>
      </c>
      <c r="C2223" t="s">
        <v>1075</v>
      </c>
      <c r="D2223" t="s">
        <v>1076</v>
      </c>
    </row>
    <row r="2224" spans="1:4" x14ac:dyDescent="0.3">
      <c r="A2224" s="2">
        <v>45323</v>
      </c>
      <c r="B2224">
        <v>2024</v>
      </c>
      <c r="C2224" t="s">
        <v>1075</v>
      </c>
      <c r="D2224" t="s">
        <v>1077</v>
      </c>
    </row>
    <row r="2225" spans="1:4" x14ac:dyDescent="0.3">
      <c r="A2225" s="2">
        <v>45324</v>
      </c>
      <c r="B2225">
        <v>2024</v>
      </c>
      <c r="C2225" t="s">
        <v>1075</v>
      </c>
      <c r="D2225" t="s">
        <v>1077</v>
      </c>
    </row>
    <row r="2226" spans="1:4" x14ac:dyDescent="0.3">
      <c r="A2226" s="2">
        <v>45325</v>
      </c>
      <c r="B2226">
        <v>2024</v>
      </c>
      <c r="C2226" t="s">
        <v>1075</v>
      </c>
      <c r="D2226" t="s">
        <v>1077</v>
      </c>
    </row>
    <row r="2227" spans="1:4" x14ac:dyDescent="0.3">
      <c r="A2227" s="2">
        <v>45326</v>
      </c>
      <c r="B2227">
        <v>2024</v>
      </c>
      <c r="C2227" t="s">
        <v>1075</v>
      </c>
      <c r="D2227" t="s">
        <v>1077</v>
      </c>
    </row>
    <row r="2228" spans="1:4" x14ac:dyDescent="0.3">
      <c r="A2228" s="2">
        <v>45327</v>
      </c>
      <c r="B2228">
        <v>2024</v>
      </c>
      <c r="C2228" t="s">
        <v>1075</v>
      </c>
      <c r="D2228" t="s">
        <v>1077</v>
      </c>
    </row>
    <row r="2229" spans="1:4" x14ac:dyDescent="0.3">
      <c r="A2229" s="2">
        <v>45328</v>
      </c>
      <c r="B2229">
        <v>2024</v>
      </c>
      <c r="C2229" t="s">
        <v>1075</v>
      </c>
      <c r="D2229" t="s">
        <v>1077</v>
      </c>
    </row>
    <row r="2230" spans="1:4" x14ac:dyDescent="0.3">
      <c r="A2230" s="2">
        <v>45329</v>
      </c>
      <c r="B2230">
        <v>2024</v>
      </c>
      <c r="C2230" t="s">
        <v>1075</v>
      </c>
      <c r="D2230" t="s">
        <v>1077</v>
      </c>
    </row>
    <row r="2231" spans="1:4" x14ac:dyDescent="0.3">
      <c r="A2231" s="2">
        <v>45330</v>
      </c>
      <c r="B2231">
        <v>2024</v>
      </c>
      <c r="C2231" t="s">
        <v>1075</v>
      </c>
      <c r="D2231" t="s">
        <v>1077</v>
      </c>
    </row>
    <row r="2232" spans="1:4" x14ac:dyDescent="0.3">
      <c r="A2232" s="2">
        <v>45331</v>
      </c>
      <c r="B2232">
        <v>2024</v>
      </c>
      <c r="C2232" t="s">
        <v>1075</v>
      </c>
      <c r="D2232" t="s">
        <v>1077</v>
      </c>
    </row>
    <row r="2233" spans="1:4" x14ac:dyDescent="0.3">
      <c r="A2233" s="2">
        <v>45332</v>
      </c>
      <c r="B2233">
        <v>2024</v>
      </c>
      <c r="C2233" t="s">
        <v>1075</v>
      </c>
      <c r="D2233" t="s">
        <v>1077</v>
      </c>
    </row>
    <row r="2234" spans="1:4" x14ac:dyDescent="0.3">
      <c r="A2234" s="2">
        <v>45333</v>
      </c>
      <c r="B2234">
        <v>2024</v>
      </c>
      <c r="C2234" t="s">
        <v>1075</v>
      </c>
      <c r="D2234" t="s">
        <v>1077</v>
      </c>
    </row>
    <row r="2235" spans="1:4" x14ac:dyDescent="0.3">
      <c r="A2235" s="2">
        <v>45334</v>
      </c>
      <c r="B2235">
        <v>2024</v>
      </c>
      <c r="C2235" t="s">
        <v>1075</v>
      </c>
      <c r="D2235" t="s">
        <v>1077</v>
      </c>
    </row>
    <row r="2236" spans="1:4" x14ac:dyDescent="0.3">
      <c r="A2236" s="2">
        <v>45335</v>
      </c>
      <c r="B2236">
        <v>2024</v>
      </c>
      <c r="C2236" t="s">
        <v>1075</v>
      </c>
      <c r="D2236" t="s">
        <v>1077</v>
      </c>
    </row>
    <row r="2237" spans="1:4" x14ac:dyDescent="0.3">
      <c r="A2237" s="2">
        <v>45336</v>
      </c>
      <c r="B2237">
        <v>2024</v>
      </c>
      <c r="C2237" t="s">
        <v>1075</v>
      </c>
      <c r="D2237" t="s">
        <v>1077</v>
      </c>
    </row>
    <row r="2238" spans="1:4" x14ac:dyDescent="0.3">
      <c r="A2238" s="2">
        <v>45337</v>
      </c>
      <c r="B2238">
        <v>2024</v>
      </c>
      <c r="C2238" t="s">
        <v>1075</v>
      </c>
      <c r="D2238" t="s">
        <v>1077</v>
      </c>
    </row>
    <row r="2239" spans="1:4" x14ac:dyDescent="0.3">
      <c r="A2239" s="2">
        <v>45338</v>
      </c>
      <c r="B2239">
        <v>2024</v>
      </c>
      <c r="C2239" t="s">
        <v>1075</v>
      </c>
      <c r="D2239" t="s">
        <v>1077</v>
      </c>
    </row>
    <row r="2240" spans="1:4" x14ac:dyDescent="0.3">
      <c r="A2240" s="2">
        <v>45339</v>
      </c>
      <c r="B2240">
        <v>2024</v>
      </c>
      <c r="C2240" t="s">
        <v>1075</v>
      </c>
      <c r="D2240" t="s">
        <v>1077</v>
      </c>
    </row>
    <row r="2241" spans="1:4" x14ac:dyDescent="0.3">
      <c r="A2241" s="2">
        <v>45340</v>
      </c>
      <c r="B2241">
        <v>2024</v>
      </c>
      <c r="C2241" t="s">
        <v>1075</v>
      </c>
      <c r="D2241" t="s">
        <v>1077</v>
      </c>
    </row>
    <row r="2242" spans="1:4" x14ac:dyDescent="0.3">
      <c r="A2242" s="2">
        <v>45341</v>
      </c>
      <c r="B2242">
        <v>2024</v>
      </c>
      <c r="C2242" t="s">
        <v>1075</v>
      </c>
      <c r="D2242" t="s">
        <v>1077</v>
      </c>
    </row>
    <row r="2243" spans="1:4" x14ac:dyDescent="0.3">
      <c r="A2243" s="2">
        <v>45342</v>
      </c>
      <c r="B2243">
        <v>2024</v>
      </c>
      <c r="C2243" t="s">
        <v>1075</v>
      </c>
      <c r="D2243" t="s">
        <v>1077</v>
      </c>
    </row>
    <row r="2244" spans="1:4" x14ac:dyDescent="0.3">
      <c r="A2244" s="2">
        <v>45343</v>
      </c>
      <c r="B2244">
        <v>2024</v>
      </c>
      <c r="C2244" t="s">
        <v>1075</v>
      </c>
      <c r="D2244" t="s">
        <v>1077</v>
      </c>
    </row>
    <row r="2245" spans="1:4" x14ac:dyDescent="0.3">
      <c r="A2245" s="2">
        <v>45344</v>
      </c>
      <c r="B2245">
        <v>2024</v>
      </c>
      <c r="C2245" t="s">
        <v>1075</v>
      </c>
      <c r="D2245" t="s">
        <v>1077</v>
      </c>
    </row>
    <row r="2246" spans="1:4" x14ac:dyDescent="0.3">
      <c r="A2246" s="2">
        <v>45345</v>
      </c>
      <c r="B2246">
        <v>2024</v>
      </c>
      <c r="C2246" t="s">
        <v>1075</v>
      </c>
      <c r="D2246" t="s">
        <v>1077</v>
      </c>
    </row>
    <row r="2247" spans="1:4" x14ac:dyDescent="0.3">
      <c r="A2247" s="2">
        <v>45346</v>
      </c>
      <c r="B2247">
        <v>2024</v>
      </c>
      <c r="C2247" t="s">
        <v>1075</v>
      </c>
      <c r="D2247" t="s">
        <v>1077</v>
      </c>
    </row>
    <row r="2248" spans="1:4" x14ac:dyDescent="0.3">
      <c r="A2248" s="2">
        <v>45347</v>
      </c>
      <c r="B2248">
        <v>2024</v>
      </c>
      <c r="C2248" t="s">
        <v>1075</v>
      </c>
      <c r="D2248" t="s">
        <v>1077</v>
      </c>
    </row>
    <row r="2249" spans="1:4" x14ac:dyDescent="0.3">
      <c r="A2249" s="2">
        <v>45348</v>
      </c>
      <c r="B2249">
        <v>2024</v>
      </c>
      <c r="C2249" t="s">
        <v>1075</v>
      </c>
      <c r="D2249" t="s">
        <v>1077</v>
      </c>
    </row>
    <row r="2250" spans="1:4" x14ac:dyDescent="0.3">
      <c r="A2250" s="2">
        <v>45349</v>
      </c>
      <c r="B2250">
        <v>2024</v>
      </c>
      <c r="C2250" t="s">
        <v>1075</v>
      </c>
      <c r="D2250" t="s">
        <v>1077</v>
      </c>
    </row>
    <row r="2251" spans="1:4" x14ac:dyDescent="0.3">
      <c r="A2251" s="2">
        <v>45350</v>
      </c>
      <c r="B2251">
        <v>2024</v>
      </c>
      <c r="C2251" t="s">
        <v>1075</v>
      </c>
      <c r="D2251" t="s">
        <v>1077</v>
      </c>
    </row>
    <row r="2252" spans="1:4" x14ac:dyDescent="0.3">
      <c r="A2252" s="2">
        <v>45351</v>
      </c>
      <c r="B2252">
        <v>2024</v>
      </c>
      <c r="C2252" t="s">
        <v>1075</v>
      </c>
      <c r="D2252" t="s">
        <v>1077</v>
      </c>
    </row>
    <row r="2253" spans="1:4" x14ac:dyDescent="0.3">
      <c r="A2253" s="2">
        <v>45352</v>
      </c>
      <c r="B2253">
        <v>2024</v>
      </c>
      <c r="C2253" t="s">
        <v>1075</v>
      </c>
      <c r="D2253" t="s">
        <v>1078</v>
      </c>
    </row>
    <row r="2254" spans="1:4" x14ac:dyDescent="0.3">
      <c r="A2254" s="2">
        <v>45353</v>
      </c>
      <c r="B2254">
        <v>2024</v>
      </c>
      <c r="C2254" t="s">
        <v>1075</v>
      </c>
      <c r="D2254" t="s">
        <v>1078</v>
      </c>
    </row>
    <row r="2255" spans="1:4" x14ac:dyDescent="0.3">
      <c r="A2255" s="2">
        <v>45354</v>
      </c>
      <c r="B2255">
        <v>2024</v>
      </c>
      <c r="C2255" t="s">
        <v>1075</v>
      </c>
      <c r="D2255" t="s">
        <v>1078</v>
      </c>
    </row>
    <row r="2256" spans="1:4" x14ac:dyDescent="0.3">
      <c r="A2256" s="2">
        <v>45355</v>
      </c>
      <c r="B2256">
        <v>2024</v>
      </c>
      <c r="C2256" t="s">
        <v>1075</v>
      </c>
      <c r="D2256" t="s">
        <v>1078</v>
      </c>
    </row>
    <row r="2257" spans="1:4" x14ac:dyDescent="0.3">
      <c r="A2257" s="2">
        <v>45356</v>
      </c>
      <c r="B2257">
        <v>2024</v>
      </c>
      <c r="C2257" t="s">
        <v>1075</v>
      </c>
      <c r="D2257" t="s">
        <v>1078</v>
      </c>
    </row>
    <row r="2258" spans="1:4" x14ac:dyDescent="0.3">
      <c r="A2258" s="2">
        <v>45357</v>
      </c>
      <c r="B2258">
        <v>2024</v>
      </c>
      <c r="C2258" t="s">
        <v>1075</v>
      </c>
      <c r="D2258" t="s">
        <v>1078</v>
      </c>
    </row>
    <row r="2259" spans="1:4" x14ac:dyDescent="0.3">
      <c r="A2259" s="2">
        <v>45358</v>
      </c>
      <c r="B2259">
        <v>2024</v>
      </c>
      <c r="C2259" t="s">
        <v>1075</v>
      </c>
      <c r="D2259" t="s">
        <v>1078</v>
      </c>
    </row>
    <row r="2260" spans="1:4" x14ac:dyDescent="0.3">
      <c r="A2260" s="2">
        <v>45359</v>
      </c>
      <c r="B2260">
        <v>2024</v>
      </c>
      <c r="C2260" t="s">
        <v>1075</v>
      </c>
      <c r="D2260" t="s">
        <v>1078</v>
      </c>
    </row>
    <row r="2261" spans="1:4" x14ac:dyDescent="0.3">
      <c r="A2261" s="2">
        <v>45360</v>
      </c>
      <c r="B2261">
        <v>2024</v>
      </c>
      <c r="C2261" t="s">
        <v>1075</v>
      </c>
      <c r="D2261" t="s">
        <v>1078</v>
      </c>
    </row>
    <row r="2262" spans="1:4" x14ac:dyDescent="0.3">
      <c r="A2262" s="2">
        <v>45361</v>
      </c>
      <c r="B2262">
        <v>2024</v>
      </c>
      <c r="C2262" t="s">
        <v>1075</v>
      </c>
      <c r="D2262" t="s">
        <v>1078</v>
      </c>
    </row>
    <row r="2263" spans="1:4" x14ac:dyDescent="0.3">
      <c r="A2263" s="2">
        <v>45362</v>
      </c>
      <c r="B2263">
        <v>2024</v>
      </c>
      <c r="C2263" t="s">
        <v>1075</v>
      </c>
      <c r="D2263" t="s">
        <v>1078</v>
      </c>
    </row>
    <row r="2264" spans="1:4" x14ac:dyDescent="0.3">
      <c r="A2264" s="2">
        <v>45363</v>
      </c>
      <c r="B2264">
        <v>2024</v>
      </c>
      <c r="C2264" t="s">
        <v>1075</v>
      </c>
      <c r="D2264" t="s">
        <v>1078</v>
      </c>
    </row>
    <row r="2265" spans="1:4" x14ac:dyDescent="0.3">
      <c r="A2265" s="2">
        <v>45364</v>
      </c>
      <c r="B2265">
        <v>2024</v>
      </c>
      <c r="C2265" t="s">
        <v>1075</v>
      </c>
      <c r="D2265" t="s">
        <v>1078</v>
      </c>
    </row>
    <row r="2266" spans="1:4" x14ac:dyDescent="0.3">
      <c r="A2266" s="2">
        <v>45365</v>
      </c>
      <c r="B2266">
        <v>2024</v>
      </c>
      <c r="C2266" t="s">
        <v>1075</v>
      </c>
      <c r="D2266" t="s">
        <v>1078</v>
      </c>
    </row>
    <row r="2267" spans="1:4" x14ac:dyDescent="0.3">
      <c r="A2267" s="2">
        <v>45366</v>
      </c>
      <c r="B2267">
        <v>2024</v>
      </c>
      <c r="C2267" t="s">
        <v>1075</v>
      </c>
      <c r="D2267" t="s">
        <v>1078</v>
      </c>
    </row>
    <row r="2268" spans="1:4" x14ac:dyDescent="0.3">
      <c r="A2268" s="2">
        <v>45367</v>
      </c>
      <c r="B2268">
        <v>2024</v>
      </c>
      <c r="C2268" t="s">
        <v>1075</v>
      </c>
      <c r="D2268" t="s">
        <v>1078</v>
      </c>
    </row>
    <row r="2269" spans="1:4" x14ac:dyDescent="0.3">
      <c r="A2269" s="2">
        <v>45368</v>
      </c>
      <c r="B2269">
        <v>2024</v>
      </c>
      <c r="C2269" t="s">
        <v>1075</v>
      </c>
      <c r="D2269" t="s">
        <v>1078</v>
      </c>
    </row>
    <row r="2270" spans="1:4" x14ac:dyDescent="0.3">
      <c r="A2270" s="2">
        <v>45369</v>
      </c>
      <c r="B2270">
        <v>2024</v>
      </c>
      <c r="C2270" t="s">
        <v>1075</v>
      </c>
      <c r="D2270" t="s">
        <v>1078</v>
      </c>
    </row>
    <row r="2271" spans="1:4" x14ac:dyDescent="0.3">
      <c r="A2271" s="2">
        <v>45370</v>
      </c>
      <c r="B2271">
        <v>2024</v>
      </c>
      <c r="C2271" t="s">
        <v>1075</v>
      </c>
      <c r="D2271" t="s">
        <v>1078</v>
      </c>
    </row>
    <row r="2272" spans="1:4" x14ac:dyDescent="0.3">
      <c r="A2272" s="2">
        <v>45371</v>
      </c>
      <c r="B2272">
        <v>2024</v>
      </c>
      <c r="C2272" t="s">
        <v>1075</v>
      </c>
      <c r="D2272" t="s">
        <v>1078</v>
      </c>
    </row>
    <row r="2273" spans="1:4" x14ac:dyDescent="0.3">
      <c r="A2273" s="2">
        <v>45372</v>
      </c>
      <c r="B2273">
        <v>2024</v>
      </c>
      <c r="C2273" t="s">
        <v>1075</v>
      </c>
      <c r="D2273" t="s">
        <v>1078</v>
      </c>
    </row>
    <row r="2274" spans="1:4" x14ac:dyDescent="0.3">
      <c r="A2274" s="2">
        <v>45373</v>
      </c>
      <c r="B2274">
        <v>2024</v>
      </c>
      <c r="C2274" t="s">
        <v>1075</v>
      </c>
      <c r="D2274" t="s">
        <v>1078</v>
      </c>
    </row>
    <row r="2275" spans="1:4" x14ac:dyDescent="0.3">
      <c r="A2275" s="2">
        <v>45374</v>
      </c>
      <c r="B2275">
        <v>2024</v>
      </c>
      <c r="C2275" t="s">
        <v>1075</v>
      </c>
      <c r="D2275" t="s">
        <v>1078</v>
      </c>
    </row>
    <row r="2276" spans="1:4" x14ac:dyDescent="0.3">
      <c r="A2276" s="2">
        <v>45375</v>
      </c>
      <c r="B2276">
        <v>2024</v>
      </c>
      <c r="C2276" t="s">
        <v>1075</v>
      </c>
      <c r="D2276" t="s">
        <v>1078</v>
      </c>
    </row>
    <row r="2277" spans="1:4" x14ac:dyDescent="0.3">
      <c r="A2277" s="2">
        <v>45376</v>
      </c>
      <c r="B2277">
        <v>2024</v>
      </c>
      <c r="C2277" t="s">
        <v>1075</v>
      </c>
      <c r="D2277" t="s">
        <v>1078</v>
      </c>
    </row>
    <row r="2278" spans="1:4" x14ac:dyDescent="0.3">
      <c r="A2278" s="2">
        <v>45377</v>
      </c>
      <c r="B2278">
        <v>2024</v>
      </c>
      <c r="C2278" t="s">
        <v>1075</v>
      </c>
      <c r="D2278" t="s">
        <v>1078</v>
      </c>
    </row>
    <row r="2279" spans="1:4" x14ac:dyDescent="0.3">
      <c r="A2279" s="2">
        <v>45378</v>
      </c>
      <c r="B2279">
        <v>2024</v>
      </c>
      <c r="C2279" t="s">
        <v>1075</v>
      </c>
      <c r="D2279" t="s">
        <v>1078</v>
      </c>
    </row>
    <row r="2280" spans="1:4" x14ac:dyDescent="0.3">
      <c r="A2280" s="2">
        <v>45379</v>
      </c>
      <c r="B2280">
        <v>2024</v>
      </c>
      <c r="C2280" t="s">
        <v>1075</v>
      </c>
      <c r="D2280" t="s">
        <v>1078</v>
      </c>
    </row>
    <row r="2281" spans="1:4" x14ac:dyDescent="0.3">
      <c r="A2281" s="2">
        <v>45380</v>
      </c>
      <c r="B2281">
        <v>2024</v>
      </c>
      <c r="C2281" t="s">
        <v>1075</v>
      </c>
      <c r="D2281" t="s">
        <v>1078</v>
      </c>
    </row>
    <row r="2282" spans="1:4" x14ac:dyDescent="0.3">
      <c r="A2282" s="2">
        <v>45381</v>
      </c>
      <c r="B2282">
        <v>2024</v>
      </c>
      <c r="C2282" t="s">
        <v>1075</v>
      </c>
      <c r="D2282" t="s">
        <v>1078</v>
      </c>
    </row>
    <row r="2283" spans="1:4" x14ac:dyDescent="0.3">
      <c r="A2283" s="2">
        <v>45382</v>
      </c>
      <c r="B2283">
        <v>2024</v>
      </c>
      <c r="C2283" t="s">
        <v>1075</v>
      </c>
      <c r="D2283" t="s">
        <v>1078</v>
      </c>
    </row>
    <row r="2284" spans="1:4" x14ac:dyDescent="0.3">
      <c r="A2284" s="2">
        <v>45383</v>
      </c>
      <c r="B2284">
        <v>2024</v>
      </c>
      <c r="C2284" t="s">
        <v>1079</v>
      </c>
      <c r="D2284" t="s">
        <v>1080</v>
      </c>
    </row>
    <row r="2285" spans="1:4" x14ac:dyDescent="0.3">
      <c r="A2285" s="2">
        <v>45384</v>
      </c>
      <c r="B2285">
        <v>2024</v>
      </c>
      <c r="C2285" t="s">
        <v>1079</v>
      </c>
      <c r="D2285" t="s">
        <v>1080</v>
      </c>
    </row>
    <row r="2286" spans="1:4" x14ac:dyDescent="0.3">
      <c r="A2286" s="2">
        <v>45385</v>
      </c>
      <c r="B2286">
        <v>2024</v>
      </c>
      <c r="C2286" t="s">
        <v>1079</v>
      </c>
      <c r="D2286" t="s">
        <v>1080</v>
      </c>
    </row>
    <row r="2287" spans="1:4" x14ac:dyDescent="0.3">
      <c r="A2287" s="2">
        <v>45386</v>
      </c>
      <c r="B2287">
        <v>2024</v>
      </c>
      <c r="C2287" t="s">
        <v>1079</v>
      </c>
      <c r="D2287" t="s">
        <v>1080</v>
      </c>
    </row>
    <row r="2288" spans="1:4" x14ac:dyDescent="0.3">
      <c r="A2288" s="2">
        <v>45387</v>
      </c>
      <c r="B2288">
        <v>2024</v>
      </c>
      <c r="C2288" t="s">
        <v>1079</v>
      </c>
      <c r="D2288" t="s">
        <v>1080</v>
      </c>
    </row>
    <row r="2289" spans="1:4" x14ac:dyDescent="0.3">
      <c r="A2289" s="2">
        <v>45388</v>
      </c>
      <c r="B2289">
        <v>2024</v>
      </c>
      <c r="C2289" t="s">
        <v>1079</v>
      </c>
      <c r="D2289" t="s">
        <v>1080</v>
      </c>
    </row>
    <row r="2290" spans="1:4" x14ac:dyDescent="0.3">
      <c r="A2290" s="2">
        <v>45389</v>
      </c>
      <c r="B2290">
        <v>2024</v>
      </c>
      <c r="C2290" t="s">
        <v>1079</v>
      </c>
      <c r="D2290" t="s">
        <v>1080</v>
      </c>
    </row>
    <row r="2291" spans="1:4" x14ac:dyDescent="0.3">
      <c r="A2291" s="2">
        <v>45390</v>
      </c>
      <c r="B2291">
        <v>2024</v>
      </c>
      <c r="C2291" t="s">
        <v>1079</v>
      </c>
      <c r="D2291" t="s">
        <v>1080</v>
      </c>
    </row>
    <row r="2292" spans="1:4" x14ac:dyDescent="0.3">
      <c r="A2292" s="2">
        <v>45391</v>
      </c>
      <c r="B2292">
        <v>2024</v>
      </c>
      <c r="C2292" t="s">
        <v>1079</v>
      </c>
      <c r="D2292" t="s">
        <v>1080</v>
      </c>
    </row>
    <row r="2293" spans="1:4" x14ac:dyDescent="0.3">
      <c r="A2293" s="2">
        <v>45392</v>
      </c>
      <c r="B2293">
        <v>2024</v>
      </c>
      <c r="C2293" t="s">
        <v>1079</v>
      </c>
      <c r="D2293" t="s">
        <v>1080</v>
      </c>
    </row>
    <row r="2294" spans="1:4" x14ac:dyDescent="0.3">
      <c r="A2294" s="2">
        <v>45393</v>
      </c>
      <c r="B2294">
        <v>2024</v>
      </c>
      <c r="C2294" t="s">
        <v>1079</v>
      </c>
      <c r="D2294" t="s">
        <v>1080</v>
      </c>
    </row>
    <row r="2295" spans="1:4" x14ac:dyDescent="0.3">
      <c r="A2295" s="2">
        <v>45394</v>
      </c>
      <c r="B2295">
        <v>2024</v>
      </c>
      <c r="C2295" t="s">
        <v>1079</v>
      </c>
      <c r="D2295" t="s">
        <v>1080</v>
      </c>
    </row>
    <row r="2296" spans="1:4" x14ac:dyDescent="0.3">
      <c r="A2296" s="2">
        <v>45395</v>
      </c>
      <c r="B2296">
        <v>2024</v>
      </c>
      <c r="C2296" t="s">
        <v>1079</v>
      </c>
      <c r="D2296" t="s">
        <v>1080</v>
      </c>
    </row>
    <row r="2297" spans="1:4" x14ac:dyDescent="0.3">
      <c r="A2297" s="2">
        <v>45396</v>
      </c>
      <c r="B2297">
        <v>2024</v>
      </c>
      <c r="C2297" t="s">
        <v>1079</v>
      </c>
      <c r="D2297" t="s">
        <v>1080</v>
      </c>
    </row>
    <row r="2298" spans="1:4" x14ac:dyDescent="0.3">
      <c r="A2298" s="2">
        <v>45397</v>
      </c>
      <c r="B2298">
        <v>2024</v>
      </c>
      <c r="C2298" t="s">
        <v>1079</v>
      </c>
      <c r="D2298" t="s">
        <v>1080</v>
      </c>
    </row>
    <row r="2299" spans="1:4" x14ac:dyDescent="0.3">
      <c r="A2299" s="2">
        <v>45398</v>
      </c>
      <c r="B2299">
        <v>2024</v>
      </c>
      <c r="C2299" t="s">
        <v>1079</v>
      </c>
      <c r="D2299" t="s">
        <v>1080</v>
      </c>
    </row>
    <row r="2300" spans="1:4" x14ac:dyDescent="0.3">
      <c r="A2300" s="2">
        <v>45399</v>
      </c>
      <c r="B2300">
        <v>2024</v>
      </c>
      <c r="C2300" t="s">
        <v>1079</v>
      </c>
      <c r="D2300" t="s">
        <v>1080</v>
      </c>
    </row>
    <row r="2301" spans="1:4" x14ac:dyDescent="0.3">
      <c r="A2301" s="2">
        <v>45400</v>
      </c>
      <c r="B2301">
        <v>2024</v>
      </c>
      <c r="C2301" t="s">
        <v>1079</v>
      </c>
      <c r="D2301" t="s">
        <v>1080</v>
      </c>
    </row>
    <row r="2302" spans="1:4" x14ac:dyDescent="0.3">
      <c r="A2302" s="2">
        <v>45401</v>
      </c>
      <c r="B2302">
        <v>2024</v>
      </c>
      <c r="C2302" t="s">
        <v>1079</v>
      </c>
      <c r="D2302" t="s">
        <v>1080</v>
      </c>
    </row>
    <row r="2303" spans="1:4" x14ac:dyDescent="0.3">
      <c r="A2303" s="2">
        <v>45402</v>
      </c>
      <c r="B2303">
        <v>2024</v>
      </c>
      <c r="C2303" t="s">
        <v>1079</v>
      </c>
      <c r="D2303" t="s">
        <v>1080</v>
      </c>
    </row>
    <row r="2304" spans="1:4" x14ac:dyDescent="0.3">
      <c r="A2304" s="2">
        <v>45403</v>
      </c>
      <c r="B2304">
        <v>2024</v>
      </c>
      <c r="C2304" t="s">
        <v>1079</v>
      </c>
      <c r="D2304" t="s">
        <v>1080</v>
      </c>
    </row>
    <row r="2305" spans="1:4" x14ac:dyDescent="0.3">
      <c r="A2305" s="2">
        <v>45404</v>
      </c>
      <c r="B2305">
        <v>2024</v>
      </c>
      <c r="C2305" t="s">
        <v>1079</v>
      </c>
      <c r="D2305" t="s">
        <v>1080</v>
      </c>
    </row>
    <row r="2306" spans="1:4" x14ac:dyDescent="0.3">
      <c r="A2306" s="2">
        <v>45405</v>
      </c>
      <c r="B2306">
        <v>2024</v>
      </c>
      <c r="C2306" t="s">
        <v>1079</v>
      </c>
      <c r="D2306" t="s">
        <v>1080</v>
      </c>
    </row>
    <row r="2307" spans="1:4" x14ac:dyDescent="0.3">
      <c r="A2307" s="2">
        <v>45406</v>
      </c>
      <c r="B2307">
        <v>2024</v>
      </c>
      <c r="C2307" t="s">
        <v>1079</v>
      </c>
      <c r="D2307" t="s">
        <v>1080</v>
      </c>
    </row>
    <row r="2308" spans="1:4" x14ac:dyDescent="0.3">
      <c r="A2308" s="2">
        <v>45407</v>
      </c>
      <c r="B2308">
        <v>2024</v>
      </c>
      <c r="C2308" t="s">
        <v>1079</v>
      </c>
      <c r="D2308" t="s">
        <v>1080</v>
      </c>
    </row>
    <row r="2309" spans="1:4" x14ac:dyDescent="0.3">
      <c r="A2309" s="2">
        <v>45408</v>
      </c>
      <c r="B2309">
        <v>2024</v>
      </c>
      <c r="C2309" t="s">
        <v>1079</v>
      </c>
      <c r="D2309" t="s">
        <v>1080</v>
      </c>
    </row>
    <row r="2310" spans="1:4" x14ac:dyDescent="0.3">
      <c r="A2310" s="2">
        <v>45409</v>
      </c>
      <c r="B2310">
        <v>2024</v>
      </c>
      <c r="C2310" t="s">
        <v>1079</v>
      </c>
      <c r="D2310" t="s">
        <v>1080</v>
      </c>
    </row>
    <row r="2311" spans="1:4" x14ac:dyDescent="0.3">
      <c r="A2311" s="2">
        <v>45410</v>
      </c>
      <c r="B2311">
        <v>2024</v>
      </c>
      <c r="C2311" t="s">
        <v>1079</v>
      </c>
      <c r="D2311" t="s">
        <v>1080</v>
      </c>
    </row>
    <row r="2312" spans="1:4" x14ac:dyDescent="0.3">
      <c r="A2312" s="2">
        <v>45411</v>
      </c>
      <c r="B2312">
        <v>2024</v>
      </c>
      <c r="C2312" t="s">
        <v>1079</v>
      </c>
      <c r="D2312" t="s">
        <v>1080</v>
      </c>
    </row>
    <row r="2313" spans="1:4" x14ac:dyDescent="0.3">
      <c r="A2313" s="2">
        <v>45412</v>
      </c>
      <c r="B2313">
        <v>2024</v>
      </c>
      <c r="C2313" t="s">
        <v>1079</v>
      </c>
      <c r="D2313" t="s">
        <v>1080</v>
      </c>
    </row>
    <row r="2314" spans="1:4" x14ac:dyDescent="0.3">
      <c r="A2314" s="2">
        <v>45413</v>
      </c>
      <c r="B2314">
        <v>2024</v>
      </c>
      <c r="C2314" t="s">
        <v>1079</v>
      </c>
      <c r="D2314" t="s">
        <v>1081</v>
      </c>
    </row>
    <row r="2315" spans="1:4" x14ac:dyDescent="0.3">
      <c r="A2315" s="2">
        <v>45414</v>
      </c>
      <c r="B2315">
        <v>2024</v>
      </c>
      <c r="C2315" t="s">
        <v>1079</v>
      </c>
      <c r="D2315" t="s">
        <v>1081</v>
      </c>
    </row>
    <row r="2316" spans="1:4" x14ac:dyDescent="0.3">
      <c r="A2316" s="2">
        <v>45415</v>
      </c>
      <c r="B2316">
        <v>2024</v>
      </c>
      <c r="C2316" t="s">
        <v>1079</v>
      </c>
      <c r="D2316" t="s">
        <v>1081</v>
      </c>
    </row>
    <row r="2317" spans="1:4" x14ac:dyDescent="0.3">
      <c r="A2317" s="2">
        <v>45416</v>
      </c>
      <c r="B2317">
        <v>2024</v>
      </c>
      <c r="C2317" t="s">
        <v>1079</v>
      </c>
      <c r="D2317" t="s">
        <v>1081</v>
      </c>
    </row>
    <row r="2318" spans="1:4" x14ac:dyDescent="0.3">
      <c r="A2318" s="2">
        <v>45417</v>
      </c>
      <c r="B2318">
        <v>2024</v>
      </c>
      <c r="C2318" t="s">
        <v>1079</v>
      </c>
      <c r="D2318" t="s">
        <v>1081</v>
      </c>
    </row>
    <row r="2319" spans="1:4" x14ac:dyDescent="0.3">
      <c r="A2319" s="2">
        <v>45418</v>
      </c>
      <c r="B2319">
        <v>2024</v>
      </c>
      <c r="C2319" t="s">
        <v>1079</v>
      </c>
      <c r="D2319" t="s">
        <v>1081</v>
      </c>
    </row>
    <row r="2320" spans="1:4" x14ac:dyDescent="0.3">
      <c r="A2320" s="2">
        <v>45419</v>
      </c>
      <c r="B2320">
        <v>2024</v>
      </c>
      <c r="C2320" t="s">
        <v>1079</v>
      </c>
      <c r="D2320" t="s">
        <v>1081</v>
      </c>
    </row>
    <row r="2321" spans="1:4" x14ac:dyDescent="0.3">
      <c r="A2321" s="2">
        <v>45420</v>
      </c>
      <c r="B2321">
        <v>2024</v>
      </c>
      <c r="C2321" t="s">
        <v>1079</v>
      </c>
      <c r="D2321" t="s">
        <v>1081</v>
      </c>
    </row>
    <row r="2322" spans="1:4" x14ac:dyDescent="0.3">
      <c r="A2322" s="2">
        <v>45421</v>
      </c>
      <c r="B2322">
        <v>2024</v>
      </c>
      <c r="C2322" t="s">
        <v>1079</v>
      </c>
      <c r="D2322" t="s">
        <v>1081</v>
      </c>
    </row>
    <row r="2323" spans="1:4" x14ac:dyDescent="0.3">
      <c r="A2323" s="2">
        <v>45422</v>
      </c>
      <c r="B2323">
        <v>2024</v>
      </c>
      <c r="C2323" t="s">
        <v>1079</v>
      </c>
      <c r="D2323" t="s">
        <v>1081</v>
      </c>
    </row>
    <row r="2324" spans="1:4" x14ac:dyDescent="0.3">
      <c r="A2324" s="2">
        <v>45423</v>
      </c>
      <c r="B2324">
        <v>2024</v>
      </c>
      <c r="C2324" t="s">
        <v>1079</v>
      </c>
      <c r="D2324" t="s">
        <v>1081</v>
      </c>
    </row>
    <row r="2325" spans="1:4" x14ac:dyDescent="0.3">
      <c r="A2325" s="2">
        <v>45424</v>
      </c>
      <c r="B2325">
        <v>2024</v>
      </c>
      <c r="C2325" t="s">
        <v>1079</v>
      </c>
      <c r="D2325" t="s">
        <v>1081</v>
      </c>
    </row>
    <row r="2326" spans="1:4" x14ac:dyDescent="0.3">
      <c r="A2326" s="2">
        <v>45425</v>
      </c>
      <c r="B2326">
        <v>2024</v>
      </c>
      <c r="C2326" t="s">
        <v>1079</v>
      </c>
      <c r="D2326" t="s">
        <v>1081</v>
      </c>
    </row>
    <row r="2327" spans="1:4" x14ac:dyDescent="0.3">
      <c r="A2327" s="2">
        <v>45426</v>
      </c>
      <c r="B2327">
        <v>2024</v>
      </c>
      <c r="C2327" t="s">
        <v>1079</v>
      </c>
      <c r="D2327" t="s">
        <v>1081</v>
      </c>
    </row>
    <row r="2328" spans="1:4" x14ac:dyDescent="0.3">
      <c r="A2328" s="2">
        <v>45427</v>
      </c>
      <c r="B2328">
        <v>2024</v>
      </c>
      <c r="C2328" t="s">
        <v>1079</v>
      </c>
      <c r="D2328" t="s">
        <v>1081</v>
      </c>
    </row>
    <row r="2329" spans="1:4" x14ac:dyDescent="0.3">
      <c r="A2329" s="2">
        <v>45428</v>
      </c>
      <c r="B2329">
        <v>2024</v>
      </c>
      <c r="C2329" t="s">
        <v>1079</v>
      </c>
      <c r="D2329" t="s">
        <v>1081</v>
      </c>
    </row>
    <row r="2330" spans="1:4" x14ac:dyDescent="0.3">
      <c r="A2330" s="2">
        <v>45429</v>
      </c>
      <c r="B2330">
        <v>2024</v>
      </c>
      <c r="C2330" t="s">
        <v>1079</v>
      </c>
      <c r="D2330" t="s">
        <v>1081</v>
      </c>
    </row>
    <row r="2331" spans="1:4" x14ac:dyDescent="0.3">
      <c r="A2331" s="2">
        <v>45430</v>
      </c>
      <c r="B2331">
        <v>2024</v>
      </c>
      <c r="C2331" t="s">
        <v>1079</v>
      </c>
      <c r="D2331" t="s">
        <v>1081</v>
      </c>
    </row>
    <row r="2332" spans="1:4" x14ac:dyDescent="0.3">
      <c r="A2332" s="2">
        <v>45431</v>
      </c>
      <c r="B2332">
        <v>2024</v>
      </c>
      <c r="C2332" t="s">
        <v>1079</v>
      </c>
      <c r="D2332" t="s">
        <v>1081</v>
      </c>
    </row>
    <row r="2333" spans="1:4" x14ac:dyDescent="0.3">
      <c r="A2333" s="2">
        <v>45432</v>
      </c>
      <c r="B2333">
        <v>2024</v>
      </c>
      <c r="C2333" t="s">
        <v>1079</v>
      </c>
      <c r="D2333" t="s">
        <v>1081</v>
      </c>
    </row>
    <row r="2334" spans="1:4" x14ac:dyDescent="0.3">
      <c r="A2334" s="2">
        <v>45433</v>
      </c>
      <c r="B2334">
        <v>2024</v>
      </c>
      <c r="C2334" t="s">
        <v>1079</v>
      </c>
      <c r="D2334" t="s">
        <v>1081</v>
      </c>
    </row>
    <row r="2335" spans="1:4" x14ac:dyDescent="0.3">
      <c r="A2335" s="2">
        <v>45434</v>
      </c>
      <c r="B2335">
        <v>2024</v>
      </c>
      <c r="C2335" t="s">
        <v>1079</v>
      </c>
      <c r="D2335" t="s">
        <v>1081</v>
      </c>
    </row>
    <row r="2336" spans="1:4" x14ac:dyDescent="0.3">
      <c r="A2336" s="2">
        <v>45435</v>
      </c>
      <c r="B2336">
        <v>2024</v>
      </c>
      <c r="C2336" t="s">
        <v>1079</v>
      </c>
      <c r="D2336" t="s">
        <v>1081</v>
      </c>
    </row>
    <row r="2337" spans="1:4" x14ac:dyDescent="0.3">
      <c r="A2337" s="2">
        <v>45436</v>
      </c>
      <c r="B2337">
        <v>2024</v>
      </c>
      <c r="C2337" t="s">
        <v>1079</v>
      </c>
      <c r="D2337" t="s">
        <v>1081</v>
      </c>
    </row>
    <row r="2338" spans="1:4" x14ac:dyDescent="0.3">
      <c r="A2338" s="2">
        <v>45437</v>
      </c>
      <c r="B2338">
        <v>2024</v>
      </c>
      <c r="C2338" t="s">
        <v>1079</v>
      </c>
      <c r="D2338" t="s">
        <v>1081</v>
      </c>
    </row>
    <row r="2339" spans="1:4" x14ac:dyDescent="0.3">
      <c r="A2339" s="2">
        <v>45438</v>
      </c>
      <c r="B2339">
        <v>2024</v>
      </c>
      <c r="C2339" t="s">
        <v>1079</v>
      </c>
      <c r="D2339" t="s">
        <v>1081</v>
      </c>
    </row>
    <row r="2340" spans="1:4" x14ac:dyDescent="0.3">
      <c r="A2340" s="2">
        <v>45439</v>
      </c>
      <c r="B2340">
        <v>2024</v>
      </c>
      <c r="C2340" t="s">
        <v>1079</v>
      </c>
      <c r="D2340" t="s">
        <v>1081</v>
      </c>
    </row>
    <row r="2341" spans="1:4" x14ac:dyDescent="0.3">
      <c r="A2341" s="2">
        <v>45440</v>
      </c>
      <c r="B2341">
        <v>2024</v>
      </c>
      <c r="C2341" t="s">
        <v>1079</v>
      </c>
      <c r="D2341" t="s">
        <v>1081</v>
      </c>
    </row>
    <row r="2342" spans="1:4" x14ac:dyDescent="0.3">
      <c r="A2342" s="2">
        <v>45441</v>
      </c>
      <c r="B2342">
        <v>2024</v>
      </c>
      <c r="C2342" t="s">
        <v>1079</v>
      </c>
      <c r="D2342" t="s">
        <v>1081</v>
      </c>
    </row>
    <row r="2343" spans="1:4" x14ac:dyDescent="0.3">
      <c r="A2343" s="2">
        <v>45442</v>
      </c>
      <c r="B2343">
        <v>2024</v>
      </c>
      <c r="C2343" t="s">
        <v>1079</v>
      </c>
      <c r="D2343" t="s">
        <v>1081</v>
      </c>
    </row>
    <row r="2344" spans="1:4" x14ac:dyDescent="0.3">
      <c r="A2344" s="2">
        <v>45443</v>
      </c>
      <c r="B2344">
        <v>2024</v>
      </c>
      <c r="C2344" t="s">
        <v>1079</v>
      </c>
      <c r="D2344" t="s">
        <v>1081</v>
      </c>
    </row>
    <row r="2345" spans="1:4" x14ac:dyDescent="0.3">
      <c r="A2345" s="2">
        <v>45444</v>
      </c>
      <c r="B2345">
        <v>2024</v>
      </c>
      <c r="C2345" t="s">
        <v>1079</v>
      </c>
      <c r="D2345" t="s">
        <v>1082</v>
      </c>
    </row>
    <row r="2346" spans="1:4" x14ac:dyDescent="0.3">
      <c r="A2346" s="2">
        <v>45445</v>
      </c>
      <c r="B2346">
        <v>2024</v>
      </c>
      <c r="C2346" t="s">
        <v>1079</v>
      </c>
      <c r="D2346" t="s">
        <v>1082</v>
      </c>
    </row>
    <row r="2347" spans="1:4" x14ac:dyDescent="0.3">
      <c r="A2347" s="2">
        <v>45446</v>
      </c>
      <c r="B2347">
        <v>2024</v>
      </c>
      <c r="C2347" t="s">
        <v>1079</v>
      </c>
      <c r="D2347" t="s">
        <v>1082</v>
      </c>
    </row>
    <row r="2348" spans="1:4" x14ac:dyDescent="0.3">
      <c r="A2348" s="2">
        <v>45447</v>
      </c>
      <c r="B2348">
        <v>2024</v>
      </c>
      <c r="C2348" t="s">
        <v>1079</v>
      </c>
      <c r="D2348" t="s">
        <v>1082</v>
      </c>
    </row>
    <row r="2349" spans="1:4" x14ac:dyDescent="0.3">
      <c r="A2349" s="2">
        <v>45448</v>
      </c>
      <c r="B2349">
        <v>2024</v>
      </c>
      <c r="C2349" t="s">
        <v>1079</v>
      </c>
      <c r="D2349" t="s">
        <v>1082</v>
      </c>
    </row>
    <row r="2350" spans="1:4" x14ac:dyDescent="0.3">
      <c r="A2350" s="2">
        <v>45449</v>
      </c>
      <c r="B2350">
        <v>2024</v>
      </c>
      <c r="C2350" t="s">
        <v>1079</v>
      </c>
      <c r="D2350" t="s">
        <v>1082</v>
      </c>
    </row>
    <row r="2351" spans="1:4" x14ac:dyDescent="0.3">
      <c r="A2351" s="2">
        <v>45450</v>
      </c>
      <c r="B2351">
        <v>2024</v>
      </c>
      <c r="C2351" t="s">
        <v>1079</v>
      </c>
      <c r="D2351" t="s">
        <v>1082</v>
      </c>
    </row>
    <row r="2352" spans="1:4" x14ac:dyDescent="0.3">
      <c r="A2352" s="2">
        <v>45451</v>
      </c>
      <c r="B2352">
        <v>2024</v>
      </c>
      <c r="C2352" t="s">
        <v>1079</v>
      </c>
      <c r="D2352" t="s">
        <v>1082</v>
      </c>
    </row>
    <row r="2353" spans="1:4" x14ac:dyDescent="0.3">
      <c r="A2353" s="2">
        <v>45452</v>
      </c>
      <c r="B2353">
        <v>2024</v>
      </c>
      <c r="C2353" t="s">
        <v>1079</v>
      </c>
      <c r="D2353" t="s">
        <v>1082</v>
      </c>
    </row>
    <row r="2354" spans="1:4" x14ac:dyDescent="0.3">
      <c r="A2354" s="2">
        <v>45453</v>
      </c>
      <c r="B2354">
        <v>2024</v>
      </c>
      <c r="C2354" t="s">
        <v>1079</v>
      </c>
      <c r="D2354" t="s">
        <v>1082</v>
      </c>
    </row>
    <row r="2355" spans="1:4" x14ac:dyDescent="0.3">
      <c r="A2355" s="2">
        <v>45454</v>
      </c>
      <c r="B2355">
        <v>2024</v>
      </c>
      <c r="C2355" t="s">
        <v>1079</v>
      </c>
      <c r="D2355" t="s">
        <v>1082</v>
      </c>
    </row>
    <row r="2356" spans="1:4" x14ac:dyDescent="0.3">
      <c r="A2356" s="2">
        <v>45455</v>
      </c>
      <c r="B2356">
        <v>2024</v>
      </c>
      <c r="C2356" t="s">
        <v>1079</v>
      </c>
      <c r="D2356" t="s">
        <v>1082</v>
      </c>
    </row>
    <row r="2357" spans="1:4" x14ac:dyDescent="0.3">
      <c r="A2357" s="2">
        <v>45456</v>
      </c>
      <c r="B2357">
        <v>2024</v>
      </c>
      <c r="C2357" t="s">
        <v>1079</v>
      </c>
      <c r="D2357" t="s">
        <v>1082</v>
      </c>
    </row>
    <row r="2358" spans="1:4" x14ac:dyDescent="0.3">
      <c r="A2358" s="2">
        <v>45457</v>
      </c>
      <c r="B2358">
        <v>2024</v>
      </c>
      <c r="C2358" t="s">
        <v>1079</v>
      </c>
      <c r="D2358" t="s">
        <v>1082</v>
      </c>
    </row>
    <row r="2359" spans="1:4" x14ac:dyDescent="0.3">
      <c r="A2359" s="2">
        <v>45458</v>
      </c>
      <c r="B2359">
        <v>2024</v>
      </c>
      <c r="C2359" t="s">
        <v>1079</v>
      </c>
      <c r="D2359" t="s">
        <v>1082</v>
      </c>
    </row>
    <row r="2360" spans="1:4" x14ac:dyDescent="0.3">
      <c r="A2360" s="2">
        <v>45459</v>
      </c>
      <c r="B2360">
        <v>2024</v>
      </c>
      <c r="C2360" t="s">
        <v>1079</v>
      </c>
      <c r="D2360" t="s">
        <v>1082</v>
      </c>
    </row>
    <row r="2361" spans="1:4" x14ac:dyDescent="0.3">
      <c r="A2361" s="2">
        <v>45460</v>
      </c>
      <c r="B2361">
        <v>2024</v>
      </c>
      <c r="C2361" t="s">
        <v>1079</v>
      </c>
      <c r="D2361" t="s">
        <v>1082</v>
      </c>
    </row>
    <row r="2362" spans="1:4" x14ac:dyDescent="0.3">
      <c r="A2362" s="2">
        <v>45461</v>
      </c>
      <c r="B2362">
        <v>2024</v>
      </c>
      <c r="C2362" t="s">
        <v>1079</v>
      </c>
      <c r="D2362" t="s">
        <v>1082</v>
      </c>
    </row>
    <row r="2363" spans="1:4" x14ac:dyDescent="0.3">
      <c r="A2363" s="2">
        <v>45462</v>
      </c>
      <c r="B2363">
        <v>2024</v>
      </c>
      <c r="C2363" t="s">
        <v>1079</v>
      </c>
      <c r="D2363" t="s">
        <v>1082</v>
      </c>
    </row>
    <row r="2364" spans="1:4" x14ac:dyDescent="0.3">
      <c r="A2364" s="2">
        <v>45463</v>
      </c>
      <c r="B2364">
        <v>2024</v>
      </c>
      <c r="C2364" t="s">
        <v>1079</v>
      </c>
      <c r="D2364" t="s">
        <v>1082</v>
      </c>
    </row>
    <row r="2365" spans="1:4" x14ac:dyDescent="0.3">
      <c r="A2365" s="2">
        <v>45464</v>
      </c>
      <c r="B2365">
        <v>2024</v>
      </c>
      <c r="C2365" t="s">
        <v>1079</v>
      </c>
      <c r="D2365" t="s">
        <v>1082</v>
      </c>
    </row>
    <row r="2366" spans="1:4" x14ac:dyDescent="0.3">
      <c r="A2366" s="2">
        <v>45465</v>
      </c>
      <c r="B2366">
        <v>2024</v>
      </c>
      <c r="C2366" t="s">
        <v>1079</v>
      </c>
      <c r="D2366" t="s">
        <v>1082</v>
      </c>
    </row>
    <row r="2367" spans="1:4" x14ac:dyDescent="0.3">
      <c r="A2367" s="2">
        <v>45466</v>
      </c>
      <c r="B2367">
        <v>2024</v>
      </c>
      <c r="C2367" t="s">
        <v>1079</v>
      </c>
      <c r="D2367" t="s">
        <v>1082</v>
      </c>
    </row>
    <row r="2368" spans="1:4" x14ac:dyDescent="0.3">
      <c r="A2368" s="2">
        <v>45467</v>
      </c>
      <c r="B2368">
        <v>2024</v>
      </c>
      <c r="C2368" t="s">
        <v>1079</v>
      </c>
      <c r="D2368" t="s">
        <v>1082</v>
      </c>
    </row>
    <row r="2369" spans="1:4" x14ac:dyDescent="0.3">
      <c r="A2369" s="2">
        <v>45468</v>
      </c>
      <c r="B2369">
        <v>2024</v>
      </c>
      <c r="C2369" t="s">
        <v>1079</v>
      </c>
      <c r="D2369" t="s">
        <v>1082</v>
      </c>
    </row>
    <row r="2370" spans="1:4" x14ac:dyDescent="0.3">
      <c r="A2370" s="2">
        <v>45469</v>
      </c>
      <c r="B2370">
        <v>2024</v>
      </c>
      <c r="C2370" t="s">
        <v>1079</v>
      </c>
      <c r="D2370" t="s">
        <v>1082</v>
      </c>
    </row>
    <row r="2371" spans="1:4" x14ac:dyDescent="0.3">
      <c r="A2371" s="2">
        <v>45470</v>
      </c>
      <c r="B2371">
        <v>2024</v>
      </c>
      <c r="C2371" t="s">
        <v>1079</v>
      </c>
      <c r="D2371" t="s">
        <v>1082</v>
      </c>
    </row>
    <row r="2372" spans="1:4" x14ac:dyDescent="0.3">
      <c r="A2372" s="2">
        <v>45471</v>
      </c>
      <c r="B2372">
        <v>2024</v>
      </c>
      <c r="C2372" t="s">
        <v>1079</v>
      </c>
      <c r="D2372" t="s">
        <v>1082</v>
      </c>
    </row>
    <row r="2373" spans="1:4" x14ac:dyDescent="0.3">
      <c r="A2373" s="2">
        <v>45472</v>
      </c>
      <c r="B2373">
        <v>2024</v>
      </c>
      <c r="C2373" t="s">
        <v>1079</v>
      </c>
      <c r="D2373" t="s">
        <v>1082</v>
      </c>
    </row>
    <row r="2374" spans="1:4" x14ac:dyDescent="0.3">
      <c r="A2374" s="2">
        <v>45473</v>
      </c>
      <c r="B2374">
        <v>2024</v>
      </c>
      <c r="C2374" t="s">
        <v>1079</v>
      </c>
      <c r="D2374" t="s">
        <v>1082</v>
      </c>
    </row>
    <row r="2375" spans="1:4" x14ac:dyDescent="0.3">
      <c r="A2375" s="2">
        <v>45474</v>
      </c>
      <c r="B2375">
        <v>2024</v>
      </c>
      <c r="C2375" t="s">
        <v>1083</v>
      </c>
      <c r="D2375" t="s">
        <v>1084</v>
      </c>
    </row>
    <row r="2376" spans="1:4" x14ac:dyDescent="0.3">
      <c r="A2376" s="2">
        <v>45475</v>
      </c>
      <c r="B2376">
        <v>2024</v>
      </c>
      <c r="C2376" t="s">
        <v>1083</v>
      </c>
      <c r="D2376" t="s">
        <v>1084</v>
      </c>
    </row>
    <row r="2377" spans="1:4" x14ac:dyDescent="0.3">
      <c r="A2377" s="2">
        <v>45476</v>
      </c>
      <c r="B2377">
        <v>2024</v>
      </c>
      <c r="C2377" t="s">
        <v>1083</v>
      </c>
      <c r="D2377" t="s">
        <v>1084</v>
      </c>
    </row>
    <row r="2378" spans="1:4" x14ac:dyDescent="0.3">
      <c r="A2378" s="2">
        <v>45477</v>
      </c>
      <c r="B2378">
        <v>2024</v>
      </c>
      <c r="C2378" t="s">
        <v>1083</v>
      </c>
      <c r="D2378" t="s">
        <v>1084</v>
      </c>
    </row>
    <row r="2379" spans="1:4" x14ac:dyDescent="0.3">
      <c r="A2379" s="2">
        <v>45478</v>
      </c>
      <c r="B2379">
        <v>2024</v>
      </c>
      <c r="C2379" t="s">
        <v>1083</v>
      </c>
      <c r="D2379" t="s">
        <v>1084</v>
      </c>
    </row>
    <row r="2380" spans="1:4" x14ac:dyDescent="0.3">
      <c r="A2380" s="2">
        <v>45479</v>
      </c>
      <c r="B2380">
        <v>2024</v>
      </c>
      <c r="C2380" t="s">
        <v>1083</v>
      </c>
      <c r="D2380" t="s">
        <v>1084</v>
      </c>
    </row>
    <row r="2381" spans="1:4" x14ac:dyDescent="0.3">
      <c r="A2381" s="2">
        <v>45480</v>
      </c>
      <c r="B2381">
        <v>2024</v>
      </c>
      <c r="C2381" t="s">
        <v>1083</v>
      </c>
      <c r="D2381" t="s">
        <v>1084</v>
      </c>
    </row>
    <row r="2382" spans="1:4" x14ac:dyDescent="0.3">
      <c r="A2382" s="2">
        <v>45481</v>
      </c>
      <c r="B2382">
        <v>2024</v>
      </c>
      <c r="C2382" t="s">
        <v>1083</v>
      </c>
      <c r="D2382" t="s">
        <v>1084</v>
      </c>
    </row>
    <row r="2383" spans="1:4" x14ac:dyDescent="0.3">
      <c r="A2383" s="2">
        <v>45482</v>
      </c>
      <c r="B2383">
        <v>2024</v>
      </c>
      <c r="C2383" t="s">
        <v>1083</v>
      </c>
      <c r="D2383" t="s">
        <v>1084</v>
      </c>
    </row>
    <row r="2384" spans="1:4" x14ac:dyDescent="0.3">
      <c r="A2384" s="2">
        <v>45483</v>
      </c>
      <c r="B2384">
        <v>2024</v>
      </c>
      <c r="C2384" t="s">
        <v>1083</v>
      </c>
      <c r="D2384" t="s">
        <v>1084</v>
      </c>
    </row>
    <row r="2385" spans="1:4" x14ac:dyDescent="0.3">
      <c r="A2385" s="2">
        <v>45484</v>
      </c>
      <c r="B2385">
        <v>2024</v>
      </c>
      <c r="C2385" t="s">
        <v>1083</v>
      </c>
      <c r="D2385" t="s">
        <v>1084</v>
      </c>
    </row>
    <row r="2386" spans="1:4" x14ac:dyDescent="0.3">
      <c r="A2386" s="2">
        <v>45485</v>
      </c>
      <c r="B2386">
        <v>2024</v>
      </c>
      <c r="C2386" t="s">
        <v>1083</v>
      </c>
      <c r="D2386" t="s">
        <v>1084</v>
      </c>
    </row>
    <row r="2387" spans="1:4" x14ac:dyDescent="0.3">
      <c r="A2387" s="2">
        <v>45486</v>
      </c>
      <c r="B2387">
        <v>2024</v>
      </c>
      <c r="C2387" t="s">
        <v>1083</v>
      </c>
      <c r="D2387" t="s">
        <v>1084</v>
      </c>
    </row>
    <row r="2388" spans="1:4" x14ac:dyDescent="0.3">
      <c r="A2388" s="2">
        <v>45487</v>
      </c>
      <c r="B2388">
        <v>2024</v>
      </c>
      <c r="C2388" t="s">
        <v>1083</v>
      </c>
      <c r="D2388" t="s">
        <v>1084</v>
      </c>
    </row>
    <row r="2389" spans="1:4" x14ac:dyDescent="0.3">
      <c r="A2389" s="2">
        <v>45488</v>
      </c>
      <c r="B2389">
        <v>2024</v>
      </c>
      <c r="C2389" t="s">
        <v>1083</v>
      </c>
      <c r="D2389" t="s">
        <v>1084</v>
      </c>
    </row>
    <row r="2390" spans="1:4" x14ac:dyDescent="0.3">
      <c r="A2390" s="2">
        <v>45489</v>
      </c>
      <c r="B2390">
        <v>2024</v>
      </c>
      <c r="C2390" t="s">
        <v>1083</v>
      </c>
      <c r="D2390" t="s">
        <v>1084</v>
      </c>
    </row>
    <row r="2391" spans="1:4" x14ac:dyDescent="0.3">
      <c r="A2391" s="2">
        <v>45490</v>
      </c>
      <c r="B2391">
        <v>2024</v>
      </c>
      <c r="C2391" t="s">
        <v>1083</v>
      </c>
      <c r="D2391" t="s">
        <v>1084</v>
      </c>
    </row>
    <row r="2392" spans="1:4" x14ac:dyDescent="0.3">
      <c r="A2392" s="2">
        <v>45491</v>
      </c>
      <c r="B2392">
        <v>2024</v>
      </c>
      <c r="C2392" t="s">
        <v>1083</v>
      </c>
      <c r="D2392" t="s">
        <v>1084</v>
      </c>
    </row>
    <row r="2393" spans="1:4" x14ac:dyDescent="0.3">
      <c r="A2393" s="2">
        <v>45492</v>
      </c>
      <c r="B2393">
        <v>2024</v>
      </c>
      <c r="C2393" t="s">
        <v>1083</v>
      </c>
      <c r="D2393" t="s">
        <v>1084</v>
      </c>
    </row>
    <row r="2394" spans="1:4" x14ac:dyDescent="0.3">
      <c r="A2394" s="2">
        <v>45493</v>
      </c>
      <c r="B2394">
        <v>2024</v>
      </c>
      <c r="C2394" t="s">
        <v>1083</v>
      </c>
      <c r="D2394" t="s">
        <v>1084</v>
      </c>
    </row>
    <row r="2395" spans="1:4" x14ac:dyDescent="0.3">
      <c r="A2395" s="2">
        <v>45494</v>
      </c>
      <c r="B2395">
        <v>2024</v>
      </c>
      <c r="C2395" t="s">
        <v>1083</v>
      </c>
      <c r="D2395" t="s">
        <v>1084</v>
      </c>
    </row>
    <row r="2396" spans="1:4" x14ac:dyDescent="0.3">
      <c r="A2396" s="2">
        <v>45495</v>
      </c>
      <c r="B2396">
        <v>2024</v>
      </c>
      <c r="C2396" t="s">
        <v>1083</v>
      </c>
      <c r="D2396" t="s">
        <v>1084</v>
      </c>
    </row>
    <row r="2397" spans="1:4" x14ac:dyDescent="0.3">
      <c r="A2397" s="2">
        <v>45496</v>
      </c>
      <c r="B2397">
        <v>2024</v>
      </c>
      <c r="C2397" t="s">
        <v>1083</v>
      </c>
      <c r="D2397" t="s">
        <v>1084</v>
      </c>
    </row>
    <row r="2398" spans="1:4" x14ac:dyDescent="0.3">
      <c r="A2398" s="2">
        <v>45497</v>
      </c>
      <c r="B2398">
        <v>2024</v>
      </c>
      <c r="C2398" t="s">
        <v>1083</v>
      </c>
      <c r="D2398" t="s">
        <v>1084</v>
      </c>
    </row>
    <row r="2399" spans="1:4" x14ac:dyDescent="0.3">
      <c r="A2399" s="2">
        <v>45498</v>
      </c>
      <c r="B2399">
        <v>2024</v>
      </c>
      <c r="C2399" t="s">
        <v>1083</v>
      </c>
      <c r="D2399" t="s">
        <v>1084</v>
      </c>
    </row>
    <row r="2400" spans="1:4" x14ac:dyDescent="0.3">
      <c r="A2400" s="2">
        <v>45499</v>
      </c>
      <c r="B2400">
        <v>2024</v>
      </c>
      <c r="C2400" t="s">
        <v>1083</v>
      </c>
      <c r="D2400" t="s">
        <v>1084</v>
      </c>
    </row>
    <row r="2401" spans="1:4" x14ac:dyDescent="0.3">
      <c r="A2401" s="2">
        <v>45500</v>
      </c>
      <c r="B2401">
        <v>2024</v>
      </c>
      <c r="C2401" t="s">
        <v>1083</v>
      </c>
      <c r="D2401" t="s">
        <v>1084</v>
      </c>
    </row>
    <row r="2402" spans="1:4" x14ac:dyDescent="0.3">
      <c r="A2402" s="2">
        <v>45501</v>
      </c>
      <c r="B2402">
        <v>2024</v>
      </c>
      <c r="C2402" t="s">
        <v>1083</v>
      </c>
      <c r="D2402" t="s">
        <v>1084</v>
      </c>
    </row>
    <row r="2403" spans="1:4" x14ac:dyDescent="0.3">
      <c r="A2403" s="2">
        <v>45502</v>
      </c>
      <c r="B2403">
        <v>2024</v>
      </c>
      <c r="C2403" t="s">
        <v>1083</v>
      </c>
      <c r="D2403" t="s">
        <v>1084</v>
      </c>
    </row>
    <row r="2404" spans="1:4" x14ac:dyDescent="0.3">
      <c r="A2404" s="2">
        <v>45503</v>
      </c>
      <c r="B2404">
        <v>2024</v>
      </c>
      <c r="C2404" t="s">
        <v>1083</v>
      </c>
      <c r="D2404" t="s">
        <v>1084</v>
      </c>
    </row>
    <row r="2405" spans="1:4" x14ac:dyDescent="0.3">
      <c r="A2405" s="2">
        <v>45504</v>
      </c>
      <c r="B2405">
        <v>2024</v>
      </c>
      <c r="C2405" t="s">
        <v>1083</v>
      </c>
      <c r="D2405" t="s">
        <v>1084</v>
      </c>
    </row>
    <row r="2406" spans="1:4" x14ac:dyDescent="0.3">
      <c r="A2406" s="2">
        <v>45505</v>
      </c>
      <c r="B2406">
        <v>2024</v>
      </c>
      <c r="C2406" t="s">
        <v>1083</v>
      </c>
      <c r="D2406" t="s">
        <v>1085</v>
      </c>
    </row>
    <row r="2407" spans="1:4" x14ac:dyDescent="0.3">
      <c r="A2407" s="2">
        <v>45506</v>
      </c>
      <c r="B2407">
        <v>2024</v>
      </c>
      <c r="C2407" t="s">
        <v>1083</v>
      </c>
      <c r="D2407" t="s">
        <v>1085</v>
      </c>
    </row>
    <row r="2408" spans="1:4" x14ac:dyDescent="0.3">
      <c r="A2408" s="2">
        <v>45507</v>
      </c>
      <c r="B2408">
        <v>2024</v>
      </c>
      <c r="C2408" t="s">
        <v>1083</v>
      </c>
      <c r="D2408" t="s">
        <v>1085</v>
      </c>
    </row>
    <row r="2409" spans="1:4" x14ac:dyDescent="0.3">
      <c r="A2409" s="2">
        <v>45508</v>
      </c>
      <c r="B2409">
        <v>2024</v>
      </c>
      <c r="C2409" t="s">
        <v>1083</v>
      </c>
      <c r="D2409" t="s">
        <v>1085</v>
      </c>
    </row>
    <row r="2410" spans="1:4" x14ac:dyDescent="0.3">
      <c r="A2410" s="2">
        <v>45509</v>
      </c>
      <c r="B2410">
        <v>2024</v>
      </c>
      <c r="C2410" t="s">
        <v>1083</v>
      </c>
      <c r="D2410" t="s">
        <v>1085</v>
      </c>
    </row>
    <row r="2411" spans="1:4" x14ac:dyDescent="0.3">
      <c r="A2411" s="2">
        <v>45510</v>
      </c>
      <c r="B2411">
        <v>2024</v>
      </c>
      <c r="C2411" t="s">
        <v>1083</v>
      </c>
      <c r="D2411" t="s">
        <v>1085</v>
      </c>
    </row>
    <row r="2412" spans="1:4" x14ac:dyDescent="0.3">
      <c r="A2412" s="2">
        <v>45511</v>
      </c>
      <c r="B2412">
        <v>2024</v>
      </c>
      <c r="C2412" t="s">
        <v>1083</v>
      </c>
      <c r="D2412" t="s">
        <v>1085</v>
      </c>
    </row>
    <row r="2413" spans="1:4" x14ac:dyDescent="0.3">
      <c r="A2413" s="2">
        <v>45512</v>
      </c>
      <c r="B2413">
        <v>2024</v>
      </c>
      <c r="C2413" t="s">
        <v>1083</v>
      </c>
      <c r="D2413" t="s">
        <v>1085</v>
      </c>
    </row>
    <row r="2414" spans="1:4" x14ac:dyDescent="0.3">
      <c r="A2414" s="2">
        <v>45513</v>
      </c>
      <c r="B2414">
        <v>2024</v>
      </c>
      <c r="C2414" t="s">
        <v>1083</v>
      </c>
      <c r="D2414" t="s">
        <v>1085</v>
      </c>
    </row>
    <row r="2415" spans="1:4" x14ac:dyDescent="0.3">
      <c r="A2415" s="2">
        <v>45514</v>
      </c>
      <c r="B2415">
        <v>2024</v>
      </c>
      <c r="C2415" t="s">
        <v>1083</v>
      </c>
      <c r="D2415" t="s">
        <v>1085</v>
      </c>
    </row>
    <row r="2416" spans="1:4" x14ac:dyDescent="0.3">
      <c r="A2416" s="2">
        <v>45515</v>
      </c>
      <c r="B2416">
        <v>2024</v>
      </c>
      <c r="C2416" t="s">
        <v>1083</v>
      </c>
      <c r="D2416" t="s">
        <v>1085</v>
      </c>
    </row>
    <row r="2417" spans="1:4" x14ac:dyDescent="0.3">
      <c r="A2417" s="2">
        <v>45516</v>
      </c>
      <c r="B2417">
        <v>2024</v>
      </c>
      <c r="C2417" t="s">
        <v>1083</v>
      </c>
      <c r="D2417" t="s">
        <v>1085</v>
      </c>
    </row>
    <row r="2418" spans="1:4" x14ac:dyDescent="0.3">
      <c r="A2418" s="2">
        <v>45517</v>
      </c>
      <c r="B2418">
        <v>2024</v>
      </c>
      <c r="C2418" t="s">
        <v>1083</v>
      </c>
      <c r="D2418" t="s">
        <v>1085</v>
      </c>
    </row>
    <row r="2419" spans="1:4" x14ac:dyDescent="0.3">
      <c r="A2419" s="2">
        <v>45518</v>
      </c>
      <c r="B2419">
        <v>2024</v>
      </c>
      <c r="C2419" t="s">
        <v>1083</v>
      </c>
      <c r="D2419" t="s">
        <v>1085</v>
      </c>
    </row>
    <row r="2420" spans="1:4" x14ac:dyDescent="0.3">
      <c r="A2420" s="2">
        <v>45519</v>
      </c>
      <c r="B2420">
        <v>2024</v>
      </c>
      <c r="C2420" t="s">
        <v>1083</v>
      </c>
      <c r="D2420" t="s">
        <v>1085</v>
      </c>
    </row>
    <row r="2421" spans="1:4" x14ac:dyDescent="0.3">
      <c r="A2421" s="2">
        <v>45520</v>
      </c>
      <c r="B2421">
        <v>2024</v>
      </c>
      <c r="C2421" t="s">
        <v>1083</v>
      </c>
      <c r="D2421" t="s">
        <v>1085</v>
      </c>
    </row>
    <row r="2422" spans="1:4" x14ac:dyDescent="0.3">
      <c r="A2422" s="2">
        <v>45521</v>
      </c>
      <c r="B2422">
        <v>2024</v>
      </c>
      <c r="C2422" t="s">
        <v>1083</v>
      </c>
      <c r="D2422" t="s">
        <v>1085</v>
      </c>
    </row>
    <row r="2423" spans="1:4" x14ac:dyDescent="0.3">
      <c r="A2423" s="2">
        <v>45522</v>
      </c>
      <c r="B2423">
        <v>2024</v>
      </c>
      <c r="C2423" t="s">
        <v>1083</v>
      </c>
      <c r="D2423" t="s">
        <v>1085</v>
      </c>
    </row>
    <row r="2424" spans="1:4" x14ac:dyDescent="0.3">
      <c r="A2424" s="2">
        <v>45523</v>
      </c>
      <c r="B2424">
        <v>2024</v>
      </c>
      <c r="C2424" t="s">
        <v>1083</v>
      </c>
      <c r="D2424" t="s">
        <v>1085</v>
      </c>
    </row>
    <row r="2425" spans="1:4" x14ac:dyDescent="0.3">
      <c r="A2425" s="2">
        <v>45524</v>
      </c>
      <c r="B2425">
        <v>2024</v>
      </c>
      <c r="C2425" t="s">
        <v>1083</v>
      </c>
      <c r="D2425" t="s">
        <v>1085</v>
      </c>
    </row>
    <row r="2426" spans="1:4" x14ac:dyDescent="0.3">
      <c r="A2426" s="2">
        <v>45525</v>
      </c>
      <c r="B2426">
        <v>2024</v>
      </c>
      <c r="C2426" t="s">
        <v>1083</v>
      </c>
      <c r="D2426" t="s">
        <v>1085</v>
      </c>
    </row>
    <row r="2427" spans="1:4" x14ac:dyDescent="0.3">
      <c r="A2427" s="2">
        <v>45526</v>
      </c>
      <c r="B2427">
        <v>2024</v>
      </c>
      <c r="C2427" t="s">
        <v>1083</v>
      </c>
      <c r="D2427" t="s">
        <v>1085</v>
      </c>
    </row>
    <row r="2428" spans="1:4" x14ac:dyDescent="0.3">
      <c r="A2428" s="2">
        <v>45527</v>
      </c>
      <c r="B2428">
        <v>2024</v>
      </c>
      <c r="C2428" t="s">
        <v>1083</v>
      </c>
      <c r="D2428" t="s">
        <v>1085</v>
      </c>
    </row>
    <row r="2429" spans="1:4" x14ac:dyDescent="0.3">
      <c r="A2429" s="2">
        <v>45528</v>
      </c>
      <c r="B2429">
        <v>2024</v>
      </c>
      <c r="C2429" t="s">
        <v>1083</v>
      </c>
      <c r="D2429" t="s">
        <v>1085</v>
      </c>
    </row>
    <row r="2430" spans="1:4" x14ac:dyDescent="0.3">
      <c r="A2430" s="2">
        <v>45529</v>
      </c>
      <c r="B2430">
        <v>2024</v>
      </c>
      <c r="C2430" t="s">
        <v>1083</v>
      </c>
      <c r="D2430" t="s">
        <v>1085</v>
      </c>
    </row>
    <row r="2431" spans="1:4" x14ac:dyDescent="0.3">
      <c r="A2431" s="2">
        <v>45530</v>
      </c>
      <c r="B2431">
        <v>2024</v>
      </c>
      <c r="C2431" t="s">
        <v>1083</v>
      </c>
      <c r="D2431" t="s">
        <v>1085</v>
      </c>
    </row>
    <row r="2432" spans="1:4" x14ac:dyDescent="0.3">
      <c r="A2432" s="2">
        <v>45531</v>
      </c>
      <c r="B2432">
        <v>2024</v>
      </c>
      <c r="C2432" t="s">
        <v>1083</v>
      </c>
      <c r="D2432" t="s">
        <v>1085</v>
      </c>
    </row>
    <row r="2433" spans="1:4" x14ac:dyDescent="0.3">
      <c r="A2433" s="2">
        <v>45532</v>
      </c>
      <c r="B2433">
        <v>2024</v>
      </c>
      <c r="C2433" t="s">
        <v>1083</v>
      </c>
      <c r="D2433" t="s">
        <v>1085</v>
      </c>
    </row>
    <row r="2434" spans="1:4" x14ac:dyDescent="0.3">
      <c r="A2434" s="2">
        <v>45533</v>
      </c>
      <c r="B2434">
        <v>2024</v>
      </c>
      <c r="C2434" t="s">
        <v>1083</v>
      </c>
      <c r="D2434" t="s">
        <v>1085</v>
      </c>
    </row>
    <row r="2435" spans="1:4" x14ac:dyDescent="0.3">
      <c r="A2435" s="2">
        <v>45534</v>
      </c>
      <c r="B2435">
        <v>2024</v>
      </c>
      <c r="C2435" t="s">
        <v>1083</v>
      </c>
      <c r="D2435" t="s">
        <v>1085</v>
      </c>
    </row>
    <row r="2436" spans="1:4" x14ac:dyDescent="0.3">
      <c r="A2436" s="2">
        <v>45535</v>
      </c>
      <c r="B2436">
        <v>2024</v>
      </c>
      <c r="C2436" t="s">
        <v>1083</v>
      </c>
      <c r="D2436" t="s">
        <v>1085</v>
      </c>
    </row>
    <row r="2437" spans="1:4" x14ac:dyDescent="0.3">
      <c r="A2437" s="2">
        <v>45536</v>
      </c>
      <c r="B2437">
        <v>2024</v>
      </c>
      <c r="C2437" t="s">
        <v>1083</v>
      </c>
      <c r="D2437" t="s">
        <v>1086</v>
      </c>
    </row>
    <row r="2438" spans="1:4" x14ac:dyDescent="0.3">
      <c r="A2438" s="2">
        <v>45537</v>
      </c>
      <c r="B2438">
        <v>2024</v>
      </c>
      <c r="C2438" t="s">
        <v>1083</v>
      </c>
      <c r="D2438" t="s">
        <v>1086</v>
      </c>
    </row>
    <row r="2439" spans="1:4" x14ac:dyDescent="0.3">
      <c r="A2439" s="2">
        <v>45538</v>
      </c>
      <c r="B2439">
        <v>2024</v>
      </c>
      <c r="C2439" t="s">
        <v>1083</v>
      </c>
      <c r="D2439" t="s">
        <v>1086</v>
      </c>
    </row>
    <row r="2440" spans="1:4" x14ac:dyDescent="0.3">
      <c r="A2440" s="2">
        <v>45539</v>
      </c>
      <c r="B2440">
        <v>2024</v>
      </c>
      <c r="C2440" t="s">
        <v>1083</v>
      </c>
      <c r="D2440" t="s">
        <v>1086</v>
      </c>
    </row>
    <row r="2441" spans="1:4" x14ac:dyDescent="0.3">
      <c r="A2441" s="2">
        <v>45540</v>
      </c>
      <c r="B2441">
        <v>2024</v>
      </c>
      <c r="C2441" t="s">
        <v>1083</v>
      </c>
      <c r="D2441" t="s">
        <v>1086</v>
      </c>
    </row>
    <row r="2442" spans="1:4" x14ac:dyDescent="0.3">
      <c r="A2442" s="2">
        <v>45541</v>
      </c>
      <c r="B2442">
        <v>2024</v>
      </c>
      <c r="C2442" t="s">
        <v>1083</v>
      </c>
      <c r="D2442" t="s">
        <v>1086</v>
      </c>
    </row>
    <row r="2443" spans="1:4" x14ac:dyDescent="0.3">
      <c r="A2443" s="2">
        <v>45542</v>
      </c>
      <c r="B2443">
        <v>2024</v>
      </c>
      <c r="C2443" t="s">
        <v>1083</v>
      </c>
      <c r="D2443" t="s">
        <v>1086</v>
      </c>
    </row>
    <row r="2444" spans="1:4" x14ac:dyDescent="0.3">
      <c r="A2444" s="2">
        <v>45543</v>
      </c>
      <c r="B2444">
        <v>2024</v>
      </c>
      <c r="C2444" t="s">
        <v>1083</v>
      </c>
      <c r="D2444" t="s">
        <v>1086</v>
      </c>
    </row>
    <row r="2445" spans="1:4" x14ac:dyDescent="0.3">
      <c r="A2445" s="2">
        <v>45544</v>
      </c>
      <c r="B2445">
        <v>2024</v>
      </c>
      <c r="C2445" t="s">
        <v>1083</v>
      </c>
      <c r="D2445" t="s">
        <v>1086</v>
      </c>
    </row>
    <row r="2446" spans="1:4" x14ac:dyDescent="0.3">
      <c r="A2446" s="2">
        <v>45545</v>
      </c>
      <c r="B2446">
        <v>2024</v>
      </c>
      <c r="C2446" t="s">
        <v>1083</v>
      </c>
      <c r="D2446" t="s">
        <v>1086</v>
      </c>
    </row>
    <row r="2447" spans="1:4" x14ac:dyDescent="0.3">
      <c r="A2447" s="2">
        <v>45546</v>
      </c>
      <c r="B2447">
        <v>2024</v>
      </c>
      <c r="C2447" t="s">
        <v>1083</v>
      </c>
      <c r="D2447" t="s">
        <v>1086</v>
      </c>
    </row>
    <row r="2448" spans="1:4" x14ac:dyDescent="0.3">
      <c r="A2448" s="2">
        <v>45547</v>
      </c>
      <c r="B2448">
        <v>2024</v>
      </c>
      <c r="C2448" t="s">
        <v>1083</v>
      </c>
      <c r="D2448" t="s">
        <v>1086</v>
      </c>
    </row>
    <row r="2449" spans="1:4" x14ac:dyDescent="0.3">
      <c r="A2449" s="2">
        <v>45548</v>
      </c>
      <c r="B2449">
        <v>2024</v>
      </c>
      <c r="C2449" t="s">
        <v>1083</v>
      </c>
      <c r="D2449" t="s">
        <v>1086</v>
      </c>
    </row>
    <row r="2450" spans="1:4" x14ac:dyDescent="0.3">
      <c r="A2450" s="2">
        <v>45549</v>
      </c>
      <c r="B2450">
        <v>2024</v>
      </c>
      <c r="C2450" t="s">
        <v>1083</v>
      </c>
      <c r="D2450" t="s">
        <v>1086</v>
      </c>
    </row>
    <row r="2451" spans="1:4" x14ac:dyDescent="0.3">
      <c r="A2451" s="2">
        <v>45550</v>
      </c>
      <c r="B2451">
        <v>2024</v>
      </c>
      <c r="C2451" t="s">
        <v>1083</v>
      </c>
      <c r="D2451" t="s">
        <v>1086</v>
      </c>
    </row>
    <row r="2452" spans="1:4" x14ac:dyDescent="0.3">
      <c r="A2452" s="2">
        <v>45551</v>
      </c>
      <c r="B2452">
        <v>2024</v>
      </c>
      <c r="C2452" t="s">
        <v>1083</v>
      </c>
      <c r="D2452" t="s">
        <v>1086</v>
      </c>
    </row>
    <row r="2453" spans="1:4" x14ac:dyDescent="0.3">
      <c r="A2453" s="2">
        <v>45552</v>
      </c>
      <c r="B2453">
        <v>2024</v>
      </c>
      <c r="C2453" t="s">
        <v>1083</v>
      </c>
      <c r="D2453" t="s">
        <v>1086</v>
      </c>
    </row>
    <row r="2454" spans="1:4" x14ac:dyDescent="0.3">
      <c r="A2454" s="2">
        <v>45553</v>
      </c>
      <c r="B2454">
        <v>2024</v>
      </c>
      <c r="C2454" t="s">
        <v>1083</v>
      </c>
      <c r="D2454" t="s">
        <v>1086</v>
      </c>
    </row>
    <row r="2455" spans="1:4" x14ac:dyDescent="0.3">
      <c r="A2455" s="2">
        <v>45554</v>
      </c>
      <c r="B2455">
        <v>2024</v>
      </c>
      <c r="C2455" t="s">
        <v>1083</v>
      </c>
      <c r="D2455" t="s">
        <v>1086</v>
      </c>
    </row>
    <row r="2456" spans="1:4" x14ac:dyDescent="0.3">
      <c r="A2456" s="2">
        <v>45555</v>
      </c>
      <c r="B2456">
        <v>2024</v>
      </c>
      <c r="C2456" t="s">
        <v>1083</v>
      </c>
      <c r="D2456" t="s">
        <v>1086</v>
      </c>
    </row>
    <row r="2457" spans="1:4" x14ac:dyDescent="0.3">
      <c r="A2457" s="2">
        <v>45556</v>
      </c>
      <c r="B2457">
        <v>2024</v>
      </c>
      <c r="C2457" t="s">
        <v>1083</v>
      </c>
      <c r="D2457" t="s">
        <v>1086</v>
      </c>
    </row>
    <row r="2458" spans="1:4" x14ac:dyDescent="0.3">
      <c r="A2458" s="2">
        <v>45557</v>
      </c>
      <c r="B2458">
        <v>2024</v>
      </c>
      <c r="C2458" t="s">
        <v>1083</v>
      </c>
      <c r="D2458" t="s">
        <v>1086</v>
      </c>
    </row>
    <row r="2459" spans="1:4" x14ac:dyDescent="0.3">
      <c r="A2459" s="2">
        <v>45558</v>
      </c>
      <c r="B2459">
        <v>2024</v>
      </c>
      <c r="C2459" t="s">
        <v>1083</v>
      </c>
      <c r="D2459" t="s">
        <v>1086</v>
      </c>
    </row>
    <row r="2460" spans="1:4" x14ac:dyDescent="0.3">
      <c r="A2460" s="2">
        <v>45559</v>
      </c>
      <c r="B2460">
        <v>2024</v>
      </c>
      <c r="C2460" t="s">
        <v>1083</v>
      </c>
      <c r="D2460" t="s">
        <v>1086</v>
      </c>
    </row>
    <row r="2461" spans="1:4" x14ac:dyDescent="0.3">
      <c r="A2461" s="2">
        <v>45560</v>
      </c>
      <c r="B2461">
        <v>2024</v>
      </c>
      <c r="C2461" t="s">
        <v>1083</v>
      </c>
      <c r="D2461" t="s">
        <v>1086</v>
      </c>
    </row>
    <row r="2462" spans="1:4" x14ac:dyDescent="0.3">
      <c r="A2462" s="2">
        <v>45561</v>
      </c>
      <c r="B2462">
        <v>2024</v>
      </c>
      <c r="C2462" t="s">
        <v>1083</v>
      </c>
      <c r="D2462" t="s">
        <v>1086</v>
      </c>
    </row>
    <row r="2463" spans="1:4" x14ac:dyDescent="0.3">
      <c r="A2463" s="2">
        <v>45562</v>
      </c>
      <c r="B2463">
        <v>2024</v>
      </c>
      <c r="C2463" t="s">
        <v>1083</v>
      </c>
      <c r="D2463" t="s">
        <v>1086</v>
      </c>
    </row>
    <row r="2464" spans="1:4" x14ac:dyDescent="0.3">
      <c r="A2464" s="2">
        <v>45563</v>
      </c>
      <c r="B2464">
        <v>2024</v>
      </c>
      <c r="C2464" t="s">
        <v>1083</v>
      </c>
      <c r="D2464" t="s">
        <v>1086</v>
      </c>
    </row>
    <row r="2465" spans="1:4" x14ac:dyDescent="0.3">
      <c r="A2465" s="2">
        <v>45564</v>
      </c>
      <c r="B2465">
        <v>2024</v>
      </c>
      <c r="C2465" t="s">
        <v>1083</v>
      </c>
      <c r="D2465" t="s">
        <v>1086</v>
      </c>
    </row>
    <row r="2466" spans="1:4" x14ac:dyDescent="0.3">
      <c r="A2466" s="2">
        <v>45565</v>
      </c>
      <c r="B2466">
        <v>2024</v>
      </c>
      <c r="C2466" t="s">
        <v>1083</v>
      </c>
      <c r="D2466" t="s">
        <v>1086</v>
      </c>
    </row>
    <row r="2467" spans="1:4" x14ac:dyDescent="0.3">
      <c r="A2467" s="2">
        <v>45566</v>
      </c>
      <c r="B2467">
        <v>2024</v>
      </c>
      <c r="C2467" t="s">
        <v>1087</v>
      </c>
      <c r="D2467" t="s">
        <v>1088</v>
      </c>
    </row>
    <row r="2468" spans="1:4" x14ac:dyDescent="0.3">
      <c r="A2468" s="2">
        <v>45567</v>
      </c>
      <c r="B2468">
        <v>2024</v>
      </c>
      <c r="C2468" t="s">
        <v>1087</v>
      </c>
      <c r="D2468" t="s">
        <v>1088</v>
      </c>
    </row>
    <row r="2469" spans="1:4" x14ac:dyDescent="0.3">
      <c r="A2469" s="2">
        <v>45568</v>
      </c>
      <c r="B2469">
        <v>2024</v>
      </c>
      <c r="C2469" t="s">
        <v>1087</v>
      </c>
      <c r="D2469" t="s">
        <v>1088</v>
      </c>
    </row>
    <row r="2470" spans="1:4" x14ac:dyDescent="0.3">
      <c r="A2470" s="2">
        <v>45569</v>
      </c>
      <c r="B2470">
        <v>2024</v>
      </c>
      <c r="C2470" t="s">
        <v>1087</v>
      </c>
      <c r="D2470" t="s">
        <v>1088</v>
      </c>
    </row>
    <row r="2471" spans="1:4" x14ac:dyDescent="0.3">
      <c r="A2471" s="2">
        <v>45570</v>
      </c>
      <c r="B2471">
        <v>2024</v>
      </c>
      <c r="C2471" t="s">
        <v>1087</v>
      </c>
      <c r="D2471" t="s">
        <v>1088</v>
      </c>
    </row>
    <row r="2472" spans="1:4" x14ac:dyDescent="0.3">
      <c r="A2472" s="2">
        <v>45571</v>
      </c>
      <c r="B2472">
        <v>2024</v>
      </c>
      <c r="C2472" t="s">
        <v>1087</v>
      </c>
      <c r="D2472" t="s">
        <v>1088</v>
      </c>
    </row>
    <row r="2473" spans="1:4" x14ac:dyDescent="0.3">
      <c r="A2473" s="2">
        <v>45572</v>
      </c>
      <c r="B2473">
        <v>2024</v>
      </c>
      <c r="C2473" t="s">
        <v>1087</v>
      </c>
      <c r="D2473" t="s">
        <v>1088</v>
      </c>
    </row>
    <row r="2474" spans="1:4" x14ac:dyDescent="0.3">
      <c r="A2474" s="2">
        <v>45573</v>
      </c>
      <c r="B2474">
        <v>2024</v>
      </c>
      <c r="C2474" t="s">
        <v>1087</v>
      </c>
      <c r="D2474" t="s">
        <v>1088</v>
      </c>
    </row>
    <row r="2475" spans="1:4" x14ac:dyDescent="0.3">
      <c r="A2475" s="2">
        <v>45574</v>
      </c>
      <c r="B2475">
        <v>2024</v>
      </c>
      <c r="C2475" t="s">
        <v>1087</v>
      </c>
      <c r="D2475" t="s">
        <v>1088</v>
      </c>
    </row>
    <row r="2476" spans="1:4" x14ac:dyDescent="0.3">
      <c r="A2476" s="2">
        <v>45575</v>
      </c>
      <c r="B2476">
        <v>2024</v>
      </c>
      <c r="C2476" t="s">
        <v>1087</v>
      </c>
      <c r="D2476" t="s">
        <v>1088</v>
      </c>
    </row>
    <row r="2477" spans="1:4" x14ac:dyDescent="0.3">
      <c r="A2477" s="2">
        <v>45576</v>
      </c>
      <c r="B2477">
        <v>2024</v>
      </c>
      <c r="C2477" t="s">
        <v>1087</v>
      </c>
      <c r="D2477" t="s">
        <v>1088</v>
      </c>
    </row>
    <row r="2478" spans="1:4" x14ac:dyDescent="0.3">
      <c r="A2478" s="2">
        <v>45577</v>
      </c>
      <c r="B2478">
        <v>2024</v>
      </c>
      <c r="C2478" t="s">
        <v>1087</v>
      </c>
      <c r="D2478" t="s">
        <v>1088</v>
      </c>
    </row>
    <row r="2479" spans="1:4" x14ac:dyDescent="0.3">
      <c r="A2479" s="2">
        <v>45578</v>
      </c>
      <c r="B2479">
        <v>2024</v>
      </c>
      <c r="C2479" t="s">
        <v>1087</v>
      </c>
      <c r="D2479" t="s">
        <v>1088</v>
      </c>
    </row>
    <row r="2480" spans="1:4" x14ac:dyDescent="0.3">
      <c r="A2480" s="2">
        <v>45579</v>
      </c>
      <c r="B2480">
        <v>2024</v>
      </c>
      <c r="C2480" t="s">
        <v>1087</v>
      </c>
      <c r="D2480" t="s">
        <v>1088</v>
      </c>
    </row>
    <row r="2481" spans="1:4" x14ac:dyDescent="0.3">
      <c r="A2481" s="2">
        <v>45580</v>
      </c>
      <c r="B2481">
        <v>2024</v>
      </c>
      <c r="C2481" t="s">
        <v>1087</v>
      </c>
      <c r="D2481" t="s">
        <v>1088</v>
      </c>
    </row>
    <row r="2482" spans="1:4" x14ac:dyDescent="0.3">
      <c r="A2482" s="2">
        <v>45581</v>
      </c>
      <c r="B2482">
        <v>2024</v>
      </c>
      <c r="C2482" t="s">
        <v>1087</v>
      </c>
      <c r="D2482" t="s">
        <v>1088</v>
      </c>
    </row>
    <row r="2483" spans="1:4" x14ac:dyDescent="0.3">
      <c r="A2483" s="2">
        <v>45582</v>
      </c>
      <c r="B2483">
        <v>2024</v>
      </c>
      <c r="C2483" t="s">
        <v>1087</v>
      </c>
      <c r="D2483" t="s">
        <v>1088</v>
      </c>
    </row>
    <row r="2484" spans="1:4" x14ac:dyDescent="0.3">
      <c r="A2484" s="2">
        <v>45583</v>
      </c>
      <c r="B2484">
        <v>2024</v>
      </c>
      <c r="C2484" t="s">
        <v>1087</v>
      </c>
      <c r="D2484" t="s">
        <v>1088</v>
      </c>
    </row>
    <row r="2485" spans="1:4" x14ac:dyDescent="0.3">
      <c r="A2485" s="2">
        <v>45584</v>
      </c>
      <c r="B2485">
        <v>2024</v>
      </c>
      <c r="C2485" t="s">
        <v>1087</v>
      </c>
      <c r="D2485" t="s">
        <v>1088</v>
      </c>
    </row>
    <row r="2486" spans="1:4" x14ac:dyDescent="0.3">
      <c r="A2486" s="2">
        <v>45585</v>
      </c>
      <c r="B2486">
        <v>2024</v>
      </c>
      <c r="C2486" t="s">
        <v>1087</v>
      </c>
      <c r="D2486" t="s">
        <v>1088</v>
      </c>
    </row>
    <row r="2487" spans="1:4" x14ac:dyDescent="0.3">
      <c r="A2487" s="2">
        <v>45586</v>
      </c>
      <c r="B2487">
        <v>2024</v>
      </c>
      <c r="C2487" t="s">
        <v>1087</v>
      </c>
      <c r="D2487" t="s">
        <v>1088</v>
      </c>
    </row>
    <row r="2488" spans="1:4" x14ac:dyDescent="0.3">
      <c r="A2488" s="2">
        <v>45587</v>
      </c>
      <c r="B2488">
        <v>2024</v>
      </c>
      <c r="C2488" t="s">
        <v>1087</v>
      </c>
      <c r="D2488" t="s">
        <v>1088</v>
      </c>
    </row>
    <row r="2489" spans="1:4" x14ac:dyDescent="0.3">
      <c r="A2489" s="2">
        <v>45588</v>
      </c>
      <c r="B2489">
        <v>2024</v>
      </c>
      <c r="C2489" t="s">
        <v>1087</v>
      </c>
      <c r="D2489" t="s">
        <v>1088</v>
      </c>
    </row>
    <row r="2490" spans="1:4" x14ac:dyDescent="0.3">
      <c r="A2490" s="2">
        <v>45589</v>
      </c>
      <c r="B2490">
        <v>2024</v>
      </c>
      <c r="C2490" t="s">
        <v>1087</v>
      </c>
      <c r="D2490" t="s">
        <v>1088</v>
      </c>
    </row>
    <row r="2491" spans="1:4" x14ac:dyDescent="0.3">
      <c r="A2491" s="2">
        <v>45590</v>
      </c>
      <c r="B2491">
        <v>2024</v>
      </c>
      <c r="C2491" t="s">
        <v>1087</v>
      </c>
      <c r="D2491" t="s">
        <v>1088</v>
      </c>
    </row>
    <row r="2492" spans="1:4" x14ac:dyDescent="0.3">
      <c r="A2492" s="2">
        <v>45591</v>
      </c>
      <c r="B2492">
        <v>2024</v>
      </c>
      <c r="C2492" t="s">
        <v>1087</v>
      </c>
      <c r="D2492" t="s">
        <v>1088</v>
      </c>
    </row>
    <row r="2493" spans="1:4" x14ac:dyDescent="0.3">
      <c r="A2493" s="2">
        <v>45592</v>
      </c>
      <c r="B2493">
        <v>2024</v>
      </c>
      <c r="C2493" t="s">
        <v>1087</v>
      </c>
      <c r="D2493" t="s">
        <v>1088</v>
      </c>
    </row>
    <row r="2494" spans="1:4" x14ac:dyDescent="0.3">
      <c r="A2494" s="2">
        <v>45593</v>
      </c>
      <c r="B2494">
        <v>2024</v>
      </c>
      <c r="C2494" t="s">
        <v>1087</v>
      </c>
      <c r="D2494" t="s">
        <v>1088</v>
      </c>
    </row>
    <row r="2495" spans="1:4" x14ac:dyDescent="0.3">
      <c r="A2495" s="2">
        <v>45594</v>
      </c>
      <c r="B2495">
        <v>2024</v>
      </c>
      <c r="C2495" t="s">
        <v>1087</v>
      </c>
      <c r="D2495" t="s">
        <v>1088</v>
      </c>
    </row>
    <row r="2496" spans="1:4" x14ac:dyDescent="0.3">
      <c r="A2496" s="2">
        <v>45595</v>
      </c>
      <c r="B2496">
        <v>2024</v>
      </c>
      <c r="C2496" t="s">
        <v>1087</v>
      </c>
      <c r="D2496" t="s">
        <v>1088</v>
      </c>
    </row>
    <row r="2497" spans="1:4" x14ac:dyDescent="0.3">
      <c r="A2497" s="2">
        <v>45596</v>
      </c>
      <c r="B2497">
        <v>2024</v>
      </c>
      <c r="C2497" t="s">
        <v>1087</v>
      </c>
      <c r="D2497" t="s">
        <v>1088</v>
      </c>
    </row>
    <row r="2498" spans="1:4" x14ac:dyDescent="0.3">
      <c r="A2498" s="2">
        <v>45597</v>
      </c>
      <c r="B2498">
        <v>2024</v>
      </c>
      <c r="C2498" t="s">
        <v>1087</v>
      </c>
      <c r="D2498" t="s">
        <v>1089</v>
      </c>
    </row>
    <row r="2499" spans="1:4" x14ac:dyDescent="0.3">
      <c r="A2499" s="2">
        <v>45598</v>
      </c>
      <c r="B2499">
        <v>2024</v>
      </c>
      <c r="C2499" t="s">
        <v>1087</v>
      </c>
      <c r="D2499" t="s">
        <v>1089</v>
      </c>
    </row>
    <row r="2500" spans="1:4" x14ac:dyDescent="0.3">
      <c r="A2500" s="2">
        <v>45599</v>
      </c>
      <c r="B2500">
        <v>2024</v>
      </c>
      <c r="C2500" t="s">
        <v>1087</v>
      </c>
      <c r="D2500" t="s">
        <v>1089</v>
      </c>
    </row>
    <row r="2501" spans="1:4" x14ac:dyDescent="0.3">
      <c r="A2501" s="2">
        <v>45600</v>
      </c>
      <c r="B2501">
        <v>2024</v>
      </c>
      <c r="C2501" t="s">
        <v>1087</v>
      </c>
      <c r="D2501" t="s">
        <v>1089</v>
      </c>
    </row>
    <row r="2502" spans="1:4" x14ac:dyDescent="0.3">
      <c r="A2502" s="2">
        <v>45601</v>
      </c>
      <c r="B2502">
        <v>2024</v>
      </c>
      <c r="C2502" t="s">
        <v>1087</v>
      </c>
      <c r="D2502" t="s">
        <v>1089</v>
      </c>
    </row>
    <row r="2503" spans="1:4" x14ac:dyDescent="0.3">
      <c r="A2503" s="2">
        <v>45602</v>
      </c>
      <c r="B2503">
        <v>2024</v>
      </c>
      <c r="C2503" t="s">
        <v>1087</v>
      </c>
      <c r="D2503" t="s">
        <v>1089</v>
      </c>
    </row>
    <row r="2504" spans="1:4" x14ac:dyDescent="0.3">
      <c r="A2504" s="2">
        <v>45603</v>
      </c>
      <c r="B2504">
        <v>2024</v>
      </c>
      <c r="C2504" t="s">
        <v>1087</v>
      </c>
      <c r="D2504" t="s">
        <v>1089</v>
      </c>
    </row>
    <row r="2505" spans="1:4" x14ac:dyDescent="0.3">
      <c r="A2505" s="2">
        <v>45604</v>
      </c>
      <c r="B2505">
        <v>2024</v>
      </c>
      <c r="C2505" t="s">
        <v>1087</v>
      </c>
      <c r="D2505" t="s">
        <v>1089</v>
      </c>
    </row>
    <row r="2506" spans="1:4" x14ac:dyDescent="0.3">
      <c r="A2506" s="2">
        <v>45605</v>
      </c>
      <c r="B2506">
        <v>2024</v>
      </c>
      <c r="C2506" t="s">
        <v>1087</v>
      </c>
      <c r="D2506" t="s">
        <v>1089</v>
      </c>
    </row>
    <row r="2507" spans="1:4" x14ac:dyDescent="0.3">
      <c r="A2507" s="2">
        <v>45606</v>
      </c>
      <c r="B2507">
        <v>2024</v>
      </c>
      <c r="C2507" t="s">
        <v>1087</v>
      </c>
      <c r="D2507" t="s">
        <v>1089</v>
      </c>
    </row>
    <row r="2508" spans="1:4" x14ac:dyDescent="0.3">
      <c r="A2508" s="2">
        <v>45607</v>
      </c>
      <c r="B2508">
        <v>2024</v>
      </c>
      <c r="C2508" t="s">
        <v>1087</v>
      </c>
      <c r="D2508" t="s">
        <v>1089</v>
      </c>
    </row>
    <row r="2509" spans="1:4" x14ac:dyDescent="0.3">
      <c r="A2509" s="2">
        <v>45608</v>
      </c>
      <c r="B2509">
        <v>2024</v>
      </c>
      <c r="C2509" t="s">
        <v>1087</v>
      </c>
      <c r="D2509" t="s">
        <v>1089</v>
      </c>
    </row>
    <row r="2510" spans="1:4" x14ac:dyDescent="0.3">
      <c r="A2510" s="2">
        <v>45609</v>
      </c>
      <c r="B2510">
        <v>2024</v>
      </c>
      <c r="C2510" t="s">
        <v>1087</v>
      </c>
      <c r="D2510" t="s">
        <v>1089</v>
      </c>
    </row>
    <row r="2511" spans="1:4" x14ac:dyDescent="0.3">
      <c r="A2511" s="2">
        <v>45610</v>
      </c>
      <c r="B2511">
        <v>2024</v>
      </c>
      <c r="C2511" t="s">
        <v>1087</v>
      </c>
      <c r="D2511" t="s">
        <v>1089</v>
      </c>
    </row>
    <row r="2512" spans="1:4" x14ac:dyDescent="0.3">
      <c r="A2512" s="2">
        <v>45611</v>
      </c>
      <c r="B2512">
        <v>2024</v>
      </c>
      <c r="C2512" t="s">
        <v>1087</v>
      </c>
      <c r="D2512" t="s">
        <v>1089</v>
      </c>
    </row>
    <row r="2513" spans="1:4" x14ac:dyDescent="0.3">
      <c r="A2513" s="2">
        <v>45612</v>
      </c>
      <c r="B2513">
        <v>2024</v>
      </c>
      <c r="C2513" t="s">
        <v>1087</v>
      </c>
      <c r="D2513" t="s">
        <v>1089</v>
      </c>
    </row>
    <row r="2514" spans="1:4" x14ac:dyDescent="0.3">
      <c r="A2514" s="2">
        <v>45613</v>
      </c>
      <c r="B2514">
        <v>2024</v>
      </c>
      <c r="C2514" t="s">
        <v>1087</v>
      </c>
      <c r="D2514" t="s">
        <v>1089</v>
      </c>
    </row>
    <row r="2515" spans="1:4" x14ac:dyDescent="0.3">
      <c r="A2515" s="2">
        <v>45614</v>
      </c>
      <c r="B2515">
        <v>2024</v>
      </c>
      <c r="C2515" t="s">
        <v>1087</v>
      </c>
      <c r="D2515" t="s">
        <v>1089</v>
      </c>
    </row>
    <row r="2516" spans="1:4" x14ac:dyDescent="0.3">
      <c r="A2516" s="2">
        <v>45615</v>
      </c>
      <c r="B2516">
        <v>2024</v>
      </c>
      <c r="C2516" t="s">
        <v>1087</v>
      </c>
      <c r="D2516" t="s">
        <v>1089</v>
      </c>
    </row>
    <row r="2517" spans="1:4" x14ac:dyDescent="0.3">
      <c r="A2517" s="2">
        <v>45616</v>
      </c>
      <c r="B2517">
        <v>2024</v>
      </c>
      <c r="C2517" t="s">
        <v>1087</v>
      </c>
      <c r="D2517" t="s">
        <v>1089</v>
      </c>
    </row>
    <row r="2518" spans="1:4" x14ac:dyDescent="0.3">
      <c r="A2518" s="2">
        <v>45617</v>
      </c>
      <c r="B2518">
        <v>2024</v>
      </c>
      <c r="C2518" t="s">
        <v>1087</v>
      </c>
      <c r="D2518" t="s">
        <v>1089</v>
      </c>
    </row>
    <row r="2519" spans="1:4" x14ac:dyDescent="0.3">
      <c r="A2519" s="2">
        <v>45618</v>
      </c>
      <c r="B2519">
        <v>2024</v>
      </c>
      <c r="C2519" t="s">
        <v>1087</v>
      </c>
      <c r="D2519" t="s">
        <v>1089</v>
      </c>
    </row>
    <row r="2520" spans="1:4" x14ac:dyDescent="0.3">
      <c r="A2520" s="2">
        <v>45619</v>
      </c>
      <c r="B2520">
        <v>2024</v>
      </c>
      <c r="C2520" t="s">
        <v>1087</v>
      </c>
      <c r="D2520" t="s">
        <v>1089</v>
      </c>
    </row>
    <row r="2521" spans="1:4" x14ac:dyDescent="0.3">
      <c r="A2521" s="2">
        <v>45620</v>
      </c>
      <c r="B2521">
        <v>2024</v>
      </c>
      <c r="C2521" t="s">
        <v>1087</v>
      </c>
      <c r="D2521" t="s">
        <v>1089</v>
      </c>
    </row>
    <row r="2522" spans="1:4" x14ac:dyDescent="0.3">
      <c r="A2522" s="2">
        <v>45621</v>
      </c>
      <c r="B2522">
        <v>2024</v>
      </c>
      <c r="C2522" t="s">
        <v>1087</v>
      </c>
      <c r="D2522" t="s">
        <v>1089</v>
      </c>
    </row>
    <row r="2523" spans="1:4" x14ac:dyDescent="0.3">
      <c r="A2523" s="2">
        <v>45622</v>
      </c>
      <c r="B2523">
        <v>2024</v>
      </c>
      <c r="C2523" t="s">
        <v>1087</v>
      </c>
      <c r="D2523" t="s">
        <v>1089</v>
      </c>
    </row>
    <row r="2524" spans="1:4" x14ac:dyDescent="0.3">
      <c r="A2524" s="2">
        <v>45623</v>
      </c>
      <c r="B2524">
        <v>2024</v>
      </c>
      <c r="C2524" t="s">
        <v>1087</v>
      </c>
      <c r="D2524" t="s">
        <v>1089</v>
      </c>
    </row>
    <row r="2525" spans="1:4" x14ac:dyDescent="0.3">
      <c r="A2525" s="2">
        <v>45624</v>
      </c>
      <c r="B2525">
        <v>2024</v>
      </c>
      <c r="C2525" t="s">
        <v>1087</v>
      </c>
      <c r="D2525" t="s">
        <v>1089</v>
      </c>
    </row>
    <row r="2526" spans="1:4" x14ac:dyDescent="0.3">
      <c r="A2526" s="2">
        <v>45625</v>
      </c>
      <c r="B2526">
        <v>2024</v>
      </c>
      <c r="C2526" t="s">
        <v>1087</v>
      </c>
      <c r="D2526" t="s">
        <v>1089</v>
      </c>
    </row>
    <row r="2527" spans="1:4" x14ac:dyDescent="0.3">
      <c r="A2527" s="2">
        <v>45626</v>
      </c>
      <c r="B2527">
        <v>2024</v>
      </c>
      <c r="C2527" t="s">
        <v>1087</v>
      </c>
      <c r="D2527" t="s">
        <v>1089</v>
      </c>
    </row>
    <row r="2528" spans="1:4" x14ac:dyDescent="0.3">
      <c r="A2528" s="2">
        <v>45627</v>
      </c>
      <c r="B2528">
        <v>2024</v>
      </c>
      <c r="C2528" t="s">
        <v>1087</v>
      </c>
      <c r="D2528" t="s">
        <v>1090</v>
      </c>
    </row>
    <row r="2529" spans="1:4" x14ac:dyDescent="0.3">
      <c r="A2529" s="2">
        <v>45628</v>
      </c>
      <c r="B2529">
        <v>2024</v>
      </c>
      <c r="C2529" t="s">
        <v>1087</v>
      </c>
      <c r="D2529" t="s">
        <v>1090</v>
      </c>
    </row>
    <row r="2530" spans="1:4" x14ac:dyDescent="0.3">
      <c r="A2530" s="2">
        <v>45629</v>
      </c>
      <c r="B2530">
        <v>2024</v>
      </c>
      <c r="C2530" t="s">
        <v>1087</v>
      </c>
      <c r="D2530" t="s">
        <v>1090</v>
      </c>
    </row>
    <row r="2531" spans="1:4" x14ac:dyDescent="0.3">
      <c r="A2531" s="2">
        <v>45630</v>
      </c>
      <c r="B2531">
        <v>2024</v>
      </c>
      <c r="C2531" t="s">
        <v>1087</v>
      </c>
      <c r="D2531" t="s">
        <v>1090</v>
      </c>
    </row>
    <row r="2532" spans="1:4" x14ac:dyDescent="0.3">
      <c r="A2532" s="2">
        <v>45631</v>
      </c>
      <c r="B2532">
        <v>2024</v>
      </c>
      <c r="C2532" t="s">
        <v>1087</v>
      </c>
      <c r="D2532" t="s">
        <v>1090</v>
      </c>
    </row>
    <row r="2533" spans="1:4" x14ac:dyDescent="0.3">
      <c r="A2533" s="2">
        <v>45632</v>
      </c>
      <c r="B2533">
        <v>2024</v>
      </c>
      <c r="C2533" t="s">
        <v>1087</v>
      </c>
      <c r="D2533" t="s">
        <v>1090</v>
      </c>
    </row>
    <row r="2534" spans="1:4" x14ac:dyDescent="0.3">
      <c r="A2534" s="2">
        <v>45633</v>
      </c>
      <c r="B2534">
        <v>2024</v>
      </c>
      <c r="C2534" t="s">
        <v>1087</v>
      </c>
      <c r="D2534" t="s">
        <v>1090</v>
      </c>
    </row>
    <row r="2535" spans="1:4" x14ac:dyDescent="0.3">
      <c r="A2535" s="2">
        <v>45634</v>
      </c>
      <c r="B2535">
        <v>2024</v>
      </c>
      <c r="C2535" t="s">
        <v>1087</v>
      </c>
      <c r="D2535" t="s">
        <v>1090</v>
      </c>
    </row>
    <row r="2536" spans="1:4" x14ac:dyDescent="0.3">
      <c r="A2536" s="2">
        <v>45635</v>
      </c>
      <c r="B2536">
        <v>2024</v>
      </c>
      <c r="C2536" t="s">
        <v>1087</v>
      </c>
      <c r="D2536" t="s">
        <v>1090</v>
      </c>
    </row>
    <row r="2537" spans="1:4" x14ac:dyDescent="0.3">
      <c r="A2537" s="2">
        <v>45636</v>
      </c>
      <c r="B2537">
        <v>2024</v>
      </c>
      <c r="C2537" t="s">
        <v>1087</v>
      </c>
      <c r="D2537" t="s">
        <v>1090</v>
      </c>
    </row>
    <row r="2538" spans="1:4" x14ac:dyDescent="0.3">
      <c r="A2538" s="2">
        <v>45637</v>
      </c>
      <c r="B2538">
        <v>2024</v>
      </c>
      <c r="C2538" t="s">
        <v>1087</v>
      </c>
      <c r="D2538" t="s">
        <v>1090</v>
      </c>
    </row>
    <row r="2539" spans="1:4" x14ac:dyDescent="0.3">
      <c r="A2539" s="2">
        <v>45638</v>
      </c>
      <c r="B2539">
        <v>2024</v>
      </c>
      <c r="C2539" t="s">
        <v>1087</v>
      </c>
      <c r="D2539" t="s">
        <v>1090</v>
      </c>
    </row>
    <row r="2540" spans="1:4" x14ac:dyDescent="0.3">
      <c r="A2540" s="2">
        <v>45639</v>
      </c>
      <c r="B2540">
        <v>2024</v>
      </c>
      <c r="C2540" t="s">
        <v>1087</v>
      </c>
      <c r="D2540" t="s">
        <v>1090</v>
      </c>
    </row>
    <row r="2541" spans="1:4" x14ac:dyDescent="0.3">
      <c r="A2541" s="2">
        <v>45640</v>
      </c>
      <c r="B2541">
        <v>2024</v>
      </c>
      <c r="C2541" t="s">
        <v>1087</v>
      </c>
      <c r="D2541" t="s">
        <v>1090</v>
      </c>
    </row>
    <row r="2542" spans="1:4" x14ac:dyDescent="0.3">
      <c r="A2542" s="2">
        <v>45641</v>
      </c>
      <c r="B2542">
        <v>2024</v>
      </c>
      <c r="C2542" t="s">
        <v>1087</v>
      </c>
      <c r="D2542" t="s">
        <v>1090</v>
      </c>
    </row>
    <row r="2543" spans="1:4" x14ac:dyDescent="0.3">
      <c r="A2543" s="2">
        <v>45642</v>
      </c>
      <c r="B2543">
        <v>2024</v>
      </c>
      <c r="C2543" t="s">
        <v>1087</v>
      </c>
      <c r="D2543" t="s">
        <v>1090</v>
      </c>
    </row>
    <row r="2544" spans="1:4" x14ac:dyDescent="0.3">
      <c r="A2544" s="2">
        <v>45643</v>
      </c>
      <c r="B2544">
        <v>2024</v>
      </c>
      <c r="C2544" t="s">
        <v>1087</v>
      </c>
      <c r="D2544" t="s">
        <v>1090</v>
      </c>
    </row>
    <row r="2545" spans="1:4" x14ac:dyDescent="0.3">
      <c r="A2545" s="2">
        <v>45644</v>
      </c>
      <c r="B2545">
        <v>2024</v>
      </c>
      <c r="C2545" t="s">
        <v>1087</v>
      </c>
      <c r="D2545" t="s">
        <v>1090</v>
      </c>
    </row>
    <row r="2546" spans="1:4" x14ac:dyDescent="0.3">
      <c r="A2546" s="2">
        <v>45645</v>
      </c>
      <c r="B2546">
        <v>2024</v>
      </c>
      <c r="C2546" t="s">
        <v>1087</v>
      </c>
      <c r="D2546" t="s">
        <v>1090</v>
      </c>
    </row>
    <row r="2547" spans="1:4" x14ac:dyDescent="0.3">
      <c r="A2547" s="2">
        <v>45646</v>
      </c>
      <c r="B2547">
        <v>2024</v>
      </c>
      <c r="C2547" t="s">
        <v>1087</v>
      </c>
      <c r="D2547" t="s">
        <v>1090</v>
      </c>
    </row>
    <row r="2548" spans="1:4" x14ac:dyDescent="0.3">
      <c r="A2548" s="2">
        <v>45647</v>
      </c>
      <c r="B2548">
        <v>2024</v>
      </c>
      <c r="C2548" t="s">
        <v>1087</v>
      </c>
      <c r="D2548" t="s">
        <v>1090</v>
      </c>
    </row>
    <row r="2549" spans="1:4" x14ac:dyDescent="0.3">
      <c r="A2549" s="2">
        <v>45648</v>
      </c>
      <c r="B2549">
        <v>2024</v>
      </c>
      <c r="C2549" t="s">
        <v>1087</v>
      </c>
      <c r="D2549" t="s">
        <v>1090</v>
      </c>
    </row>
    <row r="2550" spans="1:4" x14ac:dyDescent="0.3">
      <c r="A2550" s="2">
        <v>45649</v>
      </c>
      <c r="B2550">
        <v>2024</v>
      </c>
      <c r="C2550" t="s">
        <v>1087</v>
      </c>
      <c r="D2550" t="s">
        <v>1090</v>
      </c>
    </row>
    <row r="2551" spans="1:4" x14ac:dyDescent="0.3">
      <c r="A2551" s="2">
        <v>45650</v>
      </c>
      <c r="B2551">
        <v>2024</v>
      </c>
      <c r="C2551" t="s">
        <v>1087</v>
      </c>
      <c r="D2551" t="s">
        <v>1090</v>
      </c>
    </row>
    <row r="2552" spans="1:4" x14ac:dyDescent="0.3">
      <c r="A2552" s="2">
        <v>45651</v>
      </c>
      <c r="B2552">
        <v>2024</v>
      </c>
      <c r="C2552" t="s">
        <v>1087</v>
      </c>
      <c r="D2552" t="s">
        <v>1090</v>
      </c>
    </row>
    <row r="2553" spans="1:4" x14ac:dyDescent="0.3">
      <c r="A2553" s="2">
        <v>45652</v>
      </c>
      <c r="B2553">
        <v>2024</v>
      </c>
      <c r="C2553" t="s">
        <v>1087</v>
      </c>
      <c r="D2553" t="s">
        <v>1090</v>
      </c>
    </row>
    <row r="2554" spans="1:4" x14ac:dyDescent="0.3">
      <c r="A2554" s="2">
        <v>45653</v>
      </c>
      <c r="B2554">
        <v>2024</v>
      </c>
      <c r="C2554" t="s">
        <v>1087</v>
      </c>
      <c r="D2554" t="s">
        <v>1090</v>
      </c>
    </row>
    <row r="2555" spans="1:4" x14ac:dyDescent="0.3">
      <c r="A2555" s="2">
        <v>45654</v>
      </c>
      <c r="B2555">
        <v>2024</v>
      </c>
      <c r="C2555" t="s">
        <v>1087</v>
      </c>
      <c r="D2555" t="s">
        <v>1090</v>
      </c>
    </row>
    <row r="2556" spans="1:4" x14ac:dyDescent="0.3">
      <c r="A2556" s="2">
        <v>45655</v>
      </c>
      <c r="B2556">
        <v>2024</v>
      </c>
      <c r="C2556" t="s">
        <v>1087</v>
      </c>
      <c r="D2556" t="s">
        <v>1090</v>
      </c>
    </row>
    <row r="2557" spans="1:4" x14ac:dyDescent="0.3">
      <c r="A2557" s="2">
        <v>45656</v>
      </c>
      <c r="B2557">
        <v>2024</v>
      </c>
      <c r="C2557" t="s">
        <v>1087</v>
      </c>
      <c r="D2557" t="s">
        <v>1090</v>
      </c>
    </row>
    <row r="2558" spans="1:4" x14ac:dyDescent="0.3">
      <c r="A2558" s="2">
        <v>45657</v>
      </c>
      <c r="B2558">
        <v>2024</v>
      </c>
      <c r="C2558" t="s">
        <v>1087</v>
      </c>
      <c r="D2558" t="s">
        <v>1090</v>
      </c>
    </row>
    <row r="2559" spans="1:4" x14ac:dyDescent="0.3">
      <c r="A2559" s="2">
        <v>45658</v>
      </c>
      <c r="B2559">
        <v>2025</v>
      </c>
      <c r="C2559" t="s">
        <v>1075</v>
      </c>
      <c r="D2559" t="s">
        <v>1076</v>
      </c>
    </row>
    <row r="2560" spans="1:4" x14ac:dyDescent="0.3">
      <c r="A2560" s="2">
        <v>45659</v>
      </c>
      <c r="B2560">
        <v>2025</v>
      </c>
      <c r="C2560" t="s">
        <v>1075</v>
      </c>
      <c r="D2560" t="s">
        <v>1076</v>
      </c>
    </row>
    <row r="2561" spans="1:4" x14ac:dyDescent="0.3">
      <c r="A2561" s="2">
        <v>45660</v>
      </c>
      <c r="B2561">
        <v>2025</v>
      </c>
      <c r="C2561" t="s">
        <v>1075</v>
      </c>
      <c r="D2561" t="s">
        <v>1076</v>
      </c>
    </row>
    <row r="2562" spans="1:4" x14ac:dyDescent="0.3">
      <c r="A2562" s="2">
        <v>45661</v>
      </c>
      <c r="B2562">
        <v>2025</v>
      </c>
      <c r="C2562" t="s">
        <v>1075</v>
      </c>
      <c r="D2562" t="s">
        <v>1076</v>
      </c>
    </row>
    <row r="2563" spans="1:4" x14ac:dyDescent="0.3">
      <c r="A2563" s="2">
        <v>45662</v>
      </c>
      <c r="B2563">
        <v>2025</v>
      </c>
      <c r="C2563" t="s">
        <v>1075</v>
      </c>
      <c r="D2563" t="s">
        <v>1076</v>
      </c>
    </row>
    <row r="2564" spans="1:4" x14ac:dyDescent="0.3">
      <c r="A2564" s="2">
        <v>45663</v>
      </c>
      <c r="B2564">
        <v>2025</v>
      </c>
      <c r="C2564" t="s">
        <v>1075</v>
      </c>
      <c r="D2564" t="s">
        <v>1076</v>
      </c>
    </row>
    <row r="2565" spans="1:4" x14ac:dyDescent="0.3">
      <c r="A2565" s="2">
        <v>45664</v>
      </c>
      <c r="B2565">
        <v>2025</v>
      </c>
      <c r="C2565" t="s">
        <v>1075</v>
      </c>
      <c r="D2565" t="s">
        <v>1076</v>
      </c>
    </row>
    <row r="2566" spans="1:4" x14ac:dyDescent="0.3">
      <c r="A2566" s="2">
        <v>45665</v>
      </c>
      <c r="B2566">
        <v>2025</v>
      </c>
      <c r="C2566" t="s">
        <v>1075</v>
      </c>
      <c r="D2566" t="s">
        <v>1076</v>
      </c>
    </row>
    <row r="2567" spans="1:4" x14ac:dyDescent="0.3">
      <c r="A2567" s="2">
        <v>45666</v>
      </c>
      <c r="B2567">
        <v>2025</v>
      </c>
      <c r="C2567" t="s">
        <v>1075</v>
      </c>
      <c r="D2567" t="s">
        <v>1076</v>
      </c>
    </row>
    <row r="2568" spans="1:4" x14ac:dyDescent="0.3">
      <c r="A2568" s="2">
        <v>45667</v>
      </c>
      <c r="B2568">
        <v>2025</v>
      </c>
      <c r="C2568" t="s">
        <v>1075</v>
      </c>
      <c r="D2568" t="s">
        <v>1076</v>
      </c>
    </row>
    <row r="2569" spans="1:4" x14ac:dyDescent="0.3">
      <c r="A2569" s="2">
        <v>45668</v>
      </c>
      <c r="B2569">
        <v>2025</v>
      </c>
      <c r="C2569" t="s">
        <v>1075</v>
      </c>
      <c r="D2569" t="s">
        <v>1076</v>
      </c>
    </row>
    <row r="2570" spans="1:4" x14ac:dyDescent="0.3">
      <c r="A2570" s="2">
        <v>45669</v>
      </c>
      <c r="B2570">
        <v>2025</v>
      </c>
      <c r="C2570" t="s">
        <v>1075</v>
      </c>
      <c r="D2570" t="s">
        <v>1076</v>
      </c>
    </row>
    <row r="2571" spans="1:4" x14ac:dyDescent="0.3">
      <c r="A2571" s="2">
        <v>45670</v>
      </c>
      <c r="B2571">
        <v>2025</v>
      </c>
      <c r="C2571" t="s">
        <v>1075</v>
      </c>
      <c r="D2571" t="s">
        <v>1076</v>
      </c>
    </row>
    <row r="2572" spans="1:4" x14ac:dyDescent="0.3">
      <c r="A2572" s="2">
        <v>45671</v>
      </c>
      <c r="B2572">
        <v>2025</v>
      </c>
      <c r="C2572" t="s">
        <v>1075</v>
      </c>
      <c r="D2572" t="s">
        <v>1076</v>
      </c>
    </row>
    <row r="2573" spans="1:4" x14ac:dyDescent="0.3">
      <c r="A2573" s="2">
        <v>45672</v>
      </c>
      <c r="B2573">
        <v>2025</v>
      </c>
      <c r="C2573" t="s">
        <v>1075</v>
      </c>
      <c r="D2573" t="s">
        <v>1076</v>
      </c>
    </row>
    <row r="2574" spans="1:4" x14ac:dyDescent="0.3">
      <c r="A2574" s="2">
        <v>45673</v>
      </c>
      <c r="B2574">
        <v>2025</v>
      </c>
      <c r="C2574" t="s">
        <v>1075</v>
      </c>
      <c r="D2574" t="s">
        <v>1076</v>
      </c>
    </row>
    <row r="2575" spans="1:4" x14ac:dyDescent="0.3">
      <c r="A2575" s="2">
        <v>45674</v>
      </c>
      <c r="B2575">
        <v>2025</v>
      </c>
      <c r="C2575" t="s">
        <v>1075</v>
      </c>
      <c r="D2575" t="s">
        <v>1076</v>
      </c>
    </row>
    <row r="2576" spans="1:4" x14ac:dyDescent="0.3">
      <c r="A2576" s="2">
        <v>45675</v>
      </c>
      <c r="B2576">
        <v>2025</v>
      </c>
      <c r="C2576" t="s">
        <v>1075</v>
      </c>
      <c r="D2576" t="s">
        <v>1076</v>
      </c>
    </row>
    <row r="2577" spans="1:4" x14ac:dyDescent="0.3">
      <c r="A2577" s="2">
        <v>45676</v>
      </c>
      <c r="B2577">
        <v>2025</v>
      </c>
      <c r="C2577" t="s">
        <v>1075</v>
      </c>
      <c r="D2577" t="s">
        <v>1076</v>
      </c>
    </row>
    <row r="2578" spans="1:4" x14ac:dyDescent="0.3">
      <c r="A2578" s="2">
        <v>45677</v>
      </c>
      <c r="B2578">
        <v>2025</v>
      </c>
      <c r="C2578" t="s">
        <v>1075</v>
      </c>
      <c r="D2578" t="s">
        <v>1076</v>
      </c>
    </row>
    <row r="2579" spans="1:4" x14ac:dyDescent="0.3">
      <c r="A2579" s="2">
        <v>45678</v>
      </c>
      <c r="B2579">
        <v>2025</v>
      </c>
      <c r="C2579" t="s">
        <v>1075</v>
      </c>
      <c r="D2579" t="s">
        <v>1076</v>
      </c>
    </row>
    <row r="2580" spans="1:4" x14ac:dyDescent="0.3">
      <c r="A2580" s="2">
        <v>45679</v>
      </c>
      <c r="B2580">
        <v>2025</v>
      </c>
      <c r="C2580" t="s">
        <v>1075</v>
      </c>
      <c r="D2580" t="s">
        <v>1076</v>
      </c>
    </row>
    <row r="2581" spans="1:4" x14ac:dyDescent="0.3">
      <c r="A2581" s="2">
        <v>45680</v>
      </c>
      <c r="B2581">
        <v>2025</v>
      </c>
      <c r="C2581" t="s">
        <v>1075</v>
      </c>
      <c r="D2581" t="s">
        <v>1076</v>
      </c>
    </row>
    <row r="2582" spans="1:4" x14ac:dyDescent="0.3">
      <c r="A2582" s="2">
        <v>45681</v>
      </c>
      <c r="B2582">
        <v>2025</v>
      </c>
      <c r="C2582" t="s">
        <v>1075</v>
      </c>
      <c r="D2582" t="s">
        <v>1076</v>
      </c>
    </row>
    <row r="2583" spans="1:4" x14ac:dyDescent="0.3">
      <c r="A2583" s="2">
        <v>45682</v>
      </c>
      <c r="B2583">
        <v>2025</v>
      </c>
      <c r="C2583" t="s">
        <v>1075</v>
      </c>
      <c r="D2583" t="s">
        <v>1076</v>
      </c>
    </row>
    <row r="2584" spans="1:4" x14ac:dyDescent="0.3">
      <c r="A2584" s="2">
        <v>45683</v>
      </c>
      <c r="B2584">
        <v>2025</v>
      </c>
      <c r="C2584" t="s">
        <v>1075</v>
      </c>
      <c r="D2584" t="s">
        <v>1076</v>
      </c>
    </row>
    <row r="2585" spans="1:4" x14ac:dyDescent="0.3">
      <c r="A2585" s="2">
        <v>45684</v>
      </c>
      <c r="B2585">
        <v>2025</v>
      </c>
      <c r="C2585" t="s">
        <v>1075</v>
      </c>
      <c r="D2585" t="s">
        <v>1076</v>
      </c>
    </row>
    <row r="2586" spans="1:4" x14ac:dyDescent="0.3">
      <c r="A2586" s="2">
        <v>45685</v>
      </c>
      <c r="B2586">
        <v>2025</v>
      </c>
      <c r="C2586" t="s">
        <v>1075</v>
      </c>
      <c r="D2586" t="s">
        <v>1076</v>
      </c>
    </row>
    <row r="2587" spans="1:4" x14ac:dyDescent="0.3">
      <c r="A2587" s="2">
        <v>45686</v>
      </c>
      <c r="B2587">
        <v>2025</v>
      </c>
      <c r="C2587" t="s">
        <v>1075</v>
      </c>
      <c r="D2587" t="s">
        <v>1076</v>
      </c>
    </row>
    <row r="2588" spans="1:4" x14ac:dyDescent="0.3">
      <c r="A2588" s="2">
        <v>45687</v>
      </c>
      <c r="B2588">
        <v>2025</v>
      </c>
      <c r="C2588" t="s">
        <v>1075</v>
      </c>
      <c r="D2588" t="s">
        <v>1076</v>
      </c>
    </row>
    <row r="2589" spans="1:4" x14ac:dyDescent="0.3">
      <c r="A2589" s="2">
        <v>45688</v>
      </c>
      <c r="B2589">
        <v>2025</v>
      </c>
      <c r="C2589" t="s">
        <v>1075</v>
      </c>
      <c r="D2589" t="s">
        <v>1076</v>
      </c>
    </row>
    <row r="2590" spans="1:4" x14ac:dyDescent="0.3">
      <c r="A2590" s="2">
        <v>45689</v>
      </c>
      <c r="B2590">
        <v>2025</v>
      </c>
      <c r="C2590" t="s">
        <v>1075</v>
      </c>
      <c r="D2590" t="s">
        <v>1077</v>
      </c>
    </row>
    <row r="2591" spans="1:4" x14ac:dyDescent="0.3">
      <c r="A2591" s="2">
        <v>45690</v>
      </c>
      <c r="B2591">
        <v>2025</v>
      </c>
      <c r="C2591" t="s">
        <v>1075</v>
      </c>
      <c r="D2591" t="s">
        <v>1077</v>
      </c>
    </row>
    <row r="2592" spans="1:4" x14ac:dyDescent="0.3">
      <c r="A2592" s="2">
        <v>45691</v>
      </c>
      <c r="B2592">
        <v>2025</v>
      </c>
      <c r="C2592" t="s">
        <v>1075</v>
      </c>
      <c r="D2592" t="s">
        <v>1077</v>
      </c>
    </row>
    <row r="2593" spans="1:4" x14ac:dyDescent="0.3">
      <c r="A2593" s="2">
        <v>45692</v>
      </c>
      <c r="B2593">
        <v>2025</v>
      </c>
      <c r="C2593" t="s">
        <v>1075</v>
      </c>
      <c r="D2593" t="s">
        <v>1077</v>
      </c>
    </row>
    <row r="2594" spans="1:4" x14ac:dyDescent="0.3">
      <c r="A2594" s="2">
        <v>45693</v>
      </c>
      <c r="B2594">
        <v>2025</v>
      </c>
      <c r="C2594" t="s">
        <v>1075</v>
      </c>
      <c r="D2594" t="s">
        <v>1077</v>
      </c>
    </row>
    <row r="2595" spans="1:4" x14ac:dyDescent="0.3">
      <c r="A2595" s="2">
        <v>45694</v>
      </c>
      <c r="B2595">
        <v>2025</v>
      </c>
      <c r="C2595" t="s">
        <v>1075</v>
      </c>
      <c r="D2595" t="s">
        <v>1077</v>
      </c>
    </row>
    <row r="2596" spans="1:4" x14ac:dyDescent="0.3">
      <c r="A2596" s="2">
        <v>45695</v>
      </c>
      <c r="B2596">
        <v>2025</v>
      </c>
      <c r="C2596" t="s">
        <v>1075</v>
      </c>
      <c r="D2596" t="s">
        <v>1077</v>
      </c>
    </row>
    <row r="2597" spans="1:4" x14ac:dyDescent="0.3">
      <c r="A2597" s="2">
        <v>45696</v>
      </c>
      <c r="B2597">
        <v>2025</v>
      </c>
      <c r="C2597" t="s">
        <v>1075</v>
      </c>
      <c r="D2597" t="s">
        <v>1077</v>
      </c>
    </row>
    <row r="2598" spans="1:4" x14ac:dyDescent="0.3">
      <c r="A2598" s="2">
        <v>45697</v>
      </c>
      <c r="B2598">
        <v>2025</v>
      </c>
      <c r="C2598" t="s">
        <v>1075</v>
      </c>
      <c r="D2598" t="s">
        <v>1077</v>
      </c>
    </row>
    <row r="2599" spans="1:4" x14ac:dyDescent="0.3">
      <c r="A2599" s="2">
        <v>45698</v>
      </c>
      <c r="B2599">
        <v>2025</v>
      </c>
      <c r="C2599" t="s">
        <v>1075</v>
      </c>
      <c r="D2599" t="s">
        <v>1077</v>
      </c>
    </row>
    <row r="2600" spans="1:4" x14ac:dyDescent="0.3">
      <c r="A2600" s="2">
        <v>45699</v>
      </c>
      <c r="B2600">
        <v>2025</v>
      </c>
      <c r="C2600" t="s">
        <v>1075</v>
      </c>
      <c r="D2600" t="s">
        <v>1077</v>
      </c>
    </row>
    <row r="2601" spans="1:4" x14ac:dyDescent="0.3">
      <c r="A2601" s="2">
        <v>45700</v>
      </c>
      <c r="B2601">
        <v>2025</v>
      </c>
      <c r="C2601" t="s">
        <v>1075</v>
      </c>
      <c r="D2601" t="s">
        <v>1077</v>
      </c>
    </row>
    <row r="2602" spans="1:4" x14ac:dyDescent="0.3">
      <c r="A2602" s="2">
        <v>45701</v>
      </c>
      <c r="B2602">
        <v>2025</v>
      </c>
      <c r="C2602" t="s">
        <v>1075</v>
      </c>
      <c r="D2602" t="s">
        <v>1077</v>
      </c>
    </row>
    <row r="2603" spans="1:4" x14ac:dyDescent="0.3">
      <c r="A2603" s="2">
        <v>45702</v>
      </c>
      <c r="B2603">
        <v>2025</v>
      </c>
      <c r="C2603" t="s">
        <v>1075</v>
      </c>
      <c r="D2603" t="s">
        <v>1077</v>
      </c>
    </row>
    <row r="2604" spans="1:4" x14ac:dyDescent="0.3">
      <c r="A2604" s="2">
        <v>45703</v>
      </c>
      <c r="B2604">
        <v>2025</v>
      </c>
      <c r="C2604" t="s">
        <v>1075</v>
      </c>
      <c r="D2604" t="s">
        <v>1077</v>
      </c>
    </row>
    <row r="2605" spans="1:4" x14ac:dyDescent="0.3">
      <c r="A2605" s="2">
        <v>45704</v>
      </c>
      <c r="B2605">
        <v>2025</v>
      </c>
      <c r="C2605" t="s">
        <v>1075</v>
      </c>
      <c r="D2605" t="s">
        <v>1077</v>
      </c>
    </row>
    <row r="2606" spans="1:4" x14ac:dyDescent="0.3">
      <c r="A2606" s="2">
        <v>45705</v>
      </c>
      <c r="B2606">
        <v>2025</v>
      </c>
      <c r="C2606" t="s">
        <v>1075</v>
      </c>
      <c r="D2606" t="s">
        <v>1077</v>
      </c>
    </row>
    <row r="2607" spans="1:4" x14ac:dyDescent="0.3">
      <c r="A2607" s="2">
        <v>45706</v>
      </c>
      <c r="B2607">
        <v>2025</v>
      </c>
      <c r="C2607" t="s">
        <v>1075</v>
      </c>
      <c r="D2607" t="s">
        <v>1077</v>
      </c>
    </row>
    <row r="2608" spans="1:4" x14ac:dyDescent="0.3">
      <c r="A2608" s="2">
        <v>45707</v>
      </c>
      <c r="B2608">
        <v>2025</v>
      </c>
      <c r="C2608" t="s">
        <v>1075</v>
      </c>
      <c r="D2608" t="s">
        <v>1077</v>
      </c>
    </row>
    <row r="2609" spans="1:4" x14ac:dyDescent="0.3">
      <c r="A2609" s="2">
        <v>45708</v>
      </c>
      <c r="B2609">
        <v>2025</v>
      </c>
      <c r="C2609" t="s">
        <v>1075</v>
      </c>
      <c r="D2609" t="s">
        <v>1077</v>
      </c>
    </row>
    <row r="2610" spans="1:4" x14ac:dyDescent="0.3">
      <c r="A2610" s="2">
        <v>45709</v>
      </c>
      <c r="B2610">
        <v>2025</v>
      </c>
      <c r="C2610" t="s">
        <v>1075</v>
      </c>
      <c r="D2610" t="s">
        <v>1077</v>
      </c>
    </row>
    <row r="2611" spans="1:4" x14ac:dyDescent="0.3">
      <c r="A2611" s="2">
        <v>45710</v>
      </c>
      <c r="B2611">
        <v>2025</v>
      </c>
      <c r="C2611" t="s">
        <v>1075</v>
      </c>
      <c r="D2611" t="s">
        <v>1077</v>
      </c>
    </row>
    <row r="2612" spans="1:4" x14ac:dyDescent="0.3">
      <c r="A2612" s="2">
        <v>45711</v>
      </c>
      <c r="B2612">
        <v>2025</v>
      </c>
      <c r="C2612" t="s">
        <v>1075</v>
      </c>
      <c r="D2612" t="s">
        <v>1077</v>
      </c>
    </row>
    <row r="2613" spans="1:4" x14ac:dyDescent="0.3">
      <c r="A2613" s="2">
        <v>45712</v>
      </c>
      <c r="B2613">
        <v>2025</v>
      </c>
      <c r="C2613" t="s">
        <v>1075</v>
      </c>
      <c r="D2613" t="s">
        <v>1077</v>
      </c>
    </row>
    <row r="2614" spans="1:4" x14ac:dyDescent="0.3">
      <c r="A2614" s="2">
        <v>45713</v>
      </c>
      <c r="B2614">
        <v>2025</v>
      </c>
      <c r="C2614" t="s">
        <v>1075</v>
      </c>
      <c r="D2614" t="s">
        <v>1077</v>
      </c>
    </row>
    <row r="2615" spans="1:4" x14ac:dyDescent="0.3">
      <c r="A2615" s="2">
        <v>45714</v>
      </c>
      <c r="B2615">
        <v>2025</v>
      </c>
      <c r="C2615" t="s">
        <v>1075</v>
      </c>
      <c r="D2615" t="s">
        <v>1077</v>
      </c>
    </row>
    <row r="2616" spans="1:4" x14ac:dyDescent="0.3">
      <c r="A2616" s="2">
        <v>45715</v>
      </c>
      <c r="B2616">
        <v>2025</v>
      </c>
      <c r="C2616" t="s">
        <v>1075</v>
      </c>
      <c r="D2616" t="s">
        <v>1077</v>
      </c>
    </row>
    <row r="2617" spans="1:4" x14ac:dyDescent="0.3">
      <c r="A2617" s="2">
        <v>45716</v>
      </c>
      <c r="B2617">
        <v>2025</v>
      </c>
      <c r="C2617" t="s">
        <v>1075</v>
      </c>
      <c r="D2617" t="s">
        <v>1077</v>
      </c>
    </row>
    <row r="2618" spans="1:4" x14ac:dyDescent="0.3">
      <c r="A2618" s="2">
        <v>45717</v>
      </c>
      <c r="B2618">
        <v>2025</v>
      </c>
      <c r="C2618" t="s">
        <v>1075</v>
      </c>
      <c r="D2618" t="s">
        <v>1078</v>
      </c>
    </row>
    <row r="2619" spans="1:4" x14ac:dyDescent="0.3">
      <c r="A2619" s="2">
        <v>45718</v>
      </c>
      <c r="B2619">
        <v>2025</v>
      </c>
      <c r="C2619" t="s">
        <v>1075</v>
      </c>
      <c r="D2619" t="s">
        <v>1078</v>
      </c>
    </row>
    <row r="2620" spans="1:4" x14ac:dyDescent="0.3">
      <c r="A2620" s="2">
        <v>45719</v>
      </c>
      <c r="B2620">
        <v>2025</v>
      </c>
      <c r="C2620" t="s">
        <v>1075</v>
      </c>
      <c r="D2620" t="s">
        <v>1078</v>
      </c>
    </row>
    <row r="2621" spans="1:4" x14ac:dyDescent="0.3">
      <c r="A2621" s="2">
        <v>45720</v>
      </c>
      <c r="B2621">
        <v>2025</v>
      </c>
      <c r="C2621" t="s">
        <v>1075</v>
      </c>
      <c r="D2621" t="s">
        <v>1078</v>
      </c>
    </row>
    <row r="2622" spans="1:4" x14ac:dyDescent="0.3">
      <c r="A2622" s="2">
        <v>45721</v>
      </c>
      <c r="B2622">
        <v>2025</v>
      </c>
      <c r="C2622" t="s">
        <v>1075</v>
      </c>
      <c r="D2622" t="s">
        <v>1078</v>
      </c>
    </row>
    <row r="2623" spans="1:4" x14ac:dyDescent="0.3">
      <c r="A2623" s="2">
        <v>45722</v>
      </c>
      <c r="B2623">
        <v>2025</v>
      </c>
      <c r="C2623" t="s">
        <v>1075</v>
      </c>
      <c r="D2623" t="s">
        <v>1078</v>
      </c>
    </row>
    <row r="2624" spans="1:4" x14ac:dyDescent="0.3">
      <c r="A2624" s="2">
        <v>45723</v>
      </c>
      <c r="B2624">
        <v>2025</v>
      </c>
      <c r="C2624" t="s">
        <v>1075</v>
      </c>
      <c r="D2624" t="s">
        <v>1078</v>
      </c>
    </row>
    <row r="2625" spans="1:4" x14ac:dyDescent="0.3">
      <c r="A2625" s="2">
        <v>45724</v>
      </c>
      <c r="B2625">
        <v>2025</v>
      </c>
      <c r="C2625" t="s">
        <v>1075</v>
      </c>
      <c r="D2625" t="s">
        <v>1078</v>
      </c>
    </row>
    <row r="2626" spans="1:4" x14ac:dyDescent="0.3">
      <c r="A2626" s="2">
        <v>45725</v>
      </c>
      <c r="B2626">
        <v>2025</v>
      </c>
      <c r="C2626" t="s">
        <v>1075</v>
      </c>
      <c r="D2626" t="s">
        <v>1078</v>
      </c>
    </row>
    <row r="2627" spans="1:4" x14ac:dyDescent="0.3">
      <c r="A2627" s="2">
        <v>45726</v>
      </c>
      <c r="B2627">
        <v>2025</v>
      </c>
      <c r="C2627" t="s">
        <v>1075</v>
      </c>
      <c r="D2627" t="s">
        <v>1078</v>
      </c>
    </row>
    <row r="2628" spans="1:4" x14ac:dyDescent="0.3">
      <c r="A2628" s="2">
        <v>45727</v>
      </c>
      <c r="B2628">
        <v>2025</v>
      </c>
      <c r="C2628" t="s">
        <v>1075</v>
      </c>
      <c r="D2628" t="s">
        <v>1078</v>
      </c>
    </row>
    <row r="2629" spans="1:4" x14ac:dyDescent="0.3">
      <c r="A2629" s="2">
        <v>45728</v>
      </c>
      <c r="B2629">
        <v>2025</v>
      </c>
      <c r="C2629" t="s">
        <v>1075</v>
      </c>
      <c r="D2629" t="s">
        <v>1078</v>
      </c>
    </row>
    <row r="2630" spans="1:4" x14ac:dyDescent="0.3">
      <c r="A2630" s="2">
        <v>45729</v>
      </c>
      <c r="B2630">
        <v>2025</v>
      </c>
      <c r="C2630" t="s">
        <v>1075</v>
      </c>
      <c r="D2630" t="s">
        <v>1078</v>
      </c>
    </row>
    <row r="2631" spans="1:4" x14ac:dyDescent="0.3">
      <c r="A2631" s="2">
        <v>45730</v>
      </c>
      <c r="B2631">
        <v>2025</v>
      </c>
      <c r="C2631" t="s">
        <v>1075</v>
      </c>
      <c r="D2631" t="s">
        <v>1078</v>
      </c>
    </row>
    <row r="2632" spans="1:4" x14ac:dyDescent="0.3">
      <c r="A2632" s="2">
        <v>45731</v>
      </c>
      <c r="B2632">
        <v>2025</v>
      </c>
      <c r="C2632" t="s">
        <v>1075</v>
      </c>
      <c r="D2632" t="s">
        <v>1078</v>
      </c>
    </row>
    <row r="2633" spans="1:4" x14ac:dyDescent="0.3">
      <c r="A2633" s="2">
        <v>45732</v>
      </c>
      <c r="B2633">
        <v>2025</v>
      </c>
      <c r="C2633" t="s">
        <v>1075</v>
      </c>
      <c r="D2633" t="s">
        <v>1078</v>
      </c>
    </row>
    <row r="2634" spans="1:4" x14ac:dyDescent="0.3">
      <c r="A2634" s="2">
        <v>45733</v>
      </c>
      <c r="B2634">
        <v>2025</v>
      </c>
      <c r="C2634" t="s">
        <v>1075</v>
      </c>
      <c r="D2634" t="s">
        <v>1078</v>
      </c>
    </row>
    <row r="2635" spans="1:4" x14ac:dyDescent="0.3">
      <c r="A2635" s="2">
        <v>45734</v>
      </c>
      <c r="B2635">
        <v>2025</v>
      </c>
      <c r="C2635" t="s">
        <v>1075</v>
      </c>
      <c r="D2635" t="s">
        <v>1078</v>
      </c>
    </row>
    <row r="2636" spans="1:4" x14ac:dyDescent="0.3">
      <c r="A2636" s="2">
        <v>45735</v>
      </c>
      <c r="B2636">
        <v>2025</v>
      </c>
      <c r="C2636" t="s">
        <v>1075</v>
      </c>
      <c r="D2636" t="s">
        <v>1078</v>
      </c>
    </row>
    <row r="2637" spans="1:4" x14ac:dyDescent="0.3">
      <c r="A2637" s="2">
        <v>45736</v>
      </c>
      <c r="B2637">
        <v>2025</v>
      </c>
      <c r="C2637" t="s">
        <v>1075</v>
      </c>
      <c r="D2637" t="s">
        <v>1078</v>
      </c>
    </row>
    <row r="2638" spans="1:4" x14ac:dyDescent="0.3">
      <c r="A2638" s="2">
        <v>45737</v>
      </c>
      <c r="B2638">
        <v>2025</v>
      </c>
      <c r="C2638" t="s">
        <v>1075</v>
      </c>
      <c r="D2638" t="s">
        <v>1078</v>
      </c>
    </row>
    <row r="2639" spans="1:4" x14ac:dyDescent="0.3">
      <c r="A2639" s="2">
        <v>45738</v>
      </c>
      <c r="B2639">
        <v>2025</v>
      </c>
      <c r="C2639" t="s">
        <v>1075</v>
      </c>
      <c r="D2639" t="s">
        <v>1078</v>
      </c>
    </row>
    <row r="2640" spans="1:4" x14ac:dyDescent="0.3">
      <c r="A2640" s="2">
        <v>45739</v>
      </c>
      <c r="B2640">
        <v>2025</v>
      </c>
      <c r="C2640" t="s">
        <v>1075</v>
      </c>
      <c r="D2640" t="s">
        <v>1078</v>
      </c>
    </row>
    <row r="2641" spans="1:4" x14ac:dyDescent="0.3">
      <c r="A2641" s="2">
        <v>45740</v>
      </c>
      <c r="B2641">
        <v>2025</v>
      </c>
      <c r="C2641" t="s">
        <v>1075</v>
      </c>
      <c r="D2641" t="s">
        <v>1078</v>
      </c>
    </row>
    <row r="2642" spans="1:4" x14ac:dyDescent="0.3">
      <c r="A2642" s="2">
        <v>45741</v>
      </c>
      <c r="B2642">
        <v>2025</v>
      </c>
      <c r="C2642" t="s">
        <v>1075</v>
      </c>
      <c r="D2642" t="s">
        <v>1078</v>
      </c>
    </row>
    <row r="2643" spans="1:4" x14ac:dyDescent="0.3">
      <c r="A2643" s="2">
        <v>45742</v>
      </c>
      <c r="B2643">
        <v>2025</v>
      </c>
      <c r="C2643" t="s">
        <v>1075</v>
      </c>
      <c r="D2643" t="s">
        <v>1078</v>
      </c>
    </row>
    <row r="2644" spans="1:4" x14ac:dyDescent="0.3">
      <c r="A2644" s="2">
        <v>45743</v>
      </c>
      <c r="B2644">
        <v>2025</v>
      </c>
      <c r="C2644" t="s">
        <v>1075</v>
      </c>
      <c r="D2644" t="s">
        <v>1078</v>
      </c>
    </row>
    <row r="2645" spans="1:4" x14ac:dyDescent="0.3">
      <c r="A2645" s="2">
        <v>45744</v>
      </c>
      <c r="B2645">
        <v>2025</v>
      </c>
      <c r="C2645" t="s">
        <v>1075</v>
      </c>
      <c r="D2645" t="s">
        <v>1078</v>
      </c>
    </row>
    <row r="2646" spans="1:4" x14ac:dyDescent="0.3">
      <c r="A2646" s="2">
        <v>45745</v>
      </c>
      <c r="B2646">
        <v>2025</v>
      </c>
      <c r="C2646" t="s">
        <v>1075</v>
      </c>
      <c r="D2646" t="s">
        <v>1078</v>
      </c>
    </row>
    <row r="2647" spans="1:4" x14ac:dyDescent="0.3">
      <c r="A2647" s="2">
        <v>45746</v>
      </c>
      <c r="B2647">
        <v>2025</v>
      </c>
      <c r="C2647" t="s">
        <v>1075</v>
      </c>
      <c r="D2647" t="s">
        <v>1078</v>
      </c>
    </row>
    <row r="2648" spans="1:4" x14ac:dyDescent="0.3">
      <c r="A2648" s="2">
        <v>45747</v>
      </c>
      <c r="B2648">
        <v>2025</v>
      </c>
      <c r="C2648" t="s">
        <v>1075</v>
      </c>
      <c r="D2648" t="s">
        <v>1078</v>
      </c>
    </row>
    <row r="2649" spans="1:4" x14ac:dyDescent="0.3">
      <c r="A2649" s="2">
        <v>45748</v>
      </c>
      <c r="B2649">
        <v>2025</v>
      </c>
      <c r="C2649" t="s">
        <v>1079</v>
      </c>
      <c r="D2649" t="s">
        <v>1080</v>
      </c>
    </row>
    <row r="2650" spans="1:4" x14ac:dyDescent="0.3">
      <c r="A2650" s="2">
        <v>45749</v>
      </c>
      <c r="B2650">
        <v>2025</v>
      </c>
      <c r="C2650" t="s">
        <v>1079</v>
      </c>
      <c r="D2650" t="s">
        <v>1080</v>
      </c>
    </row>
    <row r="2651" spans="1:4" x14ac:dyDescent="0.3">
      <c r="A2651" s="2">
        <v>45750</v>
      </c>
      <c r="B2651">
        <v>2025</v>
      </c>
      <c r="C2651" t="s">
        <v>1079</v>
      </c>
      <c r="D2651" t="s">
        <v>1080</v>
      </c>
    </row>
    <row r="2652" spans="1:4" x14ac:dyDescent="0.3">
      <c r="A2652" s="2">
        <v>45751</v>
      </c>
      <c r="B2652">
        <v>2025</v>
      </c>
      <c r="C2652" t="s">
        <v>1079</v>
      </c>
      <c r="D2652" t="s">
        <v>1080</v>
      </c>
    </row>
    <row r="2653" spans="1:4" x14ac:dyDescent="0.3">
      <c r="A2653" s="2">
        <v>45752</v>
      </c>
      <c r="B2653">
        <v>2025</v>
      </c>
      <c r="C2653" t="s">
        <v>1079</v>
      </c>
      <c r="D2653" t="s">
        <v>1080</v>
      </c>
    </row>
    <row r="2654" spans="1:4" x14ac:dyDescent="0.3">
      <c r="A2654" s="2">
        <v>45753</v>
      </c>
      <c r="B2654">
        <v>2025</v>
      </c>
      <c r="C2654" t="s">
        <v>1079</v>
      </c>
      <c r="D2654" t="s">
        <v>1080</v>
      </c>
    </row>
    <row r="2655" spans="1:4" x14ac:dyDescent="0.3">
      <c r="A2655" s="2">
        <v>45754</v>
      </c>
      <c r="B2655">
        <v>2025</v>
      </c>
      <c r="C2655" t="s">
        <v>1079</v>
      </c>
      <c r="D2655" t="s">
        <v>1080</v>
      </c>
    </row>
    <row r="2656" spans="1:4" x14ac:dyDescent="0.3">
      <c r="A2656" s="2">
        <v>45755</v>
      </c>
      <c r="B2656">
        <v>2025</v>
      </c>
      <c r="C2656" t="s">
        <v>1079</v>
      </c>
      <c r="D2656" t="s">
        <v>1080</v>
      </c>
    </row>
    <row r="2657" spans="1:4" x14ac:dyDescent="0.3">
      <c r="A2657" s="2">
        <v>45756</v>
      </c>
      <c r="B2657">
        <v>2025</v>
      </c>
      <c r="C2657" t="s">
        <v>1079</v>
      </c>
      <c r="D2657" t="s">
        <v>1080</v>
      </c>
    </row>
    <row r="2658" spans="1:4" x14ac:dyDescent="0.3">
      <c r="A2658" s="2">
        <v>45757</v>
      </c>
      <c r="B2658">
        <v>2025</v>
      </c>
      <c r="C2658" t="s">
        <v>1079</v>
      </c>
      <c r="D2658" t="s">
        <v>1080</v>
      </c>
    </row>
    <row r="2659" spans="1:4" x14ac:dyDescent="0.3">
      <c r="A2659" s="2">
        <v>45758</v>
      </c>
      <c r="B2659">
        <v>2025</v>
      </c>
      <c r="C2659" t="s">
        <v>1079</v>
      </c>
      <c r="D2659" t="s">
        <v>1080</v>
      </c>
    </row>
    <row r="2660" spans="1:4" x14ac:dyDescent="0.3">
      <c r="A2660" s="2">
        <v>45759</v>
      </c>
      <c r="B2660">
        <v>2025</v>
      </c>
      <c r="C2660" t="s">
        <v>1079</v>
      </c>
      <c r="D2660" t="s">
        <v>1080</v>
      </c>
    </row>
    <row r="2661" spans="1:4" x14ac:dyDescent="0.3">
      <c r="A2661" s="2">
        <v>45760</v>
      </c>
      <c r="B2661">
        <v>2025</v>
      </c>
      <c r="C2661" t="s">
        <v>1079</v>
      </c>
      <c r="D2661" t="s">
        <v>1080</v>
      </c>
    </row>
    <row r="2662" spans="1:4" x14ac:dyDescent="0.3">
      <c r="A2662" s="2">
        <v>45761</v>
      </c>
      <c r="B2662">
        <v>2025</v>
      </c>
      <c r="C2662" t="s">
        <v>1079</v>
      </c>
      <c r="D2662" t="s">
        <v>1080</v>
      </c>
    </row>
    <row r="2663" spans="1:4" x14ac:dyDescent="0.3">
      <c r="A2663" s="2">
        <v>45762</v>
      </c>
      <c r="B2663">
        <v>2025</v>
      </c>
      <c r="C2663" t="s">
        <v>1079</v>
      </c>
      <c r="D2663" t="s">
        <v>1080</v>
      </c>
    </row>
    <row r="2664" spans="1:4" x14ac:dyDescent="0.3">
      <c r="A2664" s="2">
        <v>45763</v>
      </c>
      <c r="B2664">
        <v>2025</v>
      </c>
      <c r="C2664" t="s">
        <v>1079</v>
      </c>
      <c r="D2664" t="s">
        <v>1080</v>
      </c>
    </row>
    <row r="2665" spans="1:4" x14ac:dyDescent="0.3">
      <c r="A2665" s="2">
        <v>45764</v>
      </c>
      <c r="B2665">
        <v>2025</v>
      </c>
      <c r="C2665" t="s">
        <v>1079</v>
      </c>
      <c r="D2665" t="s">
        <v>1080</v>
      </c>
    </row>
    <row r="2666" spans="1:4" x14ac:dyDescent="0.3">
      <c r="A2666" s="2">
        <v>45765</v>
      </c>
      <c r="B2666">
        <v>2025</v>
      </c>
      <c r="C2666" t="s">
        <v>1079</v>
      </c>
      <c r="D2666" t="s">
        <v>1080</v>
      </c>
    </row>
    <row r="2667" spans="1:4" x14ac:dyDescent="0.3">
      <c r="A2667" s="2">
        <v>45766</v>
      </c>
      <c r="B2667">
        <v>2025</v>
      </c>
      <c r="C2667" t="s">
        <v>1079</v>
      </c>
      <c r="D2667" t="s">
        <v>1080</v>
      </c>
    </row>
    <row r="2668" spans="1:4" x14ac:dyDescent="0.3">
      <c r="A2668" s="2">
        <v>45767</v>
      </c>
      <c r="B2668">
        <v>2025</v>
      </c>
      <c r="C2668" t="s">
        <v>1079</v>
      </c>
      <c r="D2668" t="s">
        <v>1080</v>
      </c>
    </row>
    <row r="2669" spans="1:4" x14ac:dyDescent="0.3">
      <c r="A2669" s="2">
        <v>45768</v>
      </c>
      <c r="B2669">
        <v>2025</v>
      </c>
      <c r="C2669" t="s">
        <v>1079</v>
      </c>
      <c r="D2669" t="s">
        <v>1080</v>
      </c>
    </row>
    <row r="2670" spans="1:4" x14ac:dyDescent="0.3">
      <c r="A2670" s="2">
        <v>45769</v>
      </c>
      <c r="B2670">
        <v>2025</v>
      </c>
      <c r="C2670" t="s">
        <v>1079</v>
      </c>
      <c r="D2670" t="s">
        <v>1080</v>
      </c>
    </row>
    <row r="2671" spans="1:4" x14ac:dyDescent="0.3">
      <c r="A2671" s="2">
        <v>45770</v>
      </c>
      <c r="B2671">
        <v>2025</v>
      </c>
      <c r="C2671" t="s">
        <v>1079</v>
      </c>
      <c r="D2671" t="s">
        <v>1080</v>
      </c>
    </row>
    <row r="2672" spans="1:4" x14ac:dyDescent="0.3">
      <c r="A2672" s="2">
        <v>45771</v>
      </c>
      <c r="B2672">
        <v>2025</v>
      </c>
      <c r="C2672" t="s">
        <v>1079</v>
      </c>
      <c r="D2672" t="s">
        <v>1080</v>
      </c>
    </row>
    <row r="2673" spans="1:4" x14ac:dyDescent="0.3">
      <c r="A2673" s="2">
        <v>45772</v>
      </c>
      <c r="B2673">
        <v>2025</v>
      </c>
      <c r="C2673" t="s">
        <v>1079</v>
      </c>
      <c r="D2673" t="s">
        <v>1080</v>
      </c>
    </row>
    <row r="2674" spans="1:4" x14ac:dyDescent="0.3">
      <c r="A2674" s="2">
        <v>45773</v>
      </c>
      <c r="B2674">
        <v>2025</v>
      </c>
      <c r="C2674" t="s">
        <v>1079</v>
      </c>
      <c r="D2674" t="s">
        <v>1080</v>
      </c>
    </row>
    <row r="2675" spans="1:4" x14ac:dyDescent="0.3">
      <c r="A2675" s="2">
        <v>45774</v>
      </c>
      <c r="B2675">
        <v>2025</v>
      </c>
      <c r="C2675" t="s">
        <v>1079</v>
      </c>
      <c r="D2675" t="s">
        <v>1080</v>
      </c>
    </row>
    <row r="2676" spans="1:4" x14ac:dyDescent="0.3">
      <c r="A2676" s="2">
        <v>45775</v>
      </c>
      <c r="B2676">
        <v>2025</v>
      </c>
      <c r="C2676" t="s">
        <v>1079</v>
      </c>
      <c r="D2676" t="s">
        <v>1080</v>
      </c>
    </row>
    <row r="2677" spans="1:4" x14ac:dyDescent="0.3">
      <c r="A2677" s="2">
        <v>45776</v>
      </c>
      <c r="B2677">
        <v>2025</v>
      </c>
      <c r="C2677" t="s">
        <v>1079</v>
      </c>
      <c r="D2677" t="s">
        <v>1080</v>
      </c>
    </row>
    <row r="2678" spans="1:4" x14ac:dyDescent="0.3">
      <c r="A2678" s="2">
        <v>45777</v>
      </c>
      <c r="B2678">
        <v>2025</v>
      </c>
      <c r="C2678" t="s">
        <v>1079</v>
      </c>
      <c r="D2678" t="s">
        <v>1080</v>
      </c>
    </row>
    <row r="2679" spans="1:4" x14ac:dyDescent="0.3">
      <c r="A2679" s="2">
        <v>45778</v>
      </c>
      <c r="B2679">
        <v>2025</v>
      </c>
      <c r="C2679" t="s">
        <v>1079</v>
      </c>
      <c r="D2679" t="s">
        <v>1081</v>
      </c>
    </row>
    <row r="2680" spans="1:4" x14ac:dyDescent="0.3">
      <c r="A2680" s="2">
        <v>45779</v>
      </c>
      <c r="B2680">
        <v>2025</v>
      </c>
      <c r="C2680" t="s">
        <v>1079</v>
      </c>
      <c r="D2680" t="s">
        <v>1081</v>
      </c>
    </row>
    <row r="2681" spans="1:4" x14ac:dyDescent="0.3">
      <c r="A2681" s="2">
        <v>45780</v>
      </c>
      <c r="B2681">
        <v>2025</v>
      </c>
      <c r="C2681" t="s">
        <v>1079</v>
      </c>
      <c r="D2681" t="s">
        <v>1081</v>
      </c>
    </row>
    <row r="2682" spans="1:4" x14ac:dyDescent="0.3">
      <c r="A2682" s="2">
        <v>45781</v>
      </c>
      <c r="B2682">
        <v>2025</v>
      </c>
      <c r="C2682" t="s">
        <v>1079</v>
      </c>
      <c r="D2682" t="s">
        <v>1081</v>
      </c>
    </row>
    <row r="2683" spans="1:4" x14ac:dyDescent="0.3">
      <c r="A2683" s="2">
        <v>45782</v>
      </c>
      <c r="B2683">
        <v>2025</v>
      </c>
      <c r="C2683" t="s">
        <v>1079</v>
      </c>
      <c r="D2683" t="s">
        <v>1081</v>
      </c>
    </row>
    <row r="2684" spans="1:4" x14ac:dyDescent="0.3">
      <c r="A2684" s="2">
        <v>45783</v>
      </c>
      <c r="B2684">
        <v>2025</v>
      </c>
      <c r="C2684" t="s">
        <v>1079</v>
      </c>
      <c r="D2684" t="s">
        <v>1081</v>
      </c>
    </row>
    <row r="2685" spans="1:4" x14ac:dyDescent="0.3">
      <c r="A2685" s="2">
        <v>45784</v>
      </c>
      <c r="B2685">
        <v>2025</v>
      </c>
      <c r="C2685" t="s">
        <v>1079</v>
      </c>
      <c r="D2685" t="s">
        <v>1081</v>
      </c>
    </row>
    <row r="2686" spans="1:4" x14ac:dyDescent="0.3">
      <c r="A2686" s="2">
        <v>45785</v>
      </c>
      <c r="B2686">
        <v>2025</v>
      </c>
      <c r="C2686" t="s">
        <v>1079</v>
      </c>
      <c r="D2686" t="s">
        <v>1081</v>
      </c>
    </row>
    <row r="2687" spans="1:4" x14ac:dyDescent="0.3">
      <c r="A2687" s="2">
        <v>45786</v>
      </c>
      <c r="B2687">
        <v>2025</v>
      </c>
      <c r="C2687" t="s">
        <v>1079</v>
      </c>
      <c r="D2687" t="s">
        <v>1081</v>
      </c>
    </row>
    <row r="2688" spans="1:4" x14ac:dyDescent="0.3">
      <c r="A2688" s="2">
        <v>45787</v>
      </c>
      <c r="B2688">
        <v>2025</v>
      </c>
      <c r="C2688" t="s">
        <v>1079</v>
      </c>
      <c r="D2688" t="s">
        <v>1081</v>
      </c>
    </row>
    <row r="2689" spans="1:4" x14ac:dyDescent="0.3">
      <c r="A2689" s="2">
        <v>45788</v>
      </c>
      <c r="B2689">
        <v>2025</v>
      </c>
      <c r="C2689" t="s">
        <v>1079</v>
      </c>
      <c r="D2689" t="s">
        <v>1081</v>
      </c>
    </row>
    <row r="2690" spans="1:4" x14ac:dyDescent="0.3">
      <c r="A2690" s="2">
        <v>45789</v>
      </c>
      <c r="B2690">
        <v>2025</v>
      </c>
      <c r="C2690" t="s">
        <v>1079</v>
      </c>
      <c r="D2690" t="s">
        <v>1081</v>
      </c>
    </row>
    <row r="2691" spans="1:4" x14ac:dyDescent="0.3">
      <c r="A2691" s="2">
        <v>45790</v>
      </c>
      <c r="B2691">
        <v>2025</v>
      </c>
      <c r="C2691" t="s">
        <v>1079</v>
      </c>
      <c r="D2691" t="s">
        <v>1081</v>
      </c>
    </row>
    <row r="2692" spans="1:4" x14ac:dyDescent="0.3">
      <c r="A2692" s="2">
        <v>45791</v>
      </c>
      <c r="B2692">
        <v>2025</v>
      </c>
      <c r="C2692" t="s">
        <v>1079</v>
      </c>
      <c r="D2692" t="s">
        <v>1081</v>
      </c>
    </row>
    <row r="2693" spans="1:4" x14ac:dyDescent="0.3">
      <c r="A2693" s="2">
        <v>45792</v>
      </c>
      <c r="B2693">
        <v>2025</v>
      </c>
      <c r="C2693" t="s">
        <v>1079</v>
      </c>
      <c r="D2693" t="s">
        <v>1081</v>
      </c>
    </row>
    <row r="2694" spans="1:4" x14ac:dyDescent="0.3">
      <c r="A2694" s="2">
        <v>45793</v>
      </c>
      <c r="B2694">
        <v>2025</v>
      </c>
      <c r="C2694" t="s">
        <v>1079</v>
      </c>
      <c r="D2694" t="s">
        <v>1081</v>
      </c>
    </row>
    <row r="2695" spans="1:4" x14ac:dyDescent="0.3">
      <c r="A2695" s="2">
        <v>45794</v>
      </c>
      <c r="B2695">
        <v>2025</v>
      </c>
      <c r="C2695" t="s">
        <v>1079</v>
      </c>
      <c r="D2695" t="s">
        <v>1081</v>
      </c>
    </row>
    <row r="2696" spans="1:4" x14ac:dyDescent="0.3">
      <c r="A2696" s="2">
        <v>45795</v>
      </c>
      <c r="B2696">
        <v>2025</v>
      </c>
      <c r="C2696" t="s">
        <v>1079</v>
      </c>
      <c r="D2696" t="s">
        <v>1081</v>
      </c>
    </row>
    <row r="2697" spans="1:4" x14ac:dyDescent="0.3">
      <c r="A2697" s="2">
        <v>45796</v>
      </c>
      <c r="B2697">
        <v>2025</v>
      </c>
      <c r="C2697" t="s">
        <v>1079</v>
      </c>
      <c r="D2697" t="s">
        <v>1081</v>
      </c>
    </row>
    <row r="2698" spans="1:4" x14ac:dyDescent="0.3">
      <c r="A2698" s="2">
        <v>45797</v>
      </c>
      <c r="B2698">
        <v>2025</v>
      </c>
      <c r="C2698" t="s">
        <v>1079</v>
      </c>
      <c r="D2698" t="s">
        <v>1081</v>
      </c>
    </row>
    <row r="2699" spans="1:4" x14ac:dyDescent="0.3">
      <c r="A2699" s="2">
        <v>45798</v>
      </c>
      <c r="B2699">
        <v>2025</v>
      </c>
      <c r="C2699" t="s">
        <v>1079</v>
      </c>
      <c r="D2699" t="s">
        <v>1081</v>
      </c>
    </row>
    <row r="2700" spans="1:4" x14ac:dyDescent="0.3">
      <c r="A2700" s="2">
        <v>45799</v>
      </c>
      <c r="B2700">
        <v>2025</v>
      </c>
      <c r="C2700" t="s">
        <v>1079</v>
      </c>
      <c r="D2700" t="s">
        <v>1081</v>
      </c>
    </row>
    <row r="2701" spans="1:4" x14ac:dyDescent="0.3">
      <c r="A2701" s="2">
        <v>45800</v>
      </c>
      <c r="B2701">
        <v>2025</v>
      </c>
      <c r="C2701" t="s">
        <v>1079</v>
      </c>
      <c r="D2701" t="s">
        <v>1081</v>
      </c>
    </row>
    <row r="2702" spans="1:4" x14ac:dyDescent="0.3">
      <c r="A2702" s="2">
        <v>45801</v>
      </c>
      <c r="B2702">
        <v>2025</v>
      </c>
      <c r="C2702" t="s">
        <v>1079</v>
      </c>
      <c r="D2702" t="s">
        <v>1081</v>
      </c>
    </row>
    <row r="2703" spans="1:4" x14ac:dyDescent="0.3">
      <c r="A2703" s="2">
        <v>45802</v>
      </c>
      <c r="B2703">
        <v>2025</v>
      </c>
      <c r="C2703" t="s">
        <v>1079</v>
      </c>
      <c r="D2703" t="s">
        <v>1081</v>
      </c>
    </row>
    <row r="2704" spans="1:4" x14ac:dyDescent="0.3">
      <c r="A2704" s="2">
        <v>45803</v>
      </c>
      <c r="B2704">
        <v>2025</v>
      </c>
      <c r="C2704" t="s">
        <v>1079</v>
      </c>
      <c r="D2704" t="s">
        <v>1081</v>
      </c>
    </row>
    <row r="2705" spans="1:4" x14ac:dyDescent="0.3">
      <c r="A2705" s="2">
        <v>45804</v>
      </c>
      <c r="B2705">
        <v>2025</v>
      </c>
      <c r="C2705" t="s">
        <v>1079</v>
      </c>
      <c r="D2705" t="s">
        <v>1081</v>
      </c>
    </row>
    <row r="2706" spans="1:4" x14ac:dyDescent="0.3">
      <c r="A2706" s="2">
        <v>45805</v>
      </c>
      <c r="B2706">
        <v>2025</v>
      </c>
      <c r="C2706" t="s">
        <v>1079</v>
      </c>
      <c r="D2706" t="s">
        <v>1081</v>
      </c>
    </row>
    <row r="2707" spans="1:4" x14ac:dyDescent="0.3">
      <c r="A2707" s="2">
        <v>45806</v>
      </c>
      <c r="B2707">
        <v>2025</v>
      </c>
      <c r="C2707" t="s">
        <v>1079</v>
      </c>
      <c r="D2707" t="s">
        <v>1081</v>
      </c>
    </row>
    <row r="2708" spans="1:4" x14ac:dyDescent="0.3">
      <c r="A2708" s="2">
        <v>45807</v>
      </c>
      <c r="B2708">
        <v>2025</v>
      </c>
      <c r="C2708" t="s">
        <v>1079</v>
      </c>
      <c r="D2708" t="s">
        <v>1081</v>
      </c>
    </row>
    <row r="2709" spans="1:4" x14ac:dyDescent="0.3">
      <c r="A2709" s="2">
        <v>45808</v>
      </c>
      <c r="B2709">
        <v>2025</v>
      </c>
      <c r="C2709" t="s">
        <v>1079</v>
      </c>
      <c r="D2709" t="s">
        <v>1081</v>
      </c>
    </row>
    <row r="2710" spans="1:4" x14ac:dyDescent="0.3">
      <c r="A2710" s="2">
        <v>45809</v>
      </c>
      <c r="B2710">
        <v>2025</v>
      </c>
      <c r="C2710" t="s">
        <v>1079</v>
      </c>
      <c r="D2710" t="s">
        <v>1082</v>
      </c>
    </row>
    <row r="2711" spans="1:4" x14ac:dyDescent="0.3">
      <c r="A2711" s="2">
        <v>45810</v>
      </c>
      <c r="B2711">
        <v>2025</v>
      </c>
      <c r="C2711" t="s">
        <v>1079</v>
      </c>
      <c r="D2711" t="s">
        <v>1082</v>
      </c>
    </row>
    <row r="2712" spans="1:4" x14ac:dyDescent="0.3">
      <c r="A2712" s="2">
        <v>45811</v>
      </c>
      <c r="B2712">
        <v>2025</v>
      </c>
      <c r="C2712" t="s">
        <v>1079</v>
      </c>
      <c r="D2712" t="s">
        <v>1082</v>
      </c>
    </row>
    <row r="2713" spans="1:4" x14ac:dyDescent="0.3">
      <c r="A2713" s="2">
        <v>45812</v>
      </c>
      <c r="B2713">
        <v>2025</v>
      </c>
      <c r="C2713" t="s">
        <v>1079</v>
      </c>
      <c r="D2713" t="s">
        <v>1082</v>
      </c>
    </row>
    <row r="2714" spans="1:4" x14ac:dyDescent="0.3">
      <c r="A2714" s="2">
        <v>45813</v>
      </c>
      <c r="B2714">
        <v>2025</v>
      </c>
      <c r="C2714" t="s">
        <v>1079</v>
      </c>
      <c r="D2714" t="s">
        <v>1082</v>
      </c>
    </row>
    <row r="2715" spans="1:4" x14ac:dyDescent="0.3">
      <c r="A2715" s="2">
        <v>45814</v>
      </c>
      <c r="B2715">
        <v>2025</v>
      </c>
      <c r="C2715" t="s">
        <v>1079</v>
      </c>
      <c r="D2715" t="s">
        <v>1082</v>
      </c>
    </row>
    <row r="2716" spans="1:4" x14ac:dyDescent="0.3">
      <c r="A2716" s="2">
        <v>45815</v>
      </c>
      <c r="B2716">
        <v>2025</v>
      </c>
      <c r="C2716" t="s">
        <v>1079</v>
      </c>
      <c r="D2716" t="s">
        <v>1082</v>
      </c>
    </row>
    <row r="2717" spans="1:4" x14ac:dyDescent="0.3">
      <c r="A2717" s="2">
        <v>45816</v>
      </c>
      <c r="B2717">
        <v>2025</v>
      </c>
      <c r="C2717" t="s">
        <v>1079</v>
      </c>
      <c r="D2717" t="s">
        <v>1082</v>
      </c>
    </row>
    <row r="2718" spans="1:4" x14ac:dyDescent="0.3">
      <c r="A2718" s="2">
        <v>45817</v>
      </c>
      <c r="B2718">
        <v>2025</v>
      </c>
      <c r="C2718" t="s">
        <v>1079</v>
      </c>
      <c r="D2718" t="s">
        <v>1082</v>
      </c>
    </row>
    <row r="2719" spans="1:4" x14ac:dyDescent="0.3">
      <c r="A2719" s="2">
        <v>45818</v>
      </c>
      <c r="B2719">
        <v>2025</v>
      </c>
      <c r="C2719" t="s">
        <v>1079</v>
      </c>
      <c r="D2719" t="s">
        <v>1082</v>
      </c>
    </row>
    <row r="2720" spans="1:4" x14ac:dyDescent="0.3">
      <c r="A2720" s="2">
        <v>45819</v>
      </c>
      <c r="B2720">
        <v>2025</v>
      </c>
      <c r="C2720" t="s">
        <v>1079</v>
      </c>
      <c r="D2720" t="s">
        <v>1082</v>
      </c>
    </row>
    <row r="2721" spans="1:4" x14ac:dyDescent="0.3">
      <c r="A2721" s="2">
        <v>45820</v>
      </c>
      <c r="B2721">
        <v>2025</v>
      </c>
      <c r="C2721" t="s">
        <v>1079</v>
      </c>
      <c r="D2721" t="s">
        <v>1082</v>
      </c>
    </row>
    <row r="2722" spans="1:4" x14ac:dyDescent="0.3">
      <c r="A2722" s="2">
        <v>45821</v>
      </c>
      <c r="B2722">
        <v>2025</v>
      </c>
      <c r="C2722" t="s">
        <v>1079</v>
      </c>
      <c r="D2722" t="s">
        <v>1082</v>
      </c>
    </row>
    <row r="2723" spans="1:4" x14ac:dyDescent="0.3">
      <c r="A2723" s="2">
        <v>45822</v>
      </c>
      <c r="B2723">
        <v>2025</v>
      </c>
      <c r="C2723" t="s">
        <v>1079</v>
      </c>
      <c r="D2723" t="s">
        <v>1082</v>
      </c>
    </row>
    <row r="2724" spans="1:4" x14ac:dyDescent="0.3">
      <c r="A2724" s="2">
        <v>45823</v>
      </c>
      <c r="B2724">
        <v>2025</v>
      </c>
      <c r="C2724" t="s">
        <v>1079</v>
      </c>
      <c r="D2724" t="s">
        <v>1082</v>
      </c>
    </row>
    <row r="2725" spans="1:4" x14ac:dyDescent="0.3">
      <c r="A2725" s="2">
        <v>45824</v>
      </c>
      <c r="B2725">
        <v>2025</v>
      </c>
      <c r="C2725" t="s">
        <v>1079</v>
      </c>
      <c r="D2725" t="s">
        <v>1082</v>
      </c>
    </row>
    <row r="2726" spans="1:4" x14ac:dyDescent="0.3">
      <c r="A2726" s="2">
        <v>45825</v>
      </c>
      <c r="B2726">
        <v>2025</v>
      </c>
      <c r="C2726" t="s">
        <v>1079</v>
      </c>
      <c r="D2726" t="s">
        <v>1082</v>
      </c>
    </row>
    <row r="2727" spans="1:4" x14ac:dyDescent="0.3">
      <c r="A2727" s="2">
        <v>45826</v>
      </c>
      <c r="B2727">
        <v>2025</v>
      </c>
      <c r="C2727" t="s">
        <v>1079</v>
      </c>
      <c r="D2727" t="s">
        <v>1082</v>
      </c>
    </row>
    <row r="2728" spans="1:4" x14ac:dyDescent="0.3">
      <c r="A2728" s="2">
        <v>45827</v>
      </c>
      <c r="B2728">
        <v>2025</v>
      </c>
      <c r="C2728" t="s">
        <v>1079</v>
      </c>
      <c r="D2728" t="s">
        <v>1082</v>
      </c>
    </row>
    <row r="2729" spans="1:4" x14ac:dyDescent="0.3">
      <c r="A2729" s="2">
        <v>45828</v>
      </c>
      <c r="B2729">
        <v>2025</v>
      </c>
      <c r="C2729" t="s">
        <v>1079</v>
      </c>
      <c r="D2729" t="s">
        <v>1082</v>
      </c>
    </row>
    <row r="2730" spans="1:4" x14ac:dyDescent="0.3">
      <c r="A2730" s="2">
        <v>45829</v>
      </c>
      <c r="B2730">
        <v>2025</v>
      </c>
      <c r="C2730" t="s">
        <v>1079</v>
      </c>
      <c r="D2730" t="s">
        <v>1082</v>
      </c>
    </row>
    <row r="2731" spans="1:4" x14ac:dyDescent="0.3">
      <c r="A2731" s="2">
        <v>45830</v>
      </c>
      <c r="B2731">
        <v>2025</v>
      </c>
      <c r="C2731" t="s">
        <v>1079</v>
      </c>
      <c r="D2731" t="s">
        <v>1082</v>
      </c>
    </row>
    <row r="2732" spans="1:4" x14ac:dyDescent="0.3">
      <c r="A2732" s="2">
        <v>45831</v>
      </c>
      <c r="B2732">
        <v>2025</v>
      </c>
      <c r="C2732" t="s">
        <v>1079</v>
      </c>
      <c r="D2732" t="s">
        <v>1082</v>
      </c>
    </row>
    <row r="2733" spans="1:4" x14ac:dyDescent="0.3">
      <c r="A2733" s="2">
        <v>45832</v>
      </c>
      <c r="B2733">
        <v>2025</v>
      </c>
      <c r="C2733" t="s">
        <v>1079</v>
      </c>
      <c r="D2733" t="s">
        <v>1082</v>
      </c>
    </row>
    <row r="2734" spans="1:4" x14ac:dyDescent="0.3">
      <c r="A2734" s="2">
        <v>45833</v>
      </c>
      <c r="B2734">
        <v>2025</v>
      </c>
      <c r="C2734" t="s">
        <v>1079</v>
      </c>
      <c r="D2734" t="s">
        <v>1082</v>
      </c>
    </row>
    <row r="2735" spans="1:4" x14ac:dyDescent="0.3">
      <c r="A2735" s="2">
        <v>45834</v>
      </c>
      <c r="B2735">
        <v>2025</v>
      </c>
      <c r="C2735" t="s">
        <v>1079</v>
      </c>
      <c r="D2735" t="s">
        <v>1082</v>
      </c>
    </row>
    <row r="2736" spans="1:4" x14ac:dyDescent="0.3">
      <c r="A2736" s="2">
        <v>45835</v>
      </c>
      <c r="B2736">
        <v>2025</v>
      </c>
      <c r="C2736" t="s">
        <v>1079</v>
      </c>
      <c r="D2736" t="s">
        <v>1082</v>
      </c>
    </row>
    <row r="2737" spans="1:4" x14ac:dyDescent="0.3">
      <c r="A2737" s="2">
        <v>45836</v>
      </c>
      <c r="B2737">
        <v>2025</v>
      </c>
      <c r="C2737" t="s">
        <v>1079</v>
      </c>
      <c r="D2737" t="s">
        <v>1082</v>
      </c>
    </row>
    <row r="2738" spans="1:4" x14ac:dyDescent="0.3">
      <c r="A2738" s="2">
        <v>45837</v>
      </c>
      <c r="B2738">
        <v>2025</v>
      </c>
      <c r="C2738" t="s">
        <v>1079</v>
      </c>
      <c r="D2738" t="s">
        <v>1082</v>
      </c>
    </row>
    <row r="2739" spans="1:4" x14ac:dyDescent="0.3">
      <c r="A2739" s="2">
        <v>45838</v>
      </c>
      <c r="B2739">
        <v>2025</v>
      </c>
      <c r="C2739" t="s">
        <v>1079</v>
      </c>
      <c r="D2739" t="s">
        <v>1082</v>
      </c>
    </row>
    <row r="2740" spans="1:4" x14ac:dyDescent="0.3">
      <c r="A2740" s="2">
        <v>45839</v>
      </c>
      <c r="B2740">
        <v>2025</v>
      </c>
      <c r="C2740" t="s">
        <v>1083</v>
      </c>
      <c r="D2740" t="s">
        <v>1084</v>
      </c>
    </row>
    <row r="2741" spans="1:4" x14ac:dyDescent="0.3">
      <c r="A2741" s="2">
        <v>45840</v>
      </c>
      <c r="B2741">
        <v>2025</v>
      </c>
      <c r="C2741" t="s">
        <v>1083</v>
      </c>
      <c r="D2741" t="s">
        <v>1084</v>
      </c>
    </row>
    <row r="2742" spans="1:4" x14ac:dyDescent="0.3">
      <c r="A2742" s="2">
        <v>45841</v>
      </c>
      <c r="B2742">
        <v>2025</v>
      </c>
      <c r="C2742" t="s">
        <v>1083</v>
      </c>
      <c r="D2742" t="s">
        <v>1084</v>
      </c>
    </row>
    <row r="2743" spans="1:4" x14ac:dyDescent="0.3">
      <c r="A2743" s="2">
        <v>45842</v>
      </c>
      <c r="B2743">
        <v>2025</v>
      </c>
      <c r="C2743" t="s">
        <v>1083</v>
      </c>
      <c r="D2743" t="s">
        <v>1084</v>
      </c>
    </row>
    <row r="2744" spans="1:4" x14ac:dyDescent="0.3">
      <c r="A2744" s="2">
        <v>45843</v>
      </c>
      <c r="B2744">
        <v>2025</v>
      </c>
      <c r="C2744" t="s">
        <v>1083</v>
      </c>
      <c r="D2744" t="s">
        <v>1084</v>
      </c>
    </row>
    <row r="2745" spans="1:4" x14ac:dyDescent="0.3">
      <c r="A2745" s="2">
        <v>45844</v>
      </c>
      <c r="B2745">
        <v>2025</v>
      </c>
      <c r="C2745" t="s">
        <v>1083</v>
      </c>
      <c r="D2745" t="s">
        <v>1084</v>
      </c>
    </row>
    <row r="2746" spans="1:4" x14ac:dyDescent="0.3">
      <c r="A2746" s="2">
        <v>45845</v>
      </c>
      <c r="B2746">
        <v>2025</v>
      </c>
      <c r="C2746" t="s">
        <v>1083</v>
      </c>
      <c r="D2746" t="s">
        <v>1084</v>
      </c>
    </row>
    <row r="2747" spans="1:4" x14ac:dyDescent="0.3">
      <c r="A2747" s="2">
        <v>45846</v>
      </c>
      <c r="B2747">
        <v>2025</v>
      </c>
      <c r="C2747" t="s">
        <v>1083</v>
      </c>
      <c r="D2747" t="s">
        <v>1084</v>
      </c>
    </row>
    <row r="2748" spans="1:4" x14ac:dyDescent="0.3">
      <c r="A2748" s="2">
        <v>45847</v>
      </c>
      <c r="B2748">
        <v>2025</v>
      </c>
      <c r="C2748" t="s">
        <v>1083</v>
      </c>
      <c r="D2748" t="s">
        <v>1084</v>
      </c>
    </row>
    <row r="2749" spans="1:4" x14ac:dyDescent="0.3">
      <c r="A2749" s="2">
        <v>45848</v>
      </c>
      <c r="B2749">
        <v>2025</v>
      </c>
      <c r="C2749" t="s">
        <v>1083</v>
      </c>
      <c r="D2749" t="s">
        <v>1084</v>
      </c>
    </row>
    <row r="2750" spans="1:4" x14ac:dyDescent="0.3">
      <c r="A2750" s="2">
        <v>45849</v>
      </c>
      <c r="B2750">
        <v>2025</v>
      </c>
      <c r="C2750" t="s">
        <v>1083</v>
      </c>
      <c r="D2750" t="s">
        <v>1084</v>
      </c>
    </row>
    <row r="2751" spans="1:4" x14ac:dyDescent="0.3">
      <c r="A2751" s="2">
        <v>45850</v>
      </c>
      <c r="B2751">
        <v>2025</v>
      </c>
      <c r="C2751" t="s">
        <v>1083</v>
      </c>
      <c r="D2751" t="s">
        <v>1084</v>
      </c>
    </row>
    <row r="2752" spans="1:4" x14ac:dyDescent="0.3">
      <c r="A2752" s="2">
        <v>45851</v>
      </c>
      <c r="B2752">
        <v>2025</v>
      </c>
      <c r="C2752" t="s">
        <v>1083</v>
      </c>
      <c r="D2752" t="s">
        <v>1084</v>
      </c>
    </row>
    <row r="2753" spans="1:4" x14ac:dyDescent="0.3">
      <c r="A2753" s="2">
        <v>45852</v>
      </c>
      <c r="B2753">
        <v>2025</v>
      </c>
      <c r="C2753" t="s">
        <v>1083</v>
      </c>
      <c r="D2753" t="s">
        <v>1084</v>
      </c>
    </row>
    <row r="2754" spans="1:4" x14ac:dyDescent="0.3">
      <c r="A2754" s="2">
        <v>45853</v>
      </c>
      <c r="B2754">
        <v>2025</v>
      </c>
      <c r="C2754" t="s">
        <v>1083</v>
      </c>
      <c r="D2754" t="s">
        <v>1084</v>
      </c>
    </row>
    <row r="2755" spans="1:4" x14ac:dyDescent="0.3">
      <c r="A2755" s="2">
        <v>45854</v>
      </c>
      <c r="B2755">
        <v>2025</v>
      </c>
      <c r="C2755" t="s">
        <v>1083</v>
      </c>
      <c r="D2755" t="s">
        <v>1084</v>
      </c>
    </row>
    <row r="2756" spans="1:4" x14ac:dyDescent="0.3">
      <c r="A2756" s="2">
        <v>45855</v>
      </c>
      <c r="B2756">
        <v>2025</v>
      </c>
      <c r="C2756" t="s">
        <v>1083</v>
      </c>
      <c r="D2756" t="s">
        <v>1084</v>
      </c>
    </row>
    <row r="2757" spans="1:4" x14ac:dyDescent="0.3">
      <c r="A2757" s="2">
        <v>45856</v>
      </c>
      <c r="B2757">
        <v>2025</v>
      </c>
      <c r="C2757" t="s">
        <v>1083</v>
      </c>
      <c r="D2757" t="s">
        <v>1084</v>
      </c>
    </row>
    <row r="2758" spans="1:4" x14ac:dyDescent="0.3">
      <c r="A2758" s="2">
        <v>45857</v>
      </c>
      <c r="B2758">
        <v>2025</v>
      </c>
      <c r="C2758" t="s">
        <v>1083</v>
      </c>
      <c r="D2758" t="s">
        <v>1084</v>
      </c>
    </row>
    <row r="2759" spans="1:4" x14ac:dyDescent="0.3">
      <c r="A2759" s="2">
        <v>45858</v>
      </c>
      <c r="B2759">
        <v>2025</v>
      </c>
      <c r="C2759" t="s">
        <v>1083</v>
      </c>
      <c r="D2759" t="s">
        <v>1084</v>
      </c>
    </row>
    <row r="2760" spans="1:4" x14ac:dyDescent="0.3">
      <c r="A2760" s="2">
        <v>45859</v>
      </c>
      <c r="B2760">
        <v>2025</v>
      </c>
      <c r="C2760" t="s">
        <v>1083</v>
      </c>
      <c r="D2760" t="s">
        <v>1084</v>
      </c>
    </row>
    <row r="2761" spans="1:4" x14ac:dyDescent="0.3">
      <c r="A2761" s="2">
        <v>45860</v>
      </c>
      <c r="B2761">
        <v>2025</v>
      </c>
      <c r="C2761" t="s">
        <v>1083</v>
      </c>
      <c r="D2761" t="s">
        <v>1084</v>
      </c>
    </row>
    <row r="2762" spans="1:4" x14ac:dyDescent="0.3">
      <c r="A2762" s="2">
        <v>45861</v>
      </c>
      <c r="B2762">
        <v>2025</v>
      </c>
      <c r="C2762" t="s">
        <v>1083</v>
      </c>
      <c r="D2762" t="s">
        <v>1084</v>
      </c>
    </row>
    <row r="2763" spans="1:4" x14ac:dyDescent="0.3">
      <c r="A2763" s="2">
        <v>45862</v>
      </c>
      <c r="B2763">
        <v>2025</v>
      </c>
      <c r="C2763" t="s">
        <v>1083</v>
      </c>
      <c r="D2763" t="s">
        <v>1084</v>
      </c>
    </row>
    <row r="2764" spans="1:4" x14ac:dyDescent="0.3">
      <c r="A2764" s="2">
        <v>45863</v>
      </c>
      <c r="B2764">
        <v>2025</v>
      </c>
      <c r="C2764" t="s">
        <v>1083</v>
      </c>
      <c r="D2764" t="s">
        <v>1084</v>
      </c>
    </row>
    <row r="2765" spans="1:4" x14ac:dyDescent="0.3">
      <c r="A2765" s="2">
        <v>45864</v>
      </c>
      <c r="B2765">
        <v>2025</v>
      </c>
      <c r="C2765" t="s">
        <v>1083</v>
      </c>
      <c r="D2765" t="s">
        <v>1084</v>
      </c>
    </row>
    <row r="2766" spans="1:4" x14ac:dyDescent="0.3">
      <c r="A2766" s="2">
        <v>45865</v>
      </c>
      <c r="B2766">
        <v>2025</v>
      </c>
      <c r="C2766" t="s">
        <v>1083</v>
      </c>
      <c r="D2766" t="s">
        <v>1084</v>
      </c>
    </row>
    <row r="2767" spans="1:4" x14ac:dyDescent="0.3">
      <c r="A2767" s="2">
        <v>45866</v>
      </c>
      <c r="B2767">
        <v>2025</v>
      </c>
      <c r="C2767" t="s">
        <v>1083</v>
      </c>
      <c r="D2767" t="s">
        <v>1084</v>
      </c>
    </row>
    <row r="2768" spans="1:4" x14ac:dyDescent="0.3">
      <c r="A2768" s="2">
        <v>45867</v>
      </c>
      <c r="B2768">
        <v>2025</v>
      </c>
      <c r="C2768" t="s">
        <v>1083</v>
      </c>
      <c r="D2768" t="s">
        <v>1084</v>
      </c>
    </row>
    <row r="2769" spans="1:4" x14ac:dyDescent="0.3">
      <c r="A2769" s="2">
        <v>45868</v>
      </c>
      <c r="B2769">
        <v>2025</v>
      </c>
      <c r="C2769" t="s">
        <v>1083</v>
      </c>
      <c r="D2769" t="s">
        <v>1084</v>
      </c>
    </row>
    <row r="2770" spans="1:4" x14ac:dyDescent="0.3">
      <c r="A2770" s="2">
        <v>45869</v>
      </c>
      <c r="B2770">
        <v>2025</v>
      </c>
      <c r="C2770" t="s">
        <v>1083</v>
      </c>
      <c r="D2770" t="s">
        <v>1084</v>
      </c>
    </row>
    <row r="2771" spans="1:4" x14ac:dyDescent="0.3">
      <c r="A2771" s="2">
        <v>45870</v>
      </c>
      <c r="B2771">
        <v>2025</v>
      </c>
      <c r="C2771" t="s">
        <v>1083</v>
      </c>
      <c r="D2771" t="s">
        <v>1085</v>
      </c>
    </row>
    <row r="2772" spans="1:4" x14ac:dyDescent="0.3">
      <c r="A2772" s="2">
        <v>45871</v>
      </c>
      <c r="B2772">
        <v>2025</v>
      </c>
      <c r="C2772" t="s">
        <v>1083</v>
      </c>
      <c r="D2772" t="s">
        <v>1085</v>
      </c>
    </row>
    <row r="2773" spans="1:4" x14ac:dyDescent="0.3">
      <c r="A2773" s="2">
        <v>45872</v>
      </c>
      <c r="B2773">
        <v>2025</v>
      </c>
      <c r="C2773" t="s">
        <v>1083</v>
      </c>
      <c r="D2773" t="s">
        <v>1085</v>
      </c>
    </row>
    <row r="2774" spans="1:4" x14ac:dyDescent="0.3">
      <c r="A2774" s="2">
        <v>45873</v>
      </c>
      <c r="B2774">
        <v>2025</v>
      </c>
      <c r="C2774" t="s">
        <v>1083</v>
      </c>
      <c r="D2774" t="s">
        <v>1085</v>
      </c>
    </row>
    <row r="2775" spans="1:4" x14ac:dyDescent="0.3">
      <c r="A2775" s="2">
        <v>45874</v>
      </c>
      <c r="B2775">
        <v>2025</v>
      </c>
      <c r="C2775" t="s">
        <v>1083</v>
      </c>
      <c r="D2775" t="s">
        <v>1085</v>
      </c>
    </row>
    <row r="2776" spans="1:4" x14ac:dyDescent="0.3">
      <c r="A2776" s="2">
        <v>45875</v>
      </c>
      <c r="B2776">
        <v>2025</v>
      </c>
      <c r="C2776" t="s">
        <v>1083</v>
      </c>
      <c r="D2776" t="s">
        <v>1085</v>
      </c>
    </row>
    <row r="2777" spans="1:4" x14ac:dyDescent="0.3">
      <c r="A2777" s="2">
        <v>45876</v>
      </c>
      <c r="B2777">
        <v>2025</v>
      </c>
      <c r="C2777" t="s">
        <v>1083</v>
      </c>
      <c r="D2777" t="s">
        <v>1085</v>
      </c>
    </row>
    <row r="2778" spans="1:4" x14ac:dyDescent="0.3">
      <c r="A2778" s="2">
        <v>45877</v>
      </c>
      <c r="B2778">
        <v>2025</v>
      </c>
      <c r="C2778" t="s">
        <v>1083</v>
      </c>
      <c r="D2778" t="s">
        <v>1085</v>
      </c>
    </row>
    <row r="2779" spans="1:4" x14ac:dyDescent="0.3">
      <c r="A2779" s="2">
        <v>45878</v>
      </c>
      <c r="B2779">
        <v>2025</v>
      </c>
      <c r="C2779" t="s">
        <v>1083</v>
      </c>
      <c r="D2779" t="s">
        <v>1085</v>
      </c>
    </row>
    <row r="2780" spans="1:4" x14ac:dyDescent="0.3">
      <c r="A2780" s="2">
        <v>45879</v>
      </c>
      <c r="B2780">
        <v>2025</v>
      </c>
      <c r="C2780" t="s">
        <v>1083</v>
      </c>
      <c r="D2780" t="s">
        <v>1085</v>
      </c>
    </row>
    <row r="2781" spans="1:4" x14ac:dyDescent="0.3">
      <c r="A2781" s="2">
        <v>45880</v>
      </c>
      <c r="B2781">
        <v>2025</v>
      </c>
      <c r="C2781" t="s">
        <v>1083</v>
      </c>
      <c r="D2781" t="s">
        <v>1085</v>
      </c>
    </row>
    <row r="2782" spans="1:4" x14ac:dyDescent="0.3">
      <c r="A2782" s="2">
        <v>45881</v>
      </c>
      <c r="B2782">
        <v>2025</v>
      </c>
      <c r="C2782" t="s">
        <v>1083</v>
      </c>
      <c r="D2782" t="s">
        <v>1085</v>
      </c>
    </row>
    <row r="2783" spans="1:4" x14ac:dyDescent="0.3">
      <c r="A2783" s="2">
        <v>45882</v>
      </c>
      <c r="B2783">
        <v>2025</v>
      </c>
      <c r="C2783" t="s">
        <v>1083</v>
      </c>
      <c r="D2783" t="s">
        <v>1085</v>
      </c>
    </row>
    <row r="2784" spans="1:4" x14ac:dyDescent="0.3">
      <c r="A2784" s="2">
        <v>45883</v>
      </c>
      <c r="B2784">
        <v>2025</v>
      </c>
      <c r="C2784" t="s">
        <v>1083</v>
      </c>
      <c r="D2784" t="s">
        <v>1085</v>
      </c>
    </row>
    <row r="2785" spans="1:4" x14ac:dyDescent="0.3">
      <c r="A2785" s="2">
        <v>45884</v>
      </c>
      <c r="B2785">
        <v>2025</v>
      </c>
      <c r="C2785" t="s">
        <v>1083</v>
      </c>
      <c r="D2785" t="s">
        <v>1085</v>
      </c>
    </row>
    <row r="2786" spans="1:4" x14ac:dyDescent="0.3">
      <c r="A2786" s="2">
        <v>45885</v>
      </c>
      <c r="B2786">
        <v>2025</v>
      </c>
      <c r="C2786" t="s">
        <v>1083</v>
      </c>
      <c r="D2786" t="s">
        <v>1085</v>
      </c>
    </row>
    <row r="2787" spans="1:4" x14ac:dyDescent="0.3">
      <c r="A2787" s="2">
        <v>45886</v>
      </c>
      <c r="B2787">
        <v>2025</v>
      </c>
      <c r="C2787" t="s">
        <v>1083</v>
      </c>
      <c r="D2787" t="s">
        <v>1085</v>
      </c>
    </row>
    <row r="2788" spans="1:4" x14ac:dyDescent="0.3">
      <c r="A2788" s="2">
        <v>45887</v>
      </c>
      <c r="B2788">
        <v>2025</v>
      </c>
      <c r="C2788" t="s">
        <v>1083</v>
      </c>
      <c r="D2788" t="s">
        <v>1085</v>
      </c>
    </row>
    <row r="2789" spans="1:4" x14ac:dyDescent="0.3">
      <c r="A2789" s="2">
        <v>45888</v>
      </c>
      <c r="B2789">
        <v>2025</v>
      </c>
      <c r="C2789" t="s">
        <v>1083</v>
      </c>
      <c r="D2789" t="s">
        <v>1085</v>
      </c>
    </row>
    <row r="2790" spans="1:4" x14ac:dyDescent="0.3">
      <c r="A2790" s="2">
        <v>45889</v>
      </c>
      <c r="B2790">
        <v>2025</v>
      </c>
      <c r="C2790" t="s">
        <v>1083</v>
      </c>
      <c r="D2790" t="s">
        <v>1085</v>
      </c>
    </row>
    <row r="2791" spans="1:4" x14ac:dyDescent="0.3">
      <c r="A2791" s="2">
        <v>45890</v>
      </c>
      <c r="B2791">
        <v>2025</v>
      </c>
      <c r="C2791" t="s">
        <v>1083</v>
      </c>
      <c r="D2791" t="s">
        <v>1085</v>
      </c>
    </row>
    <row r="2792" spans="1:4" x14ac:dyDescent="0.3">
      <c r="A2792" s="2">
        <v>45891</v>
      </c>
      <c r="B2792">
        <v>2025</v>
      </c>
      <c r="C2792" t="s">
        <v>1083</v>
      </c>
      <c r="D2792" t="s">
        <v>1085</v>
      </c>
    </row>
    <row r="2793" spans="1:4" x14ac:dyDescent="0.3">
      <c r="A2793" s="2">
        <v>45892</v>
      </c>
      <c r="B2793">
        <v>2025</v>
      </c>
      <c r="C2793" t="s">
        <v>1083</v>
      </c>
      <c r="D2793" t="s">
        <v>1085</v>
      </c>
    </row>
    <row r="2794" spans="1:4" x14ac:dyDescent="0.3">
      <c r="A2794" s="2">
        <v>45893</v>
      </c>
      <c r="B2794">
        <v>2025</v>
      </c>
      <c r="C2794" t="s">
        <v>1083</v>
      </c>
      <c r="D2794" t="s">
        <v>1085</v>
      </c>
    </row>
    <row r="2795" spans="1:4" x14ac:dyDescent="0.3">
      <c r="A2795" s="2">
        <v>45894</v>
      </c>
      <c r="B2795">
        <v>2025</v>
      </c>
      <c r="C2795" t="s">
        <v>1083</v>
      </c>
      <c r="D2795" t="s">
        <v>1085</v>
      </c>
    </row>
    <row r="2796" spans="1:4" x14ac:dyDescent="0.3">
      <c r="A2796" s="2">
        <v>45895</v>
      </c>
      <c r="B2796">
        <v>2025</v>
      </c>
      <c r="C2796" t="s">
        <v>1083</v>
      </c>
      <c r="D2796" t="s">
        <v>1085</v>
      </c>
    </row>
    <row r="2797" spans="1:4" x14ac:dyDescent="0.3">
      <c r="A2797" s="2">
        <v>45896</v>
      </c>
      <c r="B2797">
        <v>2025</v>
      </c>
      <c r="C2797" t="s">
        <v>1083</v>
      </c>
      <c r="D2797" t="s">
        <v>1085</v>
      </c>
    </row>
    <row r="2798" spans="1:4" x14ac:dyDescent="0.3">
      <c r="A2798" s="2">
        <v>45897</v>
      </c>
      <c r="B2798">
        <v>2025</v>
      </c>
      <c r="C2798" t="s">
        <v>1083</v>
      </c>
      <c r="D2798" t="s">
        <v>1085</v>
      </c>
    </row>
    <row r="2799" spans="1:4" x14ac:dyDescent="0.3">
      <c r="A2799" s="2">
        <v>45898</v>
      </c>
      <c r="B2799">
        <v>2025</v>
      </c>
      <c r="C2799" t="s">
        <v>1083</v>
      </c>
      <c r="D2799" t="s">
        <v>1085</v>
      </c>
    </row>
    <row r="2800" spans="1:4" x14ac:dyDescent="0.3">
      <c r="A2800" s="2">
        <v>45899</v>
      </c>
      <c r="B2800">
        <v>2025</v>
      </c>
      <c r="C2800" t="s">
        <v>1083</v>
      </c>
      <c r="D2800" t="s">
        <v>1085</v>
      </c>
    </row>
    <row r="2801" spans="1:4" x14ac:dyDescent="0.3">
      <c r="A2801" s="2">
        <v>45900</v>
      </c>
      <c r="B2801">
        <v>2025</v>
      </c>
      <c r="C2801" t="s">
        <v>1083</v>
      </c>
      <c r="D2801" t="s">
        <v>1085</v>
      </c>
    </row>
    <row r="2802" spans="1:4" x14ac:dyDescent="0.3">
      <c r="A2802" s="2">
        <v>45901</v>
      </c>
      <c r="B2802">
        <v>2025</v>
      </c>
      <c r="C2802" t="s">
        <v>1083</v>
      </c>
      <c r="D2802" t="s">
        <v>1086</v>
      </c>
    </row>
    <row r="2803" spans="1:4" x14ac:dyDescent="0.3">
      <c r="A2803" s="2">
        <v>45902</v>
      </c>
      <c r="B2803">
        <v>2025</v>
      </c>
      <c r="C2803" t="s">
        <v>1083</v>
      </c>
      <c r="D2803" t="s">
        <v>1086</v>
      </c>
    </row>
    <row r="2804" spans="1:4" x14ac:dyDescent="0.3">
      <c r="A2804" s="2">
        <v>45903</v>
      </c>
      <c r="B2804">
        <v>2025</v>
      </c>
      <c r="C2804" t="s">
        <v>1083</v>
      </c>
      <c r="D2804" t="s">
        <v>1086</v>
      </c>
    </row>
    <row r="2805" spans="1:4" x14ac:dyDescent="0.3">
      <c r="A2805" s="2">
        <v>45904</v>
      </c>
      <c r="B2805">
        <v>2025</v>
      </c>
      <c r="C2805" t="s">
        <v>1083</v>
      </c>
      <c r="D2805" t="s">
        <v>1086</v>
      </c>
    </row>
    <row r="2806" spans="1:4" x14ac:dyDescent="0.3">
      <c r="A2806" s="2">
        <v>45905</v>
      </c>
      <c r="B2806">
        <v>2025</v>
      </c>
      <c r="C2806" t="s">
        <v>1083</v>
      </c>
      <c r="D2806" t="s">
        <v>1086</v>
      </c>
    </row>
    <row r="2807" spans="1:4" x14ac:dyDescent="0.3">
      <c r="A2807" s="2">
        <v>45906</v>
      </c>
      <c r="B2807">
        <v>2025</v>
      </c>
      <c r="C2807" t="s">
        <v>1083</v>
      </c>
      <c r="D2807" t="s">
        <v>1086</v>
      </c>
    </row>
    <row r="2808" spans="1:4" x14ac:dyDescent="0.3">
      <c r="A2808" s="2">
        <v>45907</v>
      </c>
      <c r="B2808">
        <v>2025</v>
      </c>
      <c r="C2808" t="s">
        <v>1083</v>
      </c>
      <c r="D2808" t="s">
        <v>1086</v>
      </c>
    </row>
    <row r="2809" spans="1:4" x14ac:dyDescent="0.3">
      <c r="A2809" s="2">
        <v>45908</v>
      </c>
      <c r="B2809">
        <v>2025</v>
      </c>
      <c r="C2809" t="s">
        <v>1083</v>
      </c>
      <c r="D2809" t="s">
        <v>1086</v>
      </c>
    </row>
    <row r="2810" spans="1:4" x14ac:dyDescent="0.3">
      <c r="A2810" s="2">
        <v>45909</v>
      </c>
      <c r="B2810">
        <v>2025</v>
      </c>
      <c r="C2810" t="s">
        <v>1083</v>
      </c>
      <c r="D2810" t="s">
        <v>1086</v>
      </c>
    </row>
    <row r="2811" spans="1:4" x14ac:dyDescent="0.3">
      <c r="A2811" s="2">
        <v>45910</v>
      </c>
      <c r="B2811">
        <v>2025</v>
      </c>
      <c r="C2811" t="s">
        <v>1083</v>
      </c>
      <c r="D2811" t="s">
        <v>1086</v>
      </c>
    </row>
    <row r="2812" spans="1:4" x14ac:dyDescent="0.3">
      <c r="A2812" s="2">
        <v>45911</v>
      </c>
      <c r="B2812">
        <v>2025</v>
      </c>
      <c r="C2812" t="s">
        <v>1083</v>
      </c>
      <c r="D2812" t="s">
        <v>1086</v>
      </c>
    </row>
    <row r="2813" spans="1:4" x14ac:dyDescent="0.3">
      <c r="A2813" s="2">
        <v>45912</v>
      </c>
      <c r="B2813">
        <v>2025</v>
      </c>
      <c r="C2813" t="s">
        <v>1083</v>
      </c>
      <c r="D2813" t="s">
        <v>1086</v>
      </c>
    </row>
    <row r="2814" spans="1:4" x14ac:dyDescent="0.3">
      <c r="A2814" s="2">
        <v>45913</v>
      </c>
      <c r="B2814">
        <v>2025</v>
      </c>
      <c r="C2814" t="s">
        <v>1083</v>
      </c>
      <c r="D2814" t="s">
        <v>1086</v>
      </c>
    </row>
    <row r="2815" spans="1:4" x14ac:dyDescent="0.3">
      <c r="A2815" s="2">
        <v>45914</v>
      </c>
      <c r="B2815">
        <v>2025</v>
      </c>
      <c r="C2815" t="s">
        <v>1083</v>
      </c>
      <c r="D2815" t="s">
        <v>1086</v>
      </c>
    </row>
    <row r="2816" spans="1:4" x14ac:dyDescent="0.3">
      <c r="A2816" s="2">
        <v>45915</v>
      </c>
      <c r="B2816">
        <v>2025</v>
      </c>
      <c r="C2816" t="s">
        <v>1083</v>
      </c>
      <c r="D2816" t="s">
        <v>1086</v>
      </c>
    </row>
    <row r="2817" spans="1:4" x14ac:dyDescent="0.3">
      <c r="A2817" s="2">
        <v>45916</v>
      </c>
      <c r="B2817">
        <v>2025</v>
      </c>
      <c r="C2817" t="s">
        <v>1083</v>
      </c>
      <c r="D2817" t="s">
        <v>1086</v>
      </c>
    </row>
    <row r="2818" spans="1:4" x14ac:dyDescent="0.3">
      <c r="A2818" s="2">
        <v>45917</v>
      </c>
      <c r="B2818">
        <v>2025</v>
      </c>
      <c r="C2818" t="s">
        <v>1083</v>
      </c>
      <c r="D2818" t="s">
        <v>1086</v>
      </c>
    </row>
    <row r="2819" spans="1:4" x14ac:dyDescent="0.3">
      <c r="A2819" s="2">
        <v>45918</v>
      </c>
      <c r="B2819">
        <v>2025</v>
      </c>
      <c r="C2819" t="s">
        <v>1083</v>
      </c>
      <c r="D2819" t="s">
        <v>1086</v>
      </c>
    </row>
    <row r="2820" spans="1:4" x14ac:dyDescent="0.3">
      <c r="A2820" s="2">
        <v>45919</v>
      </c>
      <c r="B2820">
        <v>2025</v>
      </c>
      <c r="C2820" t="s">
        <v>1083</v>
      </c>
      <c r="D2820" t="s">
        <v>1086</v>
      </c>
    </row>
    <row r="2821" spans="1:4" x14ac:dyDescent="0.3">
      <c r="A2821" s="2">
        <v>45920</v>
      </c>
      <c r="B2821">
        <v>2025</v>
      </c>
      <c r="C2821" t="s">
        <v>1083</v>
      </c>
      <c r="D2821" t="s">
        <v>1086</v>
      </c>
    </row>
    <row r="2822" spans="1:4" x14ac:dyDescent="0.3">
      <c r="A2822" s="2">
        <v>45921</v>
      </c>
      <c r="B2822">
        <v>2025</v>
      </c>
      <c r="C2822" t="s">
        <v>1083</v>
      </c>
      <c r="D2822" t="s">
        <v>1086</v>
      </c>
    </row>
    <row r="2823" spans="1:4" x14ac:dyDescent="0.3">
      <c r="A2823" s="2">
        <v>45922</v>
      </c>
      <c r="B2823">
        <v>2025</v>
      </c>
      <c r="C2823" t="s">
        <v>1083</v>
      </c>
      <c r="D2823" t="s">
        <v>1086</v>
      </c>
    </row>
    <row r="2824" spans="1:4" x14ac:dyDescent="0.3">
      <c r="A2824" s="2">
        <v>45923</v>
      </c>
      <c r="B2824">
        <v>2025</v>
      </c>
      <c r="C2824" t="s">
        <v>1083</v>
      </c>
      <c r="D2824" t="s">
        <v>1086</v>
      </c>
    </row>
    <row r="2825" spans="1:4" x14ac:dyDescent="0.3">
      <c r="A2825" s="2">
        <v>45924</v>
      </c>
      <c r="B2825">
        <v>2025</v>
      </c>
      <c r="C2825" t="s">
        <v>1083</v>
      </c>
      <c r="D2825" t="s">
        <v>1086</v>
      </c>
    </row>
    <row r="2826" spans="1:4" x14ac:dyDescent="0.3">
      <c r="A2826" s="2">
        <v>45925</v>
      </c>
      <c r="B2826">
        <v>2025</v>
      </c>
      <c r="C2826" t="s">
        <v>1083</v>
      </c>
      <c r="D2826" t="s">
        <v>1086</v>
      </c>
    </row>
    <row r="2827" spans="1:4" x14ac:dyDescent="0.3">
      <c r="A2827" s="2">
        <v>45926</v>
      </c>
      <c r="B2827">
        <v>2025</v>
      </c>
      <c r="C2827" t="s">
        <v>1083</v>
      </c>
      <c r="D2827" t="s">
        <v>1086</v>
      </c>
    </row>
    <row r="2828" spans="1:4" x14ac:dyDescent="0.3">
      <c r="A2828" s="2">
        <v>45927</v>
      </c>
      <c r="B2828">
        <v>2025</v>
      </c>
      <c r="C2828" t="s">
        <v>1083</v>
      </c>
      <c r="D2828" t="s">
        <v>1086</v>
      </c>
    </row>
    <row r="2829" spans="1:4" x14ac:dyDescent="0.3">
      <c r="A2829" s="2">
        <v>45928</v>
      </c>
      <c r="B2829">
        <v>2025</v>
      </c>
      <c r="C2829" t="s">
        <v>1083</v>
      </c>
      <c r="D2829" t="s">
        <v>1086</v>
      </c>
    </row>
    <row r="2830" spans="1:4" x14ac:dyDescent="0.3">
      <c r="A2830" s="2">
        <v>45929</v>
      </c>
      <c r="B2830">
        <v>2025</v>
      </c>
      <c r="C2830" t="s">
        <v>1083</v>
      </c>
      <c r="D2830" t="s">
        <v>1086</v>
      </c>
    </row>
    <row r="2831" spans="1:4" x14ac:dyDescent="0.3">
      <c r="A2831" s="2">
        <v>45930</v>
      </c>
      <c r="B2831">
        <v>2025</v>
      </c>
      <c r="C2831" t="s">
        <v>1083</v>
      </c>
      <c r="D2831" t="s">
        <v>1086</v>
      </c>
    </row>
    <row r="2832" spans="1:4" x14ac:dyDescent="0.3">
      <c r="A2832" s="2">
        <v>45931</v>
      </c>
      <c r="B2832">
        <v>2025</v>
      </c>
      <c r="C2832" t="s">
        <v>1087</v>
      </c>
      <c r="D2832" t="s">
        <v>1088</v>
      </c>
    </row>
    <row r="2833" spans="1:4" x14ac:dyDescent="0.3">
      <c r="A2833" s="2">
        <v>45932</v>
      </c>
      <c r="B2833">
        <v>2025</v>
      </c>
      <c r="C2833" t="s">
        <v>1087</v>
      </c>
      <c r="D2833" t="s">
        <v>1088</v>
      </c>
    </row>
    <row r="2834" spans="1:4" x14ac:dyDescent="0.3">
      <c r="A2834" s="2">
        <v>45933</v>
      </c>
      <c r="B2834">
        <v>2025</v>
      </c>
      <c r="C2834" t="s">
        <v>1087</v>
      </c>
      <c r="D2834" t="s">
        <v>1088</v>
      </c>
    </row>
    <row r="2835" spans="1:4" x14ac:dyDescent="0.3">
      <c r="A2835" s="2">
        <v>45934</v>
      </c>
      <c r="B2835">
        <v>2025</v>
      </c>
      <c r="C2835" t="s">
        <v>1087</v>
      </c>
      <c r="D2835" t="s">
        <v>1088</v>
      </c>
    </row>
    <row r="2836" spans="1:4" x14ac:dyDescent="0.3">
      <c r="A2836" s="2">
        <v>45935</v>
      </c>
      <c r="B2836">
        <v>2025</v>
      </c>
      <c r="C2836" t="s">
        <v>1087</v>
      </c>
      <c r="D2836" t="s">
        <v>1088</v>
      </c>
    </row>
    <row r="2837" spans="1:4" x14ac:dyDescent="0.3">
      <c r="A2837" s="2">
        <v>45936</v>
      </c>
      <c r="B2837">
        <v>2025</v>
      </c>
      <c r="C2837" t="s">
        <v>1087</v>
      </c>
      <c r="D2837" t="s">
        <v>1088</v>
      </c>
    </row>
    <row r="2838" spans="1:4" x14ac:dyDescent="0.3">
      <c r="A2838" s="2">
        <v>45937</v>
      </c>
      <c r="B2838">
        <v>2025</v>
      </c>
      <c r="C2838" t="s">
        <v>1087</v>
      </c>
      <c r="D2838" t="s">
        <v>1088</v>
      </c>
    </row>
    <row r="2839" spans="1:4" x14ac:dyDescent="0.3">
      <c r="A2839" s="2">
        <v>45938</v>
      </c>
      <c r="B2839">
        <v>2025</v>
      </c>
      <c r="C2839" t="s">
        <v>1087</v>
      </c>
      <c r="D2839" t="s">
        <v>1088</v>
      </c>
    </row>
    <row r="2840" spans="1:4" x14ac:dyDescent="0.3">
      <c r="A2840" s="2">
        <v>45939</v>
      </c>
      <c r="B2840">
        <v>2025</v>
      </c>
      <c r="C2840" t="s">
        <v>1087</v>
      </c>
      <c r="D2840" t="s">
        <v>1088</v>
      </c>
    </row>
    <row r="2841" spans="1:4" x14ac:dyDescent="0.3">
      <c r="A2841" s="2">
        <v>45940</v>
      </c>
      <c r="B2841">
        <v>2025</v>
      </c>
      <c r="C2841" t="s">
        <v>1087</v>
      </c>
      <c r="D2841" t="s">
        <v>1088</v>
      </c>
    </row>
    <row r="2842" spans="1:4" x14ac:dyDescent="0.3">
      <c r="A2842" s="2">
        <v>45941</v>
      </c>
      <c r="B2842">
        <v>2025</v>
      </c>
      <c r="C2842" t="s">
        <v>1087</v>
      </c>
      <c r="D2842" t="s">
        <v>1088</v>
      </c>
    </row>
    <row r="2843" spans="1:4" x14ac:dyDescent="0.3">
      <c r="A2843" s="2">
        <v>45942</v>
      </c>
      <c r="B2843">
        <v>2025</v>
      </c>
      <c r="C2843" t="s">
        <v>1087</v>
      </c>
      <c r="D2843" t="s">
        <v>1088</v>
      </c>
    </row>
    <row r="2844" spans="1:4" x14ac:dyDescent="0.3">
      <c r="A2844" s="2">
        <v>45943</v>
      </c>
      <c r="B2844">
        <v>2025</v>
      </c>
      <c r="C2844" t="s">
        <v>1087</v>
      </c>
      <c r="D2844" t="s">
        <v>1088</v>
      </c>
    </row>
    <row r="2845" spans="1:4" x14ac:dyDescent="0.3">
      <c r="A2845" s="2">
        <v>45944</v>
      </c>
      <c r="B2845">
        <v>2025</v>
      </c>
      <c r="C2845" t="s">
        <v>1087</v>
      </c>
      <c r="D2845" t="s">
        <v>1088</v>
      </c>
    </row>
    <row r="2846" spans="1:4" x14ac:dyDescent="0.3">
      <c r="A2846" s="2">
        <v>45945</v>
      </c>
      <c r="B2846">
        <v>2025</v>
      </c>
      <c r="C2846" t="s">
        <v>1087</v>
      </c>
      <c r="D2846" t="s">
        <v>1088</v>
      </c>
    </row>
    <row r="2847" spans="1:4" x14ac:dyDescent="0.3">
      <c r="A2847" s="2">
        <v>45946</v>
      </c>
      <c r="B2847">
        <v>2025</v>
      </c>
      <c r="C2847" t="s">
        <v>1087</v>
      </c>
      <c r="D2847" t="s">
        <v>1088</v>
      </c>
    </row>
    <row r="2848" spans="1:4" x14ac:dyDescent="0.3">
      <c r="A2848" s="2">
        <v>45947</v>
      </c>
      <c r="B2848">
        <v>2025</v>
      </c>
      <c r="C2848" t="s">
        <v>1087</v>
      </c>
      <c r="D2848" t="s">
        <v>1088</v>
      </c>
    </row>
    <row r="2849" spans="1:4" x14ac:dyDescent="0.3">
      <c r="A2849" s="2">
        <v>45948</v>
      </c>
      <c r="B2849">
        <v>2025</v>
      </c>
      <c r="C2849" t="s">
        <v>1087</v>
      </c>
      <c r="D2849" t="s">
        <v>1088</v>
      </c>
    </row>
    <row r="2850" spans="1:4" x14ac:dyDescent="0.3">
      <c r="A2850" s="2">
        <v>45949</v>
      </c>
      <c r="B2850">
        <v>2025</v>
      </c>
      <c r="C2850" t="s">
        <v>1087</v>
      </c>
      <c r="D2850" t="s">
        <v>1088</v>
      </c>
    </row>
    <row r="2851" spans="1:4" x14ac:dyDescent="0.3">
      <c r="A2851" s="2">
        <v>45950</v>
      </c>
      <c r="B2851">
        <v>2025</v>
      </c>
      <c r="C2851" t="s">
        <v>1087</v>
      </c>
      <c r="D2851" t="s">
        <v>1088</v>
      </c>
    </row>
    <row r="2852" spans="1:4" x14ac:dyDescent="0.3">
      <c r="A2852" s="2">
        <v>45951</v>
      </c>
      <c r="B2852">
        <v>2025</v>
      </c>
      <c r="C2852" t="s">
        <v>1087</v>
      </c>
      <c r="D2852" t="s">
        <v>1088</v>
      </c>
    </row>
    <row r="2853" spans="1:4" x14ac:dyDescent="0.3">
      <c r="A2853" s="2">
        <v>45952</v>
      </c>
      <c r="B2853">
        <v>2025</v>
      </c>
      <c r="C2853" t="s">
        <v>1087</v>
      </c>
      <c r="D2853" t="s">
        <v>1088</v>
      </c>
    </row>
    <row r="2854" spans="1:4" x14ac:dyDescent="0.3">
      <c r="A2854" s="2">
        <v>45953</v>
      </c>
      <c r="B2854">
        <v>2025</v>
      </c>
      <c r="C2854" t="s">
        <v>1087</v>
      </c>
      <c r="D2854" t="s">
        <v>1088</v>
      </c>
    </row>
    <row r="2855" spans="1:4" x14ac:dyDescent="0.3">
      <c r="A2855" s="2">
        <v>45954</v>
      </c>
      <c r="B2855">
        <v>2025</v>
      </c>
      <c r="C2855" t="s">
        <v>1087</v>
      </c>
      <c r="D2855" t="s">
        <v>1088</v>
      </c>
    </row>
    <row r="2856" spans="1:4" x14ac:dyDescent="0.3">
      <c r="A2856" s="2">
        <v>45955</v>
      </c>
      <c r="B2856">
        <v>2025</v>
      </c>
      <c r="C2856" t="s">
        <v>1087</v>
      </c>
      <c r="D2856" t="s">
        <v>1088</v>
      </c>
    </row>
    <row r="2857" spans="1:4" x14ac:dyDescent="0.3">
      <c r="A2857" s="2">
        <v>45956</v>
      </c>
      <c r="B2857">
        <v>2025</v>
      </c>
      <c r="C2857" t="s">
        <v>1087</v>
      </c>
      <c r="D2857" t="s">
        <v>1088</v>
      </c>
    </row>
    <row r="2858" spans="1:4" x14ac:dyDescent="0.3">
      <c r="A2858" s="2">
        <v>45957</v>
      </c>
      <c r="B2858">
        <v>2025</v>
      </c>
      <c r="C2858" t="s">
        <v>1087</v>
      </c>
      <c r="D2858" t="s">
        <v>1088</v>
      </c>
    </row>
    <row r="2859" spans="1:4" x14ac:dyDescent="0.3">
      <c r="A2859" s="2">
        <v>45958</v>
      </c>
      <c r="B2859">
        <v>2025</v>
      </c>
      <c r="C2859" t="s">
        <v>1087</v>
      </c>
      <c r="D2859" t="s">
        <v>1088</v>
      </c>
    </row>
    <row r="2860" spans="1:4" x14ac:dyDescent="0.3">
      <c r="A2860" s="2">
        <v>45959</v>
      </c>
      <c r="B2860">
        <v>2025</v>
      </c>
      <c r="C2860" t="s">
        <v>1087</v>
      </c>
      <c r="D2860" t="s">
        <v>1088</v>
      </c>
    </row>
    <row r="2861" spans="1:4" x14ac:dyDescent="0.3">
      <c r="A2861" s="2">
        <v>45960</v>
      </c>
      <c r="B2861">
        <v>2025</v>
      </c>
      <c r="C2861" t="s">
        <v>1087</v>
      </c>
      <c r="D2861" t="s">
        <v>1088</v>
      </c>
    </row>
    <row r="2862" spans="1:4" x14ac:dyDescent="0.3">
      <c r="A2862" s="2">
        <v>45961</v>
      </c>
      <c r="B2862">
        <v>2025</v>
      </c>
      <c r="C2862" t="s">
        <v>1087</v>
      </c>
      <c r="D2862" t="s">
        <v>1088</v>
      </c>
    </row>
    <row r="2863" spans="1:4" x14ac:dyDescent="0.3">
      <c r="A2863" s="2">
        <v>45962</v>
      </c>
      <c r="B2863">
        <v>2025</v>
      </c>
      <c r="C2863" t="s">
        <v>1087</v>
      </c>
      <c r="D2863" t="s">
        <v>1089</v>
      </c>
    </row>
    <row r="2864" spans="1:4" x14ac:dyDescent="0.3">
      <c r="A2864" s="2">
        <v>45963</v>
      </c>
      <c r="B2864">
        <v>2025</v>
      </c>
      <c r="C2864" t="s">
        <v>1087</v>
      </c>
      <c r="D2864" t="s">
        <v>1089</v>
      </c>
    </row>
    <row r="2865" spans="1:4" x14ac:dyDescent="0.3">
      <c r="A2865" s="2">
        <v>45964</v>
      </c>
      <c r="B2865">
        <v>2025</v>
      </c>
      <c r="C2865" t="s">
        <v>1087</v>
      </c>
      <c r="D2865" t="s">
        <v>1089</v>
      </c>
    </row>
    <row r="2866" spans="1:4" x14ac:dyDescent="0.3">
      <c r="A2866" s="2">
        <v>45965</v>
      </c>
      <c r="B2866">
        <v>2025</v>
      </c>
      <c r="C2866" t="s">
        <v>1087</v>
      </c>
      <c r="D2866" t="s">
        <v>1089</v>
      </c>
    </row>
    <row r="2867" spans="1:4" x14ac:dyDescent="0.3">
      <c r="A2867" s="2">
        <v>45966</v>
      </c>
      <c r="B2867">
        <v>2025</v>
      </c>
      <c r="C2867" t="s">
        <v>1087</v>
      </c>
      <c r="D2867" t="s">
        <v>1089</v>
      </c>
    </row>
    <row r="2868" spans="1:4" x14ac:dyDescent="0.3">
      <c r="A2868" s="2">
        <v>45967</v>
      </c>
      <c r="B2868">
        <v>2025</v>
      </c>
      <c r="C2868" t="s">
        <v>1087</v>
      </c>
      <c r="D2868" t="s">
        <v>1089</v>
      </c>
    </row>
    <row r="2869" spans="1:4" x14ac:dyDescent="0.3">
      <c r="A2869" s="2">
        <v>45968</v>
      </c>
      <c r="B2869">
        <v>2025</v>
      </c>
      <c r="C2869" t="s">
        <v>1087</v>
      </c>
      <c r="D2869" t="s">
        <v>1089</v>
      </c>
    </row>
    <row r="2870" spans="1:4" x14ac:dyDescent="0.3">
      <c r="A2870" s="2">
        <v>45969</v>
      </c>
      <c r="B2870">
        <v>2025</v>
      </c>
      <c r="C2870" t="s">
        <v>1087</v>
      </c>
      <c r="D2870" t="s">
        <v>1089</v>
      </c>
    </row>
    <row r="2871" spans="1:4" x14ac:dyDescent="0.3">
      <c r="A2871" s="2">
        <v>45970</v>
      </c>
      <c r="B2871">
        <v>2025</v>
      </c>
      <c r="C2871" t="s">
        <v>1087</v>
      </c>
      <c r="D2871" t="s">
        <v>1089</v>
      </c>
    </row>
    <row r="2872" spans="1:4" x14ac:dyDescent="0.3">
      <c r="A2872" s="2">
        <v>45971</v>
      </c>
      <c r="B2872">
        <v>2025</v>
      </c>
      <c r="C2872" t="s">
        <v>1087</v>
      </c>
      <c r="D2872" t="s">
        <v>1089</v>
      </c>
    </row>
    <row r="2873" spans="1:4" x14ac:dyDescent="0.3">
      <c r="A2873" s="2">
        <v>45972</v>
      </c>
      <c r="B2873">
        <v>2025</v>
      </c>
      <c r="C2873" t="s">
        <v>1087</v>
      </c>
      <c r="D2873" t="s">
        <v>1089</v>
      </c>
    </row>
    <row r="2874" spans="1:4" x14ac:dyDescent="0.3">
      <c r="A2874" s="2">
        <v>45973</v>
      </c>
      <c r="B2874">
        <v>2025</v>
      </c>
      <c r="C2874" t="s">
        <v>1087</v>
      </c>
      <c r="D2874" t="s">
        <v>1089</v>
      </c>
    </row>
    <row r="2875" spans="1:4" x14ac:dyDescent="0.3">
      <c r="A2875" s="2">
        <v>45974</v>
      </c>
      <c r="B2875">
        <v>2025</v>
      </c>
      <c r="C2875" t="s">
        <v>1087</v>
      </c>
      <c r="D2875" t="s">
        <v>1089</v>
      </c>
    </row>
    <row r="2876" spans="1:4" x14ac:dyDescent="0.3">
      <c r="A2876" s="2">
        <v>45975</v>
      </c>
      <c r="B2876">
        <v>2025</v>
      </c>
      <c r="C2876" t="s">
        <v>1087</v>
      </c>
      <c r="D2876" t="s">
        <v>1089</v>
      </c>
    </row>
    <row r="2877" spans="1:4" x14ac:dyDescent="0.3">
      <c r="A2877" s="2">
        <v>45976</v>
      </c>
      <c r="B2877">
        <v>2025</v>
      </c>
      <c r="C2877" t="s">
        <v>1087</v>
      </c>
      <c r="D2877" t="s">
        <v>1089</v>
      </c>
    </row>
    <row r="2878" spans="1:4" x14ac:dyDescent="0.3">
      <c r="A2878" s="2">
        <v>45977</v>
      </c>
      <c r="B2878">
        <v>2025</v>
      </c>
      <c r="C2878" t="s">
        <v>1087</v>
      </c>
      <c r="D2878" t="s">
        <v>1089</v>
      </c>
    </row>
    <row r="2879" spans="1:4" x14ac:dyDescent="0.3">
      <c r="A2879" s="2">
        <v>45978</v>
      </c>
      <c r="B2879">
        <v>2025</v>
      </c>
      <c r="C2879" t="s">
        <v>1087</v>
      </c>
      <c r="D2879" t="s">
        <v>1089</v>
      </c>
    </row>
    <row r="2880" spans="1:4" x14ac:dyDescent="0.3">
      <c r="A2880" s="2">
        <v>45979</v>
      </c>
      <c r="B2880">
        <v>2025</v>
      </c>
      <c r="C2880" t="s">
        <v>1087</v>
      </c>
      <c r="D2880" t="s">
        <v>1089</v>
      </c>
    </row>
    <row r="2881" spans="1:4" x14ac:dyDescent="0.3">
      <c r="A2881" s="2">
        <v>45980</v>
      </c>
      <c r="B2881">
        <v>2025</v>
      </c>
      <c r="C2881" t="s">
        <v>1087</v>
      </c>
      <c r="D2881" t="s">
        <v>1089</v>
      </c>
    </row>
    <row r="2882" spans="1:4" x14ac:dyDescent="0.3">
      <c r="A2882" s="2">
        <v>45981</v>
      </c>
      <c r="B2882">
        <v>2025</v>
      </c>
      <c r="C2882" t="s">
        <v>1087</v>
      </c>
      <c r="D2882" t="s">
        <v>1089</v>
      </c>
    </row>
    <row r="2883" spans="1:4" x14ac:dyDescent="0.3">
      <c r="A2883" s="2">
        <v>45982</v>
      </c>
      <c r="B2883">
        <v>2025</v>
      </c>
      <c r="C2883" t="s">
        <v>1087</v>
      </c>
      <c r="D2883" t="s">
        <v>1089</v>
      </c>
    </row>
    <row r="2884" spans="1:4" x14ac:dyDescent="0.3">
      <c r="A2884" s="2">
        <v>45983</v>
      </c>
      <c r="B2884">
        <v>2025</v>
      </c>
      <c r="C2884" t="s">
        <v>1087</v>
      </c>
      <c r="D2884" t="s">
        <v>1089</v>
      </c>
    </row>
    <row r="2885" spans="1:4" x14ac:dyDescent="0.3">
      <c r="A2885" s="2">
        <v>45984</v>
      </c>
      <c r="B2885">
        <v>2025</v>
      </c>
      <c r="C2885" t="s">
        <v>1087</v>
      </c>
      <c r="D2885" t="s">
        <v>1089</v>
      </c>
    </row>
    <row r="2886" spans="1:4" x14ac:dyDescent="0.3">
      <c r="A2886" s="2">
        <v>45985</v>
      </c>
      <c r="B2886">
        <v>2025</v>
      </c>
      <c r="C2886" t="s">
        <v>1087</v>
      </c>
      <c r="D2886" t="s">
        <v>1089</v>
      </c>
    </row>
    <row r="2887" spans="1:4" x14ac:dyDescent="0.3">
      <c r="A2887" s="2">
        <v>45986</v>
      </c>
      <c r="B2887">
        <v>2025</v>
      </c>
      <c r="C2887" t="s">
        <v>1087</v>
      </c>
      <c r="D2887" t="s">
        <v>1089</v>
      </c>
    </row>
    <row r="2888" spans="1:4" x14ac:dyDescent="0.3">
      <c r="A2888" s="2">
        <v>45987</v>
      </c>
      <c r="B2888">
        <v>2025</v>
      </c>
      <c r="C2888" t="s">
        <v>1087</v>
      </c>
      <c r="D2888" t="s">
        <v>1089</v>
      </c>
    </row>
    <row r="2889" spans="1:4" x14ac:dyDescent="0.3">
      <c r="A2889" s="2">
        <v>45988</v>
      </c>
      <c r="B2889">
        <v>2025</v>
      </c>
      <c r="C2889" t="s">
        <v>1087</v>
      </c>
      <c r="D2889" t="s">
        <v>1089</v>
      </c>
    </row>
    <row r="2890" spans="1:4" x14ac:dyDescent="0.3">
      <c r="A2890" s="2">
        <v>45989</v>
      </c>
      <c r="B2890">
        <v>2025</v>
      </c>
      <c r="C2890" t="s">
        <v>1087</v>
      </c>
      <c r="D2890" t="s">
        <v>1089</v>
      </c>
    </row>
    <row r="2891" spans="1:4" x14ac:dyDescent="0.3">
      <c r="A2891" s="2">
        <v>45990</v>
      </c>
      <c r="B2891">
        <v>2025</v>
      </c>
      <c r="C2891" t="s">
        <v>1087</v>
      </c>
      <c r="D2891" t="s">
        <v>1089</v>
      </c>
    </row>
    <row r="2892" spans="1:4" x14ac:dyDescent="0.3">
      <c r="A2892" s="2">
        <v>45991</v>
      </c>
      <c r="B2892">
        <v>2025</v>
      </c>
      <c r="C2892" t="s">
        <v>1087</v>
      </c>
      <c r="D2892" t="s">
        <v>1089</v>
      </c>
    </row>
    <row r="2893" spans="1:4" x14ac:dyDescent="0.3">
      <c r="A2893" s="2">
        <v>45992</v>
      </c>
      <c r="B2893">
        <v>2025</v>
      </c>
      <c r="C2893" t="s">
        <v>1087</v>
      </c>
      <c r="D2893" t="s">
        <v>1090</v>
      </c>
    </row>
    <row r="2894" spans="1:4" x14ac:dyDescent="0.3">
      <c r="A2894" s="2">
        <v>45993</v>
      </c>
      <c r="B2894">
        <v>2025</v>
      </c>
      <c r="C2894" t="s">
        <v>1087</v>
      </c>
      <c r="D2894" t="s">
        <v>1090</v>
      </c>
    </row>
    <row r="2895" spans="1:4" x14ac:dyDescent="0.3">
      <c r="A2895" s="2">
        <v>45994</v>
      </c>
      <c r="B2895">
        <v>2025</v>
      </c>
      <c r="C2895" t="s">
        <v>1087</v>
      </c>
      <c r="D2895" t="s">
        <v>1090</v>
      </c>
    </row>
    <row r="2896" spans="1:4" x14ac:dyDescent="0.3">
      <c r="A2896" s="2">
        <v>45995</v>
      </c>
      <c r="B2896">
        <v>2025</v>
      </c>
      <c r="C2896" t="s">
        <v>1087</v>
      </c>
      <c r="D2896" t="s">
        <v>1090</v>
      </c>
    </row>
    <row r="2897" spans="1:4" x14ac:dyDescent="0.3">
      <c r="A2897" s="2">
        <v>45996</v>
      </c>
      <c r="B2897">
        <v>2025</v>
      </c>
      <c r="C2897" t="s">
        <v>1087</v>
      </c>
      <c r="D2897" t="s">
        <v>1090</v>
      </c>
    </row>
    <row r="2898" spans="1:4" x14ac:dyDescent="0.3">
      <c r="A2898" s="2">
        <v>45997</v>
      </c>
      <c r="B2898">
        <v>2025</v>
      </c>
      <c r="C2898" t="s">
        <v>1087</v>
      </c>
      <c r="D2898" t="s">
        <v>1090</v>
      </c>
    </row>
    <row r="2899" spans="1:4" x14ac:dyDescent="0.3">
      <c r="A2899" s="2">
        <v>45998</v>
      </c>
      <c r="B2899">
        <v>2025</v>
      </c>
      <c r="C2899" t="s">
        <v>1087</v>
      </c>
      <c r="D2899" t="s">
        <v>1090</v>
      </c>
    </row>
    <row r="2900" spans="1:4" x14ac:dyDescent="0.3">
      <c r="A2900" s="2">
        <v>45999</v>
      </c>
      <c r="B2900">
        <v>2025</v>
      </c>
      <c r="C2900" t="s">
        <v>1087</v>
      </c>
      <c r="D2900" t="s">
        <v>1090</v>
      </c>
    </row>
    <row r="2901" spans="1:4" x14ac:dyDescent="0.3">
      <c r="A2901" s="2">
        <v>46000</v>
      </c>
      <c r="B2901">
        <v>2025</v>
      </c>
      <c r="C2901" t="s">
        <v>1087</v>
      </c>
      <c r="D2901" t="s">
        <v>1090</v>
      </c>
    </row>
    <row r="2902" spans="1:4" x14ac:dyDescent="0.3">
      <c r="A2902" s="2">
        <v>46001</v>
      </c>
      <c r="B2902">
        <v>2025</v>
      </c>
      <c r="C2902" t="s">
        <v>1087</v>
      </c>
      <c r="D2902" t="s">
        <v>1090</v>
      </c>
    </row>
    <row r="2903" spans="1:4" x14ac:dyDescent="0.3">
      <c r="A2903" s="2">
        <v>46002</v>
      </c>
      <c r="B2903">
        <v>2025</v>
      </c>
      <c r="C2903" t="s">
        <v>1087</v>
      </c>
      <c r="D2903" t="s">
        <v>1090</v>
      </c>
    </row>
    <row r="2904" spans="1:4" x14ac:dyDescent="0.3">
      <c r="A2904" s="2">
        <v>46003</v>
      </c>
      <c r="B2904">
        <v>2025</v>
      </c>
      <c r="C2904" t="s">
        <v>1087</v>
      </c>
      <c r="D2904" t="s">
        <v>1090</v>
      </c>
    </row>
    <row r="2905" spans="1:4" x14ac:dyDescent="0.3">
      <c r="A2905" s="2">
        <v>46004</v>
      </c>
      <c r="B2905">
        <v>2025</v>
      </c>
      <c r="C2905" t="s">
        <v>1087</v>
      </c>
      <c r="D2905" t="s">
        <v>1090</v>
      </c>
    </row>
    <row r="2906" spans="1:4" x14ac:dyDescent="0.3">
      <c r="A2906" s="2">
        <v>46005</v>
      </c>
      <c r="B2906">
        <v>2025</v>
      </c>
      <c r="C2906" t="s">
        <v>1087</v>
      </c>
      <c r="D2906" t="s">
        <v>1090</v>
      </c>
    </row>
    <row r="2907" spans="1:4" x14ac:dyDescent="0.3">
      <c r="A2907" s="2">
        <v>46006</v>
      </c>
      <c r="B2907">
        <v>2025</v>
      </c>
      <c r="C2907" t="s">
        <v>1087</v>
      </c>
      <c r="D2907" t="s">
        <v>1090</v>
      </c>
    </row>
    <row r="2908" spans="1:4" x14ac:dyDescent="0.3">
      <c r="A2908" s="2">
        <v>46007</v>
      </c>
      <c r="B2908">
        <v>2025</v>
      </c>
      <c r="C2908" t="s">
        <v>1087</v>
      </c>
      <c r="D2908" t="s">
        <v>1090</v>
      </c>
    </row>
    <row r="2909" spans="1:4" x14ac:dyDescent="0.3">
      <c r="A2909" s="2">
        <v>46008</v>
      </c>
      <c r="B2909">
        <v>2025</v>
      </c>
      <c r="C2909" t="s">
        <v>1087</v>
      </c>
      <c r="D2909" t="s">
        <v>1090</v>
      </c>
    </row>
    <row r="2910" spans="1:4" x14ac:dyDescent="0.3">
      <c r="A2910" s="2">
        <v>46009</v>
      </c>
      <c r="B2910">
        <v>2025</v>
      </c>
      <c r="C2910" t="s">
        <v>1087</v>
      </c>
      <c r="D2910" t="s">
        <v>1090</v>
      </c>
    </row>
    <row r="2911" spans="1:4" x14ac:dyDescent="0.3">
      <c r="A2911" s="2">
        <v>46010</v>
      </c>
      <c r="B2911">
        <v>2025</v>
      </c>
      <c r="C2911" t="s">
        <v>1087</v>
      </c>
      <c r="D2911" t="s">
        <v>1090</v>
      </c>
    </row>
    <row r="2912" spans="1:4" x14ac:dyDescent="0.3">
      <c r="A2912" s="2">
        <v>46011</v>
      </c>
      <c r="B2912">
        <v>2025</v>
      </c>
      <c r="C2912" t="s">
        <v>1087</v>
      </c>
      <c r="D2912" t="s">
        <v>1090</v>
      </c>
    </row>
    <row r="2913" spans="1:4" x14ac:dyDescent="0.3">
      <c r="A2913" s="2">
        <v>46012</v>
      </c>
      <c r="B2913">
        <v>2025</v>
      </c>
      <c r="C2913" t="s">
        <v>1087</v>
      </c>
      <c r="D2913" t="s">
        <v>1090</v>
      </c>
    </row>
    <row r="2914" spans="1:4" x14ac:dyDescent="0.3">
      <c r="A2914" s="2">
        <v>46013</v>
      </c>
      <c r="B2914">
        <v>2025</v>
      </c>
      <c r="C2914" t="s">
        <v>1087</v>
      </c>
      <c r="D2914" t="s">
        <v>1090</v>
      </c>
    </row>
    <row r="2915" spans="1:4" x14ac:dyDescent="0.3">
      <c r="A2915" s="2">
        <v>46014</v>
      </c>
      <c r="B2915">
        <v>2025</v>
      </c>
      <c r="C2915" t="s">
        <v>1087</v>
      </c>
      <c r="D2915" t="s">
        <v>1090</v>
      </c>
    </row>
    <row r="2916" spans="1:4" x14ac:dyDescent="0.3">
      <c r="A2916" s="2">
        <v>46015</v>
      </c>
      <c r="B2916">
        <v>2025</v>
      </c>
      <c r="C2916" t="s">
        <v>1087</v>
      </c>
      <c r="D2916" t="s">
        <v>1090</v>
      </c>
    </row>
    <row r="2917" spans="1:4" x14ac:dyDescent="0.3">
      <c r="A2917" s="2">
        <v>46016</v>
      </c>
      <c r="B2917">
        <v>2025</v>
      </c>
      <c r="C2917" t="s">
        <v>1087</v>
      </c>
      <c r="D2917" t="s">
        <v>1090</v>
      </c>
    </row>
    <row r="2918" spans="1:4" x14ac:dyDescent="0.3">
      <c r="A2918" s="2">
        <v>46017</v>
      </c>
      <c r="B2918">
        <v>2025</v>
      </c>
      <c r="C2918" t="s">
        <v>1087</v>
      </c>
      <c r="D2918" t="s">
        <v>1090</v>
      </c>
    </row>
    <row r="2919" spans="1:4" x14ac:dyDescent="0.3">
      <c r="A2919" s="2">
        <v>46018</v>
      </c>
      <c r="B2919">
        <v>2025</v>
      </c>
      <c r="C2919" t="s">
        <v>1087</v>
      </c>
      <c r="D2919" t="s">
        <v>1090</v>
      </c>
    </row>
    <row r="2920" spans="1:4" x14ac:dyDescent="0.3">
      <c r="A2920" s="2">
        <v>46019</v>
      </c>
      <c r="B2920">
        <v>2025</v>
      </c>
      <c r="C2920" t="s">
        <v>1087</v>
      </c>
      <c r="D2920" t="s">
        <v>1090</v>
      </c>
    </row>
    <row r="2921" spans="1:4" x14ac:dyDescent="0.3">
      <c r="A2921" s="2">
        <v>46020</v>
      </c>
      <c r="B2921">
        <v>2025</v>
      </c>
      <c r="C2921" t="s">
        <v>1087</v>
      </c>
      <c r="D2921" t="s">
        <v>1090</v>
      </c>
    </row>
    <row r="2922" spans="1:4" x14ac:dyDescent="0.3">
      <c r="A2922" s="2">
        <v>46021</v>
      </c>
      <c r="B2922">
        <v>2025</v>
      </c>
      <c r="C2922" t="s">
        <v>1087</v>
      </c>
      <c r="D2922" t="s">
        <v>1090</v>
      </c>
    </row>
    <row r="2923" spans="1:4" x14ac:dyDescent="0.3">
      <c r="A2923" s="2">
        <v>46022</v>
      </c>
      <c r="B2923">
        <v>2025</v>
      </c>
      <c r="C2923" t="s">
        <v>1087</v>
      </c>
      <c r="D2923" t="s">
        <v>1090</v>
      </c>
    </row>
    <row r="2924" spans="1:4" x14ac:dyDescent="0.3">
      <c r="A2924" s="2">
        <v>46023</v>
      </c>
      <c r="B2924">
        <v>2026</v>
      </c>
      <c r="C2924" t="s">
        <v>1075</v>
      </c>
      <c r="D2924" t="s">
        <v>1076</v>
      </c>
    </row>
    <row r="2925" spans="1:4" x14ac:dyDescent="0.3">
      <c r="A2925" s="2">
        <v>46024</v>
      </c>
      <c r="B2925">
        <v>2026</v>
      </c>
      <c r="C2925" t="s">
        <v>1075</v>
      </c>
      <c r="D2925" t="s">
        <v>1076</v>
      </c>
    </row>
    <row r="2926" spans="1:4" x14ac:dyDescent="0.3">
      <c r="A2926" s="2">
        <v>46025</v>
      </c>
      <c r="B2926">
        <v>2026</v>
      </c>
      <c r="C2926" t="s">
        <v>1075</v>
      </c>
      <c r="D2926" t="s">
        <v>1076</v>
      </c>
    </row>
    <row r="2927" spans="1:4" x14ac:dyDescent="0.3">
      <c r="A2927" s="2">
        <v>46026</v>
      </c>
      <c r="B2927">
        <v>2026</v>
      </c>
      <c r="C2927" t="s">
        <v>1075</v>
      </c>
      <c r="D2927" t="s">
        <v>1076</v>
      </c>
    </row>
    <row r="2928" spans="1:4" x14ac:dyDescent="0.3">
      <c r="A2928" s="2">
        <v>46027</v>
      </c>
      <c r="B2928">
        <v>2026</v>
      </c>
      <c r="C2928" t="s">
        <v>1075</v>
      </c>
      <c r="D2928" t="s">
        <v>1076</v>
      </c>
    </row>
    <row r="2929" spans="1:4" x14ac:dyDescent="0.3">
      <c r="A2929" s="2">
        <v>46028</v>
      </c>
      <c r="B2929">
        <v>2026</v>
      </c>
      <c r="C2929" t="s">
        <v>1075</v>
      </c>
      <c r="D2929" t="s">
        <v>1076</v>
      </c>
    </row>
    <row r="2930" spans="1:4" x14ac:dyDescent="0.3">
      <c r="A2930" s="2">
        <v>46029</v>
      </c>
      <c r="B2930">
        <v>2026</v>
      </c>
      <c r="C2930" t="s">
        <v>1075</v>
      </c>
      <c r="D2930" t="s">
        <v>1076</v>
      </c>
    </row>
    <row r="2931" spans="1:4" x14ac:dyDescent="0.3">
      <c r="A2931" s="2">
        <v>46030</v>
      </c>
      <c r="B2931">
        <v>2026</v>
      </c>
      <c r="C2931" t="s">
        <v>1075</v>
      </c>
      <c r="D2931" t="s">
        <v>1076</v>
      </c>
    </row>
    <row r="2932" spans="1:4" x14ac:dyDescent="0.3">
      <c r="A2932" s="2">
        <v>46031</v>
      </c>
      <c r="B2932">
        <v>2026</v>
      </c>
      <c r="C2932" t="s">
        <v>1075</v>
      </c>
      <c r="D2932" t="s">
        <v>1076</v>
      </c>
    </row>
    <row r="2933" spans="1:4" x14ac:dyDescent="0.3">
      <c r="A2933" s="2">
        <v>46032</v>
      </c>
      <c r="B2933">
        <v>2026</v>
      </c>
      <c r="C2933" t="s">
        <v>1075</v>
      </c>
      <c r="D2933" t="s">
        <v>1076</v>
      </c>
    </row>
    <row r="2934" spans="1:4" x14ac:dyDescent="0.3">
      <c r="A2934" s="2">
        <v>46033</v>
      </c>
      <c r="B2934">
        <v>2026</v>
      </c>
      <c r="C2934" t="s">
        <v>1075</v>
      </c>
      <c r="D2934" t="s">
        <v>1076</v>
      </c>
    </row>
    <row r="2935" spans="1:4" x14ac:dyDescent="0.3">
      <c r="A2935" s="2">
        <v>46034</v>
      </c>
      <c r="B2935">
        <v>2026</v>
      </c>
      <c r="C2935" t="s">
        <v>1075</v>
      </c>
      <c r="D2935" t="s">
        <v>1076</v>
      </c>
    </row>
    <row r="2936" spans="1:4" x14ac:dyDescent="0.3">
      <c r="A2936" s="2">
        <v>46035</v>
      </c>
      <c r="B2936">
        <v>2026</v>
      </c>
      <c r="C2936" t="s">
        <v>1075</v>
      </c>
      <c r="D2936" t="s">
        <v>1076</v>
      </c>
    </row>
    <row r="2937" spans="1:4" x14ac:dyDescent="0.3">
      <c r="A2937" s="2">
        <v>46036</v>
      </c>
      <c r="B2937">
        <v>2026</v>
      </c>
      <c r="C2937" t="s">
        <v>1075</v>
      </c>
      <c r="D2937" t="s">
        <v>1076</v>
      </c>
    </row>
    <row r="2938" spans="1:4" x14ac:dyDescent="0.3">
      <c r="A2938" s="2">
        <v>46037</v>
      </c>
      <c r="B2938">
        <v>2026</v>
      </c>
      <c r="C2938" t="s">
        <v>1075</v>
      </c>
      <c r="D2938" t="s">
        <v>1076</v>
      </c>
    </row>
    <row r="2939" spans="1:4" x14ac:dyDescent="0.3">
      <c r="A2939" s="2">
        <v>46038</v>
      </c>
      <c r="B2939">
        <v>2026</v>
      </c>
      <c r="C2939" t="s">
        <v>1075</v>
      </c>
      <c r="D2939" t="s">
        <v>1076</v>
      </c>
    </row>
    <row r="2940" spans="1:4" x14ac:dyDescent="0.3">
      <c r="A2940" s="2">
        <v>46039</v>
      </c>
      <c r="B2940">
        <v>2026</v>
      </c>
      <c r="C2940" t="s">
        <v>1075</v>
      </c>
      <c r="D2940" t="s">
        <v>1076</v>
      </c>
    </row>
    <row r="2941" spans="1:4" x14ac:dyDescent="0.3">
      <c r="A2941" s="2">
        <v>46040</v>
      </c>
      <c r="B2941">
        <v>2026</v>
      </c>
      <c r="C2941" t="s">
        <v>1075</v>
      </c>
      <c r="D2941" t="s">
        <v>1076</v>
      </c>
    </row>
    <row r="2942" spans="1:4" x14ac:dyDescent="0.3">
      <c r="A2942" s="2">
        <v>46041</v>
      </c>
      <c r="B2942">
        <v>2026</v>
      </c>
      <c r="C2942" t="s">
        <v>1075</v>
      </c>
      <c r="D2942" t="s">
        <v>1076</v>
      </c>
    </row>
    <row r="2943" spans="1:4" x14ac:dyDescent="0.3">
      <c r="A2943" s="2">
        <v>46042</v>
      </c>
      <c r="B2943">
        <v>2026</v>
      </c>
      <c r="C2943" t="s">
        <v>1075</v>
      </c>
      <c r="D2943" t="s">
        <v>1076</v>
      </c>
    </row>
    <row r="2944" spans="1:4" x14ac:dyDescent="0.3">
      <c r="A2944" s="2">
        <v>46043</v>
      </c>
      <c r="B2944">
        <v>2026</v>
      </c>
      <c r="C2944" t="s">
        <v>1075</v>
      </c>
      <c r="D2944" t="s">
        <v>1076</v>
      </c>
    </row>
    <row r="2945" spans="1:4" x14ac:dyDescent="0.3">
      <c r="A2945" s="2">
        <v>46044</v>
      </c>
      <c r="B2945">
        <v>2026</v>
      </c>
      <c r="C2945" t="s">
        <v>1075</v>
      </c>
      <c r="D2945" t="s">
        <v>1076</v>
      </c>
    </row>
    <row r="2946" spans="1:4" x14ac:dyDescent="0.3">
      <c r="A2946" s="2">
        <v>46045</v>
      </c>
      <c r="B2946">
        <v>2026</v>
      </c>
      <c r="C2946" t="s">
        <v>1075</v>
      </c>
      <c r="D2946" t="s">
        <v>1076</v>
      </c>
    </row>
    <row r="2947" spans="1:4" x14ac:dyDescent="0.3">
      <c r="A2947" s="2">
        <v>46046</v>
      </c>
      <c r="B2947">
        <v>2026</v>
      </c>
      <c r="C2947" t="s">
        <v>1075</v>
      </c>
      <c r="D2947" t="s">
        <v>1076</v>
      </c>
    </row>
    <row r="2948" spans="1:4" x14ac:dyDescent="0.3">
      <c r="A2948" s="2">
        <v>46047</v>
      </c>
      <c r="B2948">
        <v>2026</v>
      </c>
      <c r="C2948" t="s">
        <v>1075</v>
      </c>
      <c r="D2948" t="s">
        <v>1076</v>
      </c>
    </row>
    <row r="2949" spans="1:4" x14ac:dyDescent="0.3">
      <c r="A2949" s="2">
        <v>46048</v>
      </c>
      <c r="B2949">
        <v>2026</v>
      </c>
      <c r="C2949" t="s">
        <v>1075</v>
      </c>
      <c r="D2949" t="s">
        <v>1076</v>
      </c>
    </row>
    <row r="2950" spans="1:4" x14ac:dyDescent="0.3">
      <c r="A2950" s="2">
        <v>46049</v>
      </c>
      <c r="B2950">
        <v>2026</v>
      </c>
      <c r="C2950" t="s">
        <v>1075</v>
      </c>
      <c r="D2950" t="s">
        <v>1076</v>
      </c>
    </row>
    <row r="2951" spans="1:4" x14ac:dyDescent="0.3">
      <c r="A2951" s="2">
        <v>46050</v>
      </c>
      <c r="B2951">
        <v>2026</v>
      </c>
      <c r="C2951" t="s">
        <v>1075</v>
      </c>
      <c r="D2951" t="s">
        <v>1076</v>
      </c>
    </row>
    <row r="2952" spans="1:4" x14ac:dyDescent="0.3">
      <c r="A2952" s="2">
        <v>46051</v>
      </c>
      <c r="B2952">
        <v>2026</v>
      </c>
      <c r="C2952" t="s">
        <v>1075</v>
      </c>
      <c r="D2952" t="s">
        <v>1076</v>
      </c>
    </row>
    <row r="2953" spans="1:4" x14ac:dyDescent="0.3">
      <c r="A2953" s="2">
        <v>46052</v>
      </c>
      <c r="B2953">
        <v>2026</v>
      </c>
      <c r="C2953" t="s">
        <v>1075</v>
      </c>
      <c r="D2953" t="s">
        <v>1076</v>
      </c>
    </row>
    <row r="2954" spans="1:4" x14ac:dyDescent="0.3">
      <c r="A2954" s="2">
        <v>46053</v>
      </c>
      <c r="B2954">
        <v>2026</v>
      </c>
      <c r="C2954" t="s">
        <v>1075</v>
      </c>
      <c r="D2954" t="s">
        <v>1076</v>
      </c>
    </row>
    <row r="2955" spans="1:4" x14ac:dyDescent="0.3">
      <c r="A2955" s="2">
        <v>46054</v>
      </c>
      <c r="B2955">
        <v>2026</v>
      </c>
      <c r="C2955" t="s">
        <v>1075</v>
      </c>
      <c r="D2955" t="s">
        <v>1077</v>
      </c>
    </row>
    <row r="2956" spans="1:4" x14ac:dyDescent="0.3">
      <c r="A2956" s="2">
        <v>46055</v>
      </c>
      <c r="B2956">
        <v>2026</v>
      </c>
      <c r="C2956" t="s">
        <v>1075</v>
      </c>
      <c r="D2956" t="s">
        <v>1077</v>
      </c>
    </row>
    <row r="2957" spans="1:4" x14ac:dyDescent="0.3">
      <c r="A2957" s="2">
        <v>46056</v>
      </c>
      <c r="B2957">
        <v>2026</v>
      </c>
      <c r="C2957" t="s">
        <v>1075</v>
      </c>
      <c r="D2957" t="s">
        <v>1077</v>
      </c>
    </row>
    <row r="2958" spans="1:4" x14ac:dyDescent="0.3">
      <c r="A2958" s="2">
        <v>46057</v>
      </c>
      <c r="B2958">
        <v>2026</v>
      </c>
      <c r="C2958" t="s">
        <v>1075</v>
      </c>
      <c r="D2958" t="s">
        <v>1077</v>
      </c>
    </row>
    <row r="2959" spans="1:4" x14ac:dyDescent="0.3">
      <c r="A2959" s="2">
        <v>46058</v>
      </c>
      <c r="B2959">
        <v>2026</v>
      </c>
      <c r="C2959" t="s">
        <v>1075</v>
      </c>
      <c r="D2959" t="s">
        <v>1077</v>
      </c>
    </row>
    <row r="2960" spans="1:4" x14ac:dyDescent="0.3">
      <c r="A2960" s="2">
        <v>46059</v>
      </c>
      <c r="B2960">
        <v>2026</v>
      </c>
      <c r="C2960" t="s">
        <v>1075</v>
      </c>
      <c r="D2960" t="s">
        <v>1077</v>
      </c>
    </row>
    <row r="2961" spans="1:4" x14ac:dyDescent="0.3">
      <c r="A2961" s="2">
        <v>46060</v>
      </c>
      <c r="B2961">
        <v>2026</v>
      </c>
      <c r="C2961" t="s">
        <v>1075</v>
      </c>
      <c r="D2961" t="s">
        <v>1077</v>
      </c>
    </row>
    <row r="2962" spans="1:4" x14ac:dyDescent="0.3">
      <c r="A2962" s="2">
        <v>46061</v>
      </c>
      <c r="B2962">
        <v>2026</v>
      </c>
      <c r="C2962" t="s">
        <v>1075</v>
      </c>
      <c r="D2962" t="s">
        <v>1077</v>
      </c>
    </row>
    <row r="2963" spans="1:4" x14ac:dyDescent="0.3">
      <c r="A2963" s="2">
        <v>46062</v>
      </c>
      <c r="B2963">
        <v>2026</v>
      </c>
      <c r="C2963" t="s">
        <v>1075</v>
      </c>
      <c r="D2963" t="s">
        <v>1077</v>
      </c>
    </row>
    <row r="2964" spans="1:4" x14ac:dyDescent="0.3">
      <c r="A2964" s="2">
        <v>46063</v>
      </c>
      <c r="B2964">
        <v>2026</v>
      </c>
      <c r="C2964" t="s">
        <v>1075</v>
      </c>
      <c r="D2964" t="s">
        <v>1077</v>
      </c>
    </row>
    <row r="2965" spans="1:4" x14ac:dyDescent="0.3">
      <c r="A2965" s="2">
        <v>46064</v>
      </c>
      <c r="B2965">
        <v>2026</v>
      </c>
      <c r="C2965" t="s">
        <v>1075</v>
      </c>
      <c r="D2965" t="s">
        <v>1077</v>
      </c>
    </row>
    <row r="2966" spans="1:4" x14ac:dyDescent="0.3">
      <c r="A2966" s="2">
        <v>46065</v>
      </c>
      <c r="B2966">
        <v>2026</v>
      </c>
      <c r="C2966" t="s">
        <v>1075</v>
      </c>
      <c r="D2966" t="s">
        <v>1077</v>
      </c>
    </row>
    <row r="2967" spans="1:4" x14ac:dyDescent="0.3">
      <c r="A2967" s="2">
        <v>46066</v>
      </c>
      <c r="B2967">
        <v>2026</v>
      </c>
      <c r="C2967" t="s">
        <v>1075</v>
      </c>
      <c r="D2967" t="s">
        <v>1077</v>
      </c>
    </row>
    <row r="2968" spans="1:4" x14ac:dyDescent="0.3">
      <c r="A2968" s="2">
        <v>46067</v>
      </c>
      <c r="B2968">
        <v>2026</v>
      </c>
      <c r="C2968" t="s">
        <v>1075</v>
      </c>
      <c r="D2968" t="s">
        <v>1077</v>
      </c>
    </row>
    <row r="2969" spans="1:4" x14ac:dyDescent="0.3">
      <c r="A2969" s="2">
        <v>46068</v>
      </c>
      <c r="B2969">
        <v>2026</v>
      </c>
      <c r="C2969" t="s">
        <v>1075</v>
      </c>
      <c r="D2969" t="s">
        <v>1077</v>
      </c>
    </row>
    <row r="2970" spans="1:4" x14ac:dyDescent="0.3">
      <c r="A2970" s="2">
        <v>46069</v>
      </c>
      <c r="B2970">
        <v>2026</v>
      </c>
      <c r="C2970" t="s">
        <v>1075</v>
      </c>
      <c r="D2970" t="s">
        <v>1077</v>
      </c>
    </row>
    <row r="2971" spans="1:4" x14ac:dyDescent="0.3">
      <c r="A2971" s="2">
        <v>46070</v>
      </c>
      <c r="B2971">
        <v>2026</v>
      </c>
      <c r="C2971" t="s">
        <v>1075</v>
      </c>
      <c r="D2971" t="s">
        <v>1077</v>
      </c>
    </row>
    <row r="2972" spans="1:4" x14ac:dyDescent="0.3">
      <c r="A2972" s="2">
        <v>46071</v>
      </c>
      <c r="B2972">
        <v>2026</v>
      </c>
      <c r="C2972" t="s">
        <v>1075</v>
      </c>
      <c r="D2972" t="s">
        <v>1077</v>
      </c>
    </row>
    <row r="2973" spans="1:4" x14ac:dyDescent="0.3">
      <c r="A2973" s="2">
        <v>46072</v>
      </c>
      <c r="B2973">
        <v>2026</v>
      </c>
      <c r="C2973" t="s">
        <v>1075</v>
      </c>
      <c r="D2973" t="s">
        <v>1077</v>
      </c>
    </row>
    <row r="2974" spans="1:4" x14ac:dyDescent="0.3">
      <c r="A2974" s="2">
        <v>46073</v>
      </c>
      <c r="B2974">
        <v>2026</v>
      </c>
      <c r="C2974" t="s">
        <v>1075</v>
      </c>
      <c r="D2974" t="s">
        <v>1077</v>
      </c>
    </row>
    <row r="2975" spans="1:4" x14ac:dyDescent="0.3">
      <c r="A2975" s="2">
        <v>46074</v>
      </c>
      <c r="B2975">
        <v>2026</v>
      </c>
      <c r="C2975" t="s">
        <v>1075</v>
      </c>
      <c r="D2975" t="s">
        <v>1077</v>
      </c>
    </row>
    <row r="2976" spans="1:4" x14ac:dyDescent="0.3">
      <c r="A2976" s="2">
        <v>46075</v>
      </c>
      <c r="B2976">
        <v>2026</v>
      </c>
      <c r="C2976" t="s">
        <v>1075</v>
      </c>
      <c r="D2976" t="s">
        <v>1077</v>
      </c>
    </row>
    <row r="2977" spans="1:4" x14ac:dyDescent="0.3">
      <c r="A2977" s="2">
        <v>46076</v>
      </c>
      <c r="B2977">
        <v>2026</v>
      </c>
      <c r="C2977" t="s">
        <v>1075</v>
      </c>
      <c r="D2977" t="s">
        <v>1077</v>
      </c>
    </row>
    <row r="2978" spans="1:4" x14ac:dyDescent="0.3">
      <c r="A2978" s="2">
        <v>46077</v>
      </c>
      <c r="B2978">
        <v>2026</v>
      </c>
      <c r="C2978" t="s">
        <v>1075</v>
      </c>
      <c r="D2978" t="s">
        <v>1077</v>
      </c>
    </row>
    <row r="2979" spans="1:4" x14ac:dyDescent="0.3">
      <c r="A2979" s="2">
        <v>46078</v>
      </c>
      <c r="B2979">
        <v>2026</v>
      </c>
      <c r="C2979" t="s">
        <v>1075</v>
      </c>
      <c r="D2979" t="s">
        <v>1077</v>
      </c>
    </row>
    <row r="2980" spans="1:4" x14ac:dyDescent="0.3">
      <c r="A2980" s="2">
        <v>46079</v>
      </c>
      <c r="B2980">
        <v>2026</v>
      </c>
      <c r="C2980" t="s">
        <v>1075</v>
      </c>
      <c r="D2980" t="s">
        <v>1077</v>
      </c>
    </row>
    <row r="2981" spans="1:4" x14ac:dyDescent="0.3">
      <c r="A2981" s="2">
        <v>46080</v>
      </c>
      <c r="B2981">
        <v>2026</v>
      </c>
      <c r="C2981" t="s">
        <v>1075</v>
      </c>
      <c r="D2981" t="s">
        <v>1077</v>
      </c>
    </row>
    <row r="2982" spans="1:4" x14ac:dyDescent="0.3">
      <c r="A2982" s="2">
        <v>46081</v>
      </c>
      <c r="B2982">
        <v>2026</v>
      </c>
      <c r="C2982" t="s">
        <v>1075</v>
      </c>
      <c r="D2982" t="s">
        <v>1077</v>
      </c>
    </row>
    <row r="2983" spans="1:4" x14ac:dyDescent="0.3">
      <c r="A2983" s="2">
        <v>46082</v>
      </c>
      <c r="B2983">
        <v>2026</v>
      </c>
      <c r="C2983" t="s">
        <v>1075</v>
      </c>
      <c r="D2983" t="s">
        <v>1078</v>
      </c>
    </row>
    <row r="2984" spans="1:4" x14ac:dyDescent="0.3">
      <c r="A2984" s="2">
        <v>46083</v>
      </c>
      <c r="B2984">
        <v>2026</v>
      </c>
      <c r="C2984" t="s">
        <v>1075</v>
      </c>
      <c r="D2984" t="s">
        <v>1078</v>
      </c>
    </row>
    <row r="2985" spans="1:4" x14ac:dyDescent="0.3">
      <c r="A2985" s="2">
        <v>46084</v>
      </c>
      <c r="B2985">
        <v>2026</v>
      </c>
      <c r="C2985" t="s">
        <v>1075</v>
      </c>
      <c r="D2985" t="s">
        <v>1078</v>
      </c>
    </row>
    <row r="2986" spans="1:4" x14ac:dyDescent="0.3">
      <c r="A2986" s="2">
        <v>46085</v>
      </c>
      <c r="B2986">
        <v>2026</v>
      </c>
      <c r="C2986" t="s">
        <v>1075</v>
      </c>
      <c r="D2986" t="s">
        <v>1078</v>
      </c>
    </row>
    <row r="2987" spans="1:4" x14ac:dyDescent="0.3">
      <c r="A2987" s="2">
        <v>46086</v>
      </c>
      <c r="B2987">
        <v>2026</v>
      </c>
      <c r="C2987" t="s">
        <v>1075</v>
      </c>
      <c r="D2987" t="s">
        <v>1078</v>
      </c>
    </row>
    <row r="2988" spans="1:4" x14ac:dyDescent="0.3">
      <c r="A2988" s="2">
        <v>46087</v>
      </c>
      <c r="B2988">
        <v>2026</v>
      </c>
      <c r="C2988" t="s">
        <v>1075</v>
      </c>
      <c r="D2988" t="s">
        <v>1078</v>
      </c>
    </row>
    <row r="2989" spans="1:4" x14ac:dyDescent="0.3">
      <c r="A2989" s="2">
        <v>46088</v>
      </c>
      <c r="B2989">
        <v>2026</v>
      </c>
      <c r="C2989" t="s">
        <v>1075</v>
      </c>
      <c r="D2989" t="s">
        <v>1078</v>
      </c>
    </row>
    <row r="2990" spans="1:4" x14ac:dyDescent="0.3">
      <c r="A2990" s="2">
        <v>46089</v>
      </c>
      <c r="B2990">
        <v>2026</v>
      </c>
      <c r="C2990" t="s">
        <v>1075</v>
      </c>
      <c r="D2990" t="s">
        <v>1078</v>
      </c>
    </row>
    <row r="2991" spans="1:4" x14ac:dyDescent="0.3">
      <c r="A2991" s="2">
        <v>46090</v>
      </c>
      <c r="B2991">
        <v>2026</v>
      </c>
      <c r="C2991" t="s">
        <v>1075</v>
      </c>
      <c r="D2991" t="s">
        <v>1078</v>
      </c>
    </row>
    <row r="2992" spans="1:4" x14ac:dyDescent="0.3">
      <c r="A2992" s="2">
        <v>46091</v>
      </c>
      <c r="B2992">
        <v>2026</v>
      </c>
      <c r="C2992" t="s">
        <v>1075</v>
      </c>
      <c r="D2992" t="s">
        <v>1078</v>
      </c>
    </row>
    <row r="2993" spans="1:4" x14ac:dyDescent="0.3">
      <c r="A2993" s="2">
        <v>46092</v>
      </c>
      <c r="B2993">
        <v>2026</v>
      </c>
      <c r="C2993" t="s">
        <v>1075</v>
      </c>
      <c r="D2993" t="s">
        <v>1078</v>
      </c>
    </row>
    <row r="2994" spans="1:4" x14ac:dyDescent="0.3">
      <c r="A2994" s="2">
        <v>46093</v>
      </c>
      <c r="B2994">
        <v>2026</v>
      </c>
      <c r="C2994" t="s">
        <v>1075</v>
      </c>
      <c r="D2994" t="s">
        <v>1078</v>
      </c>
    </row>
    <row r="2995" spans="1:4" x14ac:dyDescent="0.3">
      <c r="A2995" s="2">
        <v>46094</v>
      </c>
      <c r="B2995">
        <v>2026</v>
      </c>
      <c r="C2995" t="s">
        <v>1075</v>
      </c>
      <c r="D2995" t="s">
        <v>1078</v>
      </c>
    </row>
    <row r="2996" spans="1:4" x14ac:dyDescent="0.3">
      <c r="A2996" s="2">
        <v>46095</v>
      </c>
      <c r="B2996">
        <v>2026</v>
      </c>
      <c r="C2996" t="s">
        <v>1075</v>
      </c>
      <c r="D2996" t="s">
        <v>1078</v>
      </c>
    </row>
    <row r="2997" spans="1:4" x14ac:dyDescent="0.3">
      <c r="A2997" s="2">
        <v>46096</v>
      </c>
      <c r="B2997">
        <v>2026</v>
      </c>
      <c r="C2997" t="s">
        <v>1075</v>
      </c>
      <c r="D2997" t="s">
        <v>1078</v>
      </c>
    </row>
    <row r="2998" spans="1:4" x14ac:dyDescent="0.3">
      <c r="A2998" s="2">
        <v>46097</v>
      </c>
      <c r="B2998">
        <v>2026</v>
      </c>
      <c r="C2998" t="s">
        <v>1075</v>
      </c>
      <c r="D2998" t="s">
        <v>1078</v>
      </c>
    </row>
    <row r="2999" spans="1:4" x14ac:dyDescent="0.3">
      <c r="A2999" s="2">
        <v>46098</v>
      </c>
      <c r="B2999">
        <v>2026</v>
      </c>
      <c r="C2999" t="s">
        <v>1075</v>
      </c>
      <c r="D2999" t="s">
        <v>1078</v>
      </c>
    </row>
    <row r="3000" spans="1:4" x14ac:dyDescent="0.3">
      <c r="A3000" s="2">
        <v>46099</v>
      </c>
      <c r="B3000">
        <v>2026</v>
      </c>
      <c r="C3000" t="s">
        <v>1075</v>
      </c>
      <c r="D3000" t="s">
        <v>1078</v>
      </c>
    </row>
    <row r="3001" spans="1:4" x14ac:dyDescent="0.3">
      <c r="A3001" s="2">
        <v>46100</v>
      </c>
      <c r="B3001">
        <v>2026</v>
      </c>
      <c r="C3001" t="s">
        <v>1075</v>
      </c>
      <c r="D3001" t="s">
        <v>1078</v>
      </c>
    </row>
    <row r="3002" spans="1:4" x14ac:dyDescent="0.3">
      <c r="A3002" s="2">
        <v>46101</v>
      </c>
      <c r="B3002">
        <v>2026</v>
      </c>
      <c r="C3002" t="s">
        <v>1075</v>
      </c>
      <c r="D3002" t="s">
        <v>1078</v>
      </c>
    </row>
    <row r="3003" spans="1:4" x14ac:dyDescent="0.3">
      <c r="A3003" s="2">
        <v>46102</v>
      </c>
      <c r="B3003">
        <v>2026</v>
      </c>
      <c r="C3003" t="s">
        <v>1075</v>
      </c>
      <c r="D3003" t="s">
        <v>1078</v>
      </c>
    </row>
    <row r="3004" spans="1:4" x14ac:dyDescent="0.3">
      <c r="A3004" s="2">
        <v>46103</v>
      </c>
      <c r="B3004">
        <v>2026</v>
      </c>
      <c r="C3004" t="s">
        <v>1075</v>
      </c>
      <c r="D3004" t="s">
        <v>1078</v>
      </c>
    </row>
    <row r="3005" spans="1:4" x14ac:dyDescent="0.3">
      <c r="A3005" s="2">
        <v>46104</v>
      </c>
      <c r="B3005">
        <v>2026</v>
      </c>
      <c r="C3005" t="s">
        <v>1075</v>
      </c>
      <c r="D3005" t="s">
        <v>1078</v>
      </c>
    </row>
    <row r="3006" spans="1:4" x14ac:dyDescent="0.3">
      <c r="A3006" s="2">
        <v>46105</v>
      </c>
      <c r="B3006">
        <v>2026</v>
      </c>
      <c r="C3006" t="s">
        <v>1075</v>
      </c>
      <c r="D3006" t="s">
        <v>1078</v>
      </c>
    </row>
    <row r="3007" spans="1:4" x14ac:dyDescent="0.3">
      <c r="A3007" s="2">
        <v>46106</v>
      </c>
      <c r="B3007">
        <v>2026</v>
      </c>
      <c r="C3007" t="s">
        <v>1075</v>
      </c>
      <c r="D3007" t="s">
        <v>1078</v>
      </c>
    </row>
    <row r="3008" spans="1:4" x14ac:dyDescent="0.3">
      <c r="A3008" s="2">
        <v>46107</v>
      </c>
      <c r="B3008">
        <v>2026</v>
      </c>
      <c r="C3008" t="s">
        <v>1075</v>
      </c>
      <c r="D3008" t="s">
        <v>1078</v>
      </c>
    </row>
    <row r="3009" spans="1:4" x14ac:dyDescent="0.3">
      <c r="A3009" s="2">
        <v>46108</v>
      </c>
      <c r="B3009">
        <v>2026</v>
      </c>
      <c r="C3009" t="s">
        <v>1075</v>
      </c>
      <c r="D3009" t="s">
        <v>1078</v>
      </c>
    </row>
    <row r="3010" spans="1:4" x14ac:dyDescent="0.3">
      <c r="A3010" s="2">
        <v>46109</v>
      </c>
      <c r="B3010">
        <v>2026</v>
      </c>
      <c r="C3010" t="s">
        <v>1075</v>
      </c>
      <c r="D3010" t="s">
        <v>1078</v>
      </c>
    </row>
    <row r="3011" spans="1:4" x14ac:dyDescent="0.3">
      <c r="A3011" s="2">
        <v>46110</v>
      </c>
      <c r="B3011">
        <v>2026</v>
      </c>
      <c r="C3011" t="s">
        <v>1075</v>
      </c>
      <c r="D3011" t="s">
        <v>1078</v>
      </c>
    </row>
    <row r="3012" spans="1:4" x14ac:dyDescent="0.3">
      <c r="A3012" s="2">
        <v>46111</v>
      </c>
      <c r="B3012">
        <v>2026</v>
      </c>
      <c r="C3012" t="s">
        <v>1075</v>
      </c>
      <c r="D3012" t="s">
        <v>1078</v>
      </c>
    </row>
    <row r="3013" spans="1:4" x14ac:dyDescent="0.3">
      <c r="A3013" s="2">
        <v>46112</v>
      </c>
      <c r="B3013">
        <v>2026</v>
      </c>
      <c r="C3013" t="s">
        <v>1075</v>
      </c>
      <c r="D3013" t="s">
        <v>1078</v>
      </c>
    </row>
    <row r="3014" spans="1:4" x14ac:dyDescent="0.3">
      <c r="A3014" s="2">
        <v>46113</v>
      </c>
      <c r="B3014">
        <v>2026</v>
      </c>
      <c r="C3014" t="s">
        <v>1079</v>
      </c>
      <c r="D3014" t="s">
        <v>1080</v>
      </c>
    </row>
    <row r="3015" spans="1:4" x14ac:dyDescent="0.3">
      <c r="A3015" s="2">
        <v>46114</v>
      </c>
      <c r="B3015">
        <v>2026</v>
      </c>
      <c r="C3015" t="s">
        <v>1079</v>
      </c>
      <c r="D3015" t="s">
        <v>1080</v>
      </c>
    </row>
    <row r="3016" spans="1:4" x14ac:dyDescent="0.3">
      <c r="A3016" s="2">
        <v>46115</v>
      </c>
      <c r="B3016">
        <v>2026</v>
      </c>
      <c r="C3016" t="s">
        <v>1079</v>
      </c>
      <c r="D3016" t="s">
        <v>1080</v>
      </c>
    </row>
    <row r="3017" spans="1:4" x14ac:dyDescent="0.3">
      <c r="A3017" s="2">
        <v>46116</v>
      </c>
      <c r="B3017">
        <v>2026</v>
      </c>
      <c r="C3017" t="s">
        <v>1079</v>
      </c>
      <c r="D3017" t="s">
        <v>1080</v>
      </c>
    </row>
    <row r="3018" spans="1:4" x14ac:dyDescent="0.3">
      <c r="A3018" s="2">
        <v>46117</v>
      </c>
      <c r="B3018">
        <v>2026</v>
      </c>
      <c r="C3018" t="s">
        <v>1079</v>
      </c>
      <c r="D3018" t="s">
        <v>1080</v>
      </c>
    </row>
    <row r="3019" spans="1:4" x14ac:dyDescent="0.3">
      <c r="A3019" s="2">
        <v>46118</v>
      </c>
      <c r="B3019">
        <v>2026</v>
      </c>
      <c r="C3019" t="s">
        <v>1079</v>
      </c>
      <c r="D3019" t="s">
        <v>1080</v>
      </c>
    </row>
    <row r="3020" spans="1:4" x14ac:dyDescent="0.3">
      <c r="A3020" s="2">
        <v>46119</v>
      </c>
      <c r="B3020">
        <v>2026</v>
      </c>
      <c r="C3020" t="s">
        <v>1079</v>
      </c>
      <c r="D3020" t="s">
        <v>1080</v>
      </c>
    </row>
    <row r="3021" spans="1:4" x14ac:dyDescent="0.3">
      <c r="A3021" s="2">
        <v>46120</v>
      </c>
      <c r="B3021">
        <v>2026</v>
      </c>
      <c r="C3021" t="s">
        <v>1079</v>
      </c>
      <c r="D3021" t="s">
        <v>1080</v>
      </c>
    </row>
    <row r="3022" spans="1:4" x14ac:dyDescent="0.3">
      <c r="A3022" s="2">
        <v>46121</v>
      </c>
      <c r="B3022">
        <v>2026</v>
      </c>
      <c r="C3022" t="s">
        <v>1079</v>
      </c>
      <c r="D3022" t="s">
        <v>1080</v>
      </c>
    </row>
    <row r="3023" spans="1:4" x14ac:dyDescent="0.3">
      <c r="A3023" s="2">
        <v>46122</v>
      </c>
      <c r="B3023">
        <v>2026</v>
      </c>
      <c r="C3023" t="s">
        <v>1079</v>
      </c>
      <c r="D3023" t="s">
        <v>1080</v>
      </c>
    </row>
    <row r="3024" spans="1:4" x14ac:dyDescent="0.3">
      <c r="A3024" s="2">
        <v>46123</v>
      </c>
      <c r="B3024">
        <v>2026</v>
      </c>
      <c r="C3024" t="s">
        <v>1079</v>
      </c>
      <c r="D3024" t="s">
        <v>1080</v>
      </c>
    </row>
    <row r="3025" spans="1:4" x14ac:dyDescent="0.3">
      <c r="A3025" s="2">
        <v>46124</v>
      </c>
      <c r="B3025">
        <v>2026</v>
      </c>
      <c r="C3025" t="s">
        <v>1079</v>
      </c>
      <c r="D3025" t="s">
        <v>1080</v>
      </c>
    </row>
    <row r="3026" spans="1:4" x14ac:dyDescent="0.3">
      <c r="A3026" s="2">
        <v>46125</v>
      </c>
      <c r="B3026">
        <v>2026</v>
      </c>
      <c r="C3026" t="s">
        <v>1079</v>
      </c>
      <c r="D3026" t="s">
        <v>1080</v>
      </c>
    </row>
    <row r="3027" spans="1:4" x14ac:dyDescent="0.3">
      <c r="A3027" s="2">
        <v>46126</v>
      </c>
      <c r="B3027">
        <v>2026</v>
      </c>
      <c r="C3027" t="s">
        <v>1079</v>
      </c>
      <c r="D3027" t="s">
        <v>1080</v>
      </c>
    </row>
    <row r="3028" spans="1:4" x14ac:dyDescent="0.3">
      <c r="A3028" s="2">
        <v>46127</v>
      </c>
      <c r="B3028">
        <v>2026</v>
      </c>
      <c r="C3028" t="s">
        <v>1079</v>
      </c>
      <c r="D3028" t="s">
        <v>1080</v>
      </c>
    </row>
    <row r="3029" spans="1:4" x14ac:dyDescent="0.3">
      <c r="A3029" s="2">
        <v>46128</v>
      </c>
      <c r="B3029">
        <v>2026</v>
      </c>
      <c r="C3029" t="s">
        <v>1079</v>
      </c>
      <c r="D3029" t="s">
        <v>1080</v>
      </c>
    </row>
    <row r="3030" spans="1:4" x14ac:dyDescent="0.3">
      <c r="A3030" s="2">
        <v>46129</v>
      </c>
      <c r="B3030">
        <v>2026</v>
      </c>
      <c r="C3030" t="s">
        <v>1079</v>
      </c>
      <c r="D3030" t="s">
        <v>1080</v>
      </c>
    </row>
    <row r="3031" spans="1:4" x14ac:dyDescent="0.3">
      <c r="A3031" s="2">
        <v>46130</v>
      </c>
      <c r="B3031">
        <v>2026</v>
      </c>
      <c r="C3031" t="s">
        <v>1079</v>
      </c>
      <c r="D3031" t="s">
        <v>1080</v>
      </c>
    </row>
    <row r="3032" spans="1:4" x14ac:dyDescent="0.3">
      <c r="A3032" s="2">
        <v>46131</v>
      </c>
      <c r="B3032">
        <v>2026</v>
      </c>
      <c r="C3032" t="s">
        <v>1079</v>
      </c>
      <c r="D3032" t="s">
        <v>1080</v>
      </c>
    </row>
    <row r="3033" spans="1:4" x14ac:dyDescent="0.3">
      <c r="A3033" s="2">
        <v>46132</v>
      </c>
      <c r="B3033">
        <v>2026</v>
      </c>
      <c r="C3033" t="s">
        <v>1079</v>
      </c>
      <c r="D3033" t="s">
        <v>1080</v>
      </c>
    </row>
    <row r="3034" spans="1:4" x14ac:dyDescent="0.3">
      <c r="A3034" s="2">
        <v>46133</v>
      </c>
      <c r="B3034">
        <v>2026</v>
      </c>
      <c r="C3034" t="s">
        <v>1079</v>
      </c>
      <c r="D3034" t="s">
        <v>1080</v>
      </c>
    </row>
    <row r="3035" spans="1:4" x14ac:dyDescent="0.3">
      <c r="A3035" s="2">
        <v>46134</v>
      </c>
      <c r="B3035">
        <v>2026</v>
      </c>
      <c r="C3035" t="s">
        <v>1079</v>
      </c>
      <c r="D3035" t="s">
        <v>1080</v>
      </c>
    </row>
    <row r="3036" spans="1:4" x14ac:dyDescent="0.3">
      <c r="A3036" s="2">
        <v>46135</v>
      </c>
      <c r="B3036">
        <v>2026</v>
      </c>
      <c r="C3036" t="s">
        <v>1079</v>
      </c>
      <c r="D3036" t="s">
        <v>1080</v>
      </c>
    </row>
    <row r="3037" spans="1:4" x14ac:dyDescent="0.3">
      <c r="A3037" s="2">
        <v>46136</v>
      </c>
      <c r="B3037">
        <v>2026</v>
      </c>
      <c r="C3037" t="s">
        <v>1079</v>
      </c>
      <c r="D3037" t="s">
        <v>1080</v>
      </c>
    </row>
    <row r="3038" spans="1:4" x14ac:dyDescent="0.3">
      <c r="A3038" s="2">
        <v>46137</v>
      </c>
      <c r="B3038">
        <v>2026</v>
      </c>
      <c r="C3038" t="s">
        <v>1079</v>
      </c>
      <c r="D3038" t="s">
        <v>1080</v>
      </c>
    </row>
    <row r="3039" spans="1:4" x14ac:dyDescent="0.3">
      <c r="A3039" s="2">
        <v>46138</v>
      </c>
      <c r="B3039">
        <v>2026</v>
      </c>
      <c r="C3039" t="s">
        <v>1079</v>
      </c>
      <c r="D3039" t="s">
        <v>1080</v>
      </c>
    </row>
    <row r="3040" spans="1:4" x14ac:dyDescent="0.3">
      <c r="A3040" s="2">
        <v>46139</v>
      </c>
      <c r="B3040">
        <v>2026</v>
      </c>
      <c r="C3040" t="s">
        <v>1079</v>
      </c>
      <c r="D3040" t="s">
        <v>1080</v>
      </c>
    </row>
    <row r="3041" spans="1:4" x14ac:dyDescent="0.3">
      <c r="A3041" s="2">
        <v>46140</v>
      </c>
      <c r="B3041">
        <v>2026</v>
      </c>
      <c r="C3041" t="s">
        <v>1079</v>
      </c>
      <c r="D3041" t="s">
        <v>1080</v>
      </c>
    </row>
    <row r="3042" spans="1:4" x14ac:dyDescent="0.3">
      <c r="A3042" s="2">
        <v>46141</v>
      </c>
      <c r="B3042">
        <v>2026</v>
      </c>
      <c r="C3042" t="s">
        <v>1079</v>
      </c>
      <c r="D3042" t="s">
        <v>1080</v>
      </c>
    </row>
    <row r="3043" spans="1:4" x14ac:dyDescent="0.3">
      <c r="A3043" s="2">
        <v>46142</v>
      </c>
      <c r="B3043">
        <v>2026</v>
      </c>
      <c r="C3043" t="s">
        <v>1079</v>
      </c>
      <c r="D3043" t="s">
        <v>1080</v>
      </c>
    </row>
    <row r="3044" spans="1:4" x14ac:dyDescent="0.3">
      <c r="A3044" s="2">
        <v>46143</v>
      </c>
      <c r="B3044">
        <v>2026</v>
      </c>
      <c r="C3044" t="s">
        <v>1079</v>
      </c>
      <c r="D3044" t="s">
        <v>1081</v>
      </c>
    </row>
    <row r="3045" spans="1:4" x14ac:dyDescent="0.3">
      <c r="A3045" s="2">
        <v>46144</v>
      </c>
      <c r="B3045">
        <v>2026</v>
      </c>
      <c r="C3045" t="s">
        <v>1079</v>
      </c>
      <c r="D3045" t="s">
        <v>1081</v>
      </c>
    </row>
    <row r="3046" spans="1:4" x14ac:dyDescent="0.3">
      <c r="A3046" s="2">
        <v>46145</v>
      </c>
      <c r="B3046">
        <v>2026</v>
      </c>
      <c r="C3046" t="s">
        <v>1079</v>
      </c>
      <c r="D3046" t="s">
        <v>1081</v>
      </c>
    </row>
    <row r="3047" spans="1:4" x14ac:dyDescent="0.3">
      <c r="A3047" s="2">
        <v>46146</v>
      </c>
      <c r="B3047">
        <v>2026</v>
      </c>
      <c r="C3047" t="s">
        <v>1079</v>
      </c>
      <c r="D3047" t="s">
        <v>1081</v>
      </c>
    </row>
    <row r="3048" spans="1:4" x14ac:dyDescent="0.3">
      <c r="A3048" s="2">
        <v>46147</v>
      </c>
      <c r="B3048">
        <v>2026</v>
      </c>
      <c r="C3048" t="s">
        <v>1079</v>
      </c>
      <c r="D3048" t="s">
        <v>1081</v>
      </c>
    </row>
    <row r="3049" spans="1:4" x14ac:dyDescent="0.3">
      <c r="A3049" s="2">
        <v>46148</v>
      </c>
      <c r="B3049">
        <v>2026</v>
      </c>
      <c r="C3049" t="s">
        <v>1079</v>
      </c>
      <c r="D3049" t="s">
        <v>1081</v>
      </c>
    </row>
    <row r="3050" spans="1:4" x14ac:dyDescent="0.3">
      <c r="A3050" s="2">
        <v>46149</v>
      </c>
      <c r="B3050">
        <v>2026</v>
      </c>
      <c r="C3050" t="s">
        <v>1079</v>
      </c>
      <c r="D3050" t="s">
        <v>1081</v>
      </c>
    </row>
    <row r="3051" spans="1:4" x14ac:dyDescent="0.3">
      <c r="A3051" s="2">
        <v>46150</v>
      </c>
      <c r="B3051">
        <v>2026</v>
      </c>
      <c r="C3051" t="s">
        <v>1079</v>
      </c>
      <c r="D3051" t="s">
        <v>1081</v>
      </c>
    </row>
    <row r="3052" spans="1:4" x14ac:dyDescent="0.3">
      <c r="A3052" s="2">
        <v>46151</v>
      </c>
      <c r="B3052">
        <v>2026</v>
      </c>
      <c r="C3052" t="s">
        <v>1079</v>
      </c>
      <c r="D3052" t="s">
        <v>1081</v>
      </c>
    </row>
    <row r="3053" spans="1:4" x14ac:dyDescent="0.3">
      <c r="A3053" s="2">
        <v>46152</v>
      </c>
      <c r="B3053">
        <v>2026</v>
      </c>
      <c r="C3053" t="s">
        <v>1079</v>
      </c>
      <c r="D3053" t="s">
        <v>1081</v>
      </c>
    </row>
    <row r="3054" spans="1:4" x14ac:dyDescent="0.3">
      <c r="A3054" s="2">
        <v>46153</v>
      </c>
      <c r="B3054">
        <v>2026</v>
      </c>
      <c r="C3054" t="s">
        <v>1079</v>
      </c>
      <c r="D3054" t="s">
        <v>1081</v>
      </c>
    </row>
    <row r="3055" spans="1:4" x14ac:dyDescent="0.3">
      <c r="A3055" s="2">
        <v>46154</v>
      </c>
      <c r="B3055">
        <v>2026</v>
      </c>
      <c r="C3055" t="s">
        <v>1079</v>
      </c>
      <c r="D3055" t="s">
        <v>1081</v>
      </c>
    </row>
    <row r="3056" spans="1:4" x14ac:dyDescent="0.3">
      <c r="A3056" s="2">
        <v>46155</v>
      </c>
      <c r="B3056">
        <v>2026</v>
      </c>
      <c r="C3056" t="s">
        <v>1079</v>
      </c>
      <c r="D3056" t="s">
        <v>1081</v>
      </c>
    </row>
    <row r="3057" spans="1:4" x14ac:dyDescent="0.3">
      <c r="A3057" s="2">
        <v>46156</v>
      </c>
      <c r="B3057">
        <v>2026</v>
      </c>
      <c r="C3057" t="s">
        <v>1079</v>
      </c>
      <c r="D3057" t="s">
        <v>1081</v>
      </c>
    </row>
    <row r="3058" spans="1:4" x14ac:dyDescent="0.3">
      <c r="A3058" s="2">
        <v>46157</v>
      </c>
      <c r="B3058">
        <v>2026</v>
      </c>
      <c r="C3058" t="s">
        <v>1079</v>
      </c>
      <c r="D3058" t="s">
        <v>1081</v>
      </c>
    </row>
    <row r="3059" spans="1:4" x14ac:dyDescent="0.3">
      <c r="A3059" s="2">
        <v>46158</v>
      </c>
      <c r="B3059">
        <v>2026</v>
      </c>
      <c r="C3059" t="s">
        <v>1079</v>
      </c>
      <c r="D3059" t="s">
        <v>1081</v>
      </c>
    </row>
    <row r="3060" spans="1:4" x14ac:dyDescent="0.3">
      <c r="A3060" s="2">
        <v>46159</v>
      </c>
      <c r="B3060">
        <v>2026</v>
      </c>
      <c r="C3060" t="s">
        <v>1079</v>
      </c>
      <c r="D3060" t="s">
        <v>1081</v>
      </c>
    </row>
    <row r="3061" spans="1:4" x14ac:dyDescent="0.3">
      <c r="A3061" s="2">
        <v>46160</v>
      </c>
      <c r="B3061">
        <v>2026</v>
      </c>
      <c r="C3061" t="s">
        <v>1079</v>
      </c>
      <c r="D3061" t="s">
        <v>1081</v>
      </c>
    </row>
    <row r="3062" spans="1:4" x14ac:dyDescent="0.3">
      <c r="A3062" s="2">
        <v>46161</v>
      </c>
      <c r="B3062">
        <v>2026</v>
      </c>
      <c r="C3062" t="s">
        <v>1079</v>
      </c>
      <c r="D3062" t="s">
        <v>1081</v>
      </c>
    </row>
    <row r="3063" spans="1:4" x14ac:dyDescent="0.3">
      <c r="A3063" s="2">
        <v>46162</v>
      </c>
      <c r="B3063">
        <v>2026</v>
      </c>
      <c r="C3063" t="s">
        <v>1079</v>
      </c>
      <c r="D3063" t="s">
        <v>1081</v>
      </c>
    </row>
    <row r="3064" spans="1:4" x14ac:dyDescent="0.3">
      <c r="A3064" s="2">
        <v>46163</v>
      </c>
      <c r="B3064">
        <v>2026</v>
      </c>
      <c r="C3064" t="s">
        <v>1079</v>
      </c>
      <c r="D3064" t="s">
        <v>1081</v>
      </c>
    </row>
    <row r="3065" spans="1:4" x14ac:dyDescent="0.3">
      <c r="A3065" s="2">
        <v>46164</v>
      </c>
      <c r="B3065">
        <v>2026</v>
      </c>
      <c r="C3065" t="s">
        <v>1079</v>
      </c>
      <c r="D3065" t="s">
        <v>1081</v>
      </c>
    </row>
    <row r="3066" spans="1:4" x14ac:dyDescent="0.3">
      <c r="A3066" s="2">
        <v>46165</v>
      </c>
      <c r="B3066">
        <v>2026</v>
      </c>
      <c r="C3066" t="s">
        <v>1079</v>
      </c>
      <c r="D3066" t="s">
        <v>1081</v>
      </c>
    </row>
    <row r="3067" spans="1:4" x14ac:dyDescent="0.3">
      <c r="A3067" s="2">
        <v>46166</v>
      </c>
      <c r="B3067">
        <v>2026</v>
      </c>
      <c r="C3067" t="s">
        <v>1079</v>
      </c>
      <c r="D3067" t="s">
        <v>1081</v>
      </c>
    </row>
    <row r="3068" spans="1:4" x14ac:dyDescent="0.3">
      <c r="A3068" s="2">
        <v>46167</v>
      </c>
      <c r="B3068">
        <v>2026</v>
      </c>
      <c r="C3068" t="s">
        <v>1079</v>
      </c>
      <c r="D3068" t="s">
        <v>1081</v>
      </c>
    </row>
    <row r="3069" spans="1:4" x14ac:dyDescent="0.3">
      <c r="A3069" s="2">
        <v>46168</v>
      </c>
      <c r="B3069">
        <v>2026</v>
      </c>
      <c r="C3069" t="s">
        <v>1079</v>
      </c>
      <c r="D3069" t="s">
        <v>1081</v>
      </c>
    </row>
    <row r="3070" spans="1:4" x14ac:dyDescent="0.3">
      <c r="A3070" s="2">
        <v>46169</v>
      </c>
      <c r="B3070">
        <v>2026</v>
      </c>
      <c r="C3070" t="s">
        <v>1079</v>
      </c>
      <c r="D3070" t="s">
        <v>1081</v>
      </c>
    </row>
    <row r="3071" spans="1:4" x14ac:dyDescent="0.3">
      <c r="A3071" s="2">
        <v>46170</v>
      </c>
      <c r="B3071">
        <v>2026</v>
      </c>
      <c r="C3071" t="s">
        <v>1079</v>
      </c>
      <c r="D3071" t="s">
        <v>1081</v>
      </c>
    </row>
    <row r="3072" spans="1:4" x14ac:dyDescent="0.3">
      <c r="A3072" s="2">
        <v>46171</v>
      </c>
      <c r="B3072">
        <v>2026</v>
      </c>
      <c r="C3072" t="s">
        <v>1079</v>
      </c>
      <c r="D3072" t="s">
        <v>1081</v>
      </c>
    </row>
    <row r="3073" spans="1:4" x14ac:dyDescent="0.3">
      <c r="A3073" s="2">
        <v>46172</v>
      </c>
      <c r="B3073">
        <v>2026</v>
      </c>
      <c r="C3073" t="s">
        <v>1079</v>
      </c>
      <c r="D3073" t="s">
        <v>1081</v>
      </c>
    </row>
    <row r="3074" spans="1:4" x14ac:dyDescent="0.3">
      <c r="A3074" s="2">
        <v>46173</v>
      </c>
      <c r="B3074">
        <v>2026</v>
      </c>
      <c r="C3074" t="s">
        <v>1079</v>
      </c>
      <c r="D3074" t="s">
        <v>1081</v>
      </c>
    </row>
    <row r="3075" spans="1:4" x14ac:dyDescent="0.3">
      <c r="A3075" s="2">
        <v>46174</v>
      </c>
      <c r="B3075">
        <v>2026</v>
      </c>
      <c r="C3075" t="s">
        <v>1079</v>
      </c>
      <c r="D3075" t="s">
        <v>1082</v>
      </c>
    </row>
    <row r="3076" spans="1:4" x14ac:dyDescent="0.3">
      <c r="A3076" s="2">
        <v>46175</v>
      </c>
      <c r="B3076">
        <v>2026</v>
      </c>
      <c r="C3076" t="s">
        <v>1079</v>
      </c>
      <c r="D3076" t="s">
        <v>1082</v>
      </c>
    </row>
    <row r="3077" spans="1:4" x14ac:dyDescent="0.3">
      <c r="A3077" s="2">
        <v>46176</v>
      </c>
      <c r="B3077">
        <v>2026</v>
      </c>
      <c r="C3077" t="s">
        <v>1079</v>
      </c>
      <c r="D3077" t="s">
        <v>1082</v>
      </c>
    </row>
    <row r="3078" spans="1:4" x14ac:dyDescent="0.3">
      <c r="A3078" s="2">
        <v>46177</v>
      </c>
      <c r="B3078">
        <v>2026</v>
      </c>
      <c r="C3078" t="s">
        <v>1079</v>
      </c>
      <c r="D3078" t="s">
        <v>1082</v>
      </c>
    </row>
    <row r="3079" spans="1:4" x14ac:dyDescent="0.3">
      <c r="A3079" s="2">
        <v>46178</v>
      </c>
      <c r="B3079">
        <v>2026</v>
      </c>
      <c r="C3079" t="s">
        <v>1079</v>
      </c>
      <c r="D3079" t="s">
        <v>1082</v>
      </c>
    </row>
    <row r="3080" spans="1:4" x14ac:dyDescent="0.3">
      <c r="A3080" s="2">
        <v>46179</v>
      </c>
      <c r="B3080">
        <v>2026</v>
      </c>
      <c r="C3080" t="s">
        <v>1079</v>
      </c>
      <c r="D3080" t="s">
        <v>1082</v>
      </c>
    </row>
    <row r="3081" spans="1:4" x14ac:dyDescent="0.3">
      <c r="A3081" s="2">
        <v>46180</v>
      </c>
      <c r="B3081">
        <v>2026</v>
      </c>
      <c r="C3081" t="s">
        <v>1079</v>
      </c>
      <c r="D3081" t="s">
        <v>1082</v>
      </c>
    </row>
    <row r="3082" spans="1:4" x14ac:dyDescent="0.3">
      <c r="A3082" s="2">
        <v>46181</v>
      </c>
      <c r="B3082">
        <v>2026</v>
      </c>
      <c r="C3082" t="s">
        <v>1079</v>
      </c>
      <c r="D3082" t="s">
        <v>1082</v>
      </c>
    </row>
    <row r="3083" spans="1:4" x14ac:dyDescent="0.3">
      <c r="A3083" s="2">
        <v>46182</v>
      </c>
      <c r="B3083">
        <v>2026</v>
      </c>
      <c r="C3083" t="s">
        <v>1079</v>
      </c>
      <c r="D3083" t="s">
        <v>1082</v>
      </c>
    </row>
    <row r="3084" spans="1:4" x14ac:dyDescent="0.3">
      <c r="A3084" s="2">
        <v>46183</v>
      </c>
      <c r="B3084">
        <v>2026</v>
      </c>
      <c r="C3084" t="s">
        <v>1079</v>
      </c>
      <c r="D3084" t="s">
        <v>1082</v>
      </c>
    </row>
    <row r="3085" spans="1:4" x14ac:dyDescent="0.3">
      <c r="A3085" s="2">
        <v>46184</v>
      </c>
      <c r="B3085">
        <v>2026</v>
      </c>
      <c r="C3085" t="s">
        <v>1079</v>
      </c>
      <c r="D3085" t="s">
        <v>1082</v>
      </c>
    </row>
    <row r="3086" spans="1:4" x14ac:dyDescent="0.3">
      <c r="A3086" s="2">
        <v>46185</v>
      </c>
      <c r="B3086">
        <v>2026</v>
      </c>
      <c r="C3086" t="s">
        <v>1079</v>
      </c>
      <c r="D3086" t="s">
        <v>1082</v>
      </c>
    </row>
    <row r="3087" spans="1:4" x14ac:dyDescent="0.3">
      <c r="A3087" s="2">
        <v>46186</v>
      </c>
      <c r="B3087">
        <v>2026</v>
      </c>
      <c r="C3087" t="s">
        <v>1079</v>
      </c>
      <c r="D3087" t="s">
        <v>1082</v>
      </c>
    </row>
    <row r="3088" spans="1:4" x14ac:dyDescent="0.3">
      <c r="A3088" s="2">
        <v>46187</v>
      </c>
      <c r="B3088">
        <v>2026</v>
      </c>
      <c r="C3088" t="s">
        <v>1079</v>
      </c>
      <c r="D3088" t="s">
        <v>1082</v>
      </c>
    </row>
    <row r="3089" spans="1:4" x14ac:dyDescent="0.3">
      <c r="A3089" s="2">
        <v>46188</v>
      </c>
      <c r="B3089">
        <v>2026</v>
      </c>
      <c r="C3089" t="s">
        <v>1079</v>
      </c>
      <c r="D3089" t="s">
        <v>1082</v>
      </c>
    </row>
    <row r="3090" spans="1:4" x14ac:dyDescent="0.3">
      <c r="A3090" s="2">
        <v>46189</v>
      </c>
      <c r="B3090">
        <v>2026</v>
      </c>
      <c r="C3090" t="s">
        <v>1079</v>
      </c>
      <c r="D3090" t="s">
        <v>1082</v>
      </c>
    </row>
    <row r="3091" spans="1:4" x14ac:dyDescent="0.3">
      <c r="A3091" s="2">
        <v>46190</v>
      </c>
      <c r="B3091">
        <v>2026</v>
      </c>
      <c r="C3091" t="s">
        <v>1079</v>
      </c>
      <c r="D3091" t="s">
        <v>1082</v>
      </c>
    </row>
    <row r="3092" spans="1:4" x14ac:dyDescent="0.3">
      <c r="A3092" s="2">
        <v>46191</v>
      </c>
      <c r="B3092">
        <v>2026</v>
      </c>
      <c r="C3092" t="s">
        <v>1079</v>
      </c>
      <c r="D3092" t="s">
        <v>1082</v>
      </c>
    </row>
    <row r="3093" spans="1:4" x14ac:dyDescent="0.3">
      <c r="A3093" s="2">
        <v>46192</v>
      </c>
      <c r="B3093">
        <v>2026</v>
      </c>
      <c r="C3093" t="s">
        <v>1079</v>
      </c>
      <c r="D3093" t="s">
        <v>1082</v>
      </c>
    </row>
    <row r="3094" spans="1:4" x14ac:dyDescent="0.3">
      <c r="A3094" s="2">
        <v>46193</v>
      </c>
      <c r="B3094">
        <v>2026</v>
      </c>
      <c r="C3094" t="s">
        <v>1079</v>
      </c>
      <c r="D3094" t="s">
        <v>1082</v>
      </c>
    </row>
    <row r="3095" spans="1:4" x14ac:dyDescent="0.3">
      <c r="A3095" s="2">
        <v>46194</v>
      </c>
      <c r="B3095">
        <v>2026</v>
      </c>
      <c r="C3095" t="s">
        <v>1079</v>
      </c>
      <c r="D3095" t="s">
        <v>1082</v>
      </c>
    </row>
    <row r="3096" spans="1:4" x14ac:dyDescent="0.3">
      <c r="A3096" s="2">
        <v>46195</v>
      </c>
      <c r="B3096">
        <v>2026</v>
      </c>
      <c r="C3096" t="s">
        <v>1079</v>
      </c>
      <c r="D3096" t="s">
        <v>1082</v>
      </c>
    </row>
    <row r="3097" spans="1:4" x14ac:dyDescent="0.3">
      <c r="A3097" s="2">
        <v>46196</v>
      </c>
      <c r="B3097">
        <v>2026</v>
      </c>
      <c r="C3097" t="s">
        <v>1079</v>
      </c>
      <c r="D3097" t="s">
        <v>1082</v>
      </c>
    </row>
    <row r="3098" spans="1:4" x14ac:dyDescent="0.3">
      <c r="A3098" s="2">
        <v>46197</v>
      </c>
      <c r="B3098">
        <v>2026</v>
      </c>
      <c r="C3098" t="s">
        <v>1079</v>
      </c>
      <c r="D3098" t="s">
        <v>1082</v>
      </c>
    </row>
    <row r="3099" spans="1:4" x14ac:dyDescent="0.3">
      <c r="A3099" s="2">
        <v>46198</v>
      </c>
      <c r="B3099">
        <v>2026</v>
      </c>
      <c r="C3099" t="s">
        <v>1079</v>
      </c>
      <c r="D3099" t="s">
        <v>1082</v>
      </c>
    </row>
    <row r="3100" spans="1:4" x14ac:dyDescent="0.3">
      <c r="A3100" s="2">
        <v>46199</v>
      </c>
      <c r="B3100">
        <v>2026</v>
      </c>
      <c r="C3100" t="s">
        <v>1079</v>
      </c>
      <c r="D3100" t="s">
        <v>1082</v>
      </c>
    </row>
    <row r="3101" spans="1:4" x14ac:dyDescent="0.3">
      <c r="A3101" s="2">
        <v>46200</v>
      </c>
      <c r="B3101">
        <v>2026</v>
      </c>
      <c r="C3101" t="s">
        <v>1079</v>
      </c>
      <c r="D3101" t="s">
        <v>1082</v>
      </c>
    </row>
    <row r="3102" spans="1:4" x14ac:dyDescent="0.3">
      <c r="A3102" s="2">
        <v>46201</v>
      </c>
      <c r="B3102">
        <v>2026</v>
      </c>
      <c r="C3102" t="s">
        <v>1079</v>
      </c>
      <c r="D3102" t="s">
        <v>1082</v>
      </c>
    </row>
    <row r="3103" spans="1:4" x14ac:dyDescent="0.3">
      <c r="A3103" s="2">
        <v>46202</v>
      </c>
      <c r="B3103">
        <v>2026</v>
      </c>
      <c r="C3103" t="s">
        <v>1079</v>
      </c>
      <c r="D3103" t="s">
        <v>1082</v>
      </c>
    </row>
    <row r="3104" spans="1:4" x14ac:dyDescent="0.3">
      <c r="A3104" s="2">
        <v>46203</v>
      </c>
      <c r="B3104">
        <v>2026</v>
      </c>
      <c r="C3104" t="s">
        <v>1079</v>
      </c>
      <c r="D3104" t="s">
        <v>1082</v>
      </c>
    </row>
    <row r="3105" spans="1:4" x14ac:dyDescent="0.3">
      <c r="A3105" s="2">
        <v>46204</v>
      </c>
      <c r="B3105">
        <v>2026</v>
      </c>
      <c r="C3105" t="s">
        <v>1083</v>
      </c>
      <c r="D3105" t="s">
        <v>1084</v>
      </c>
    </row>
    <row r="3106" spans="1:4" x14ac:dyDescent="0.3">
      <c r="A3106" s="2">
        <v>46205</v>
      </c>
      <c r="B3106">
        <v>2026</v>
      </c>
      <c r="C3106" t="s">
        <v>1083</v>
      </c>
      <c r="D3106" t="s">
        <v>1084</v>
      </c>
    </row>
    <row r="3107" spans="1:4" x14ac:dyDescent="0.3">
      <c r="A3107" s="2">
        <v>46206</v>
      </c>
      <c r="B3107">
        <v>2026</v>
      </c>
      <c r="C3107" t="s">
        <v>1083</v>
      </c>
      <c r="D3107" t="s">
        <v>1084</v>
      </c>
    </row>
    <row r="3108" spans="1:4" x14ac:dyDescent="0.3">
      <c r="A3108" s="2">
        <v>46207</v>
      </c>
      <c r="B3108">
        <v>2026</v>
      </c>
      <c r="C3108" t="s">
        <v>1083</v>
      </c>
      <c r="D3108" t="s">
        <v>1084</v>
      </c>
    </row>
    <row r="3109" spans="1:4" x14ac:dyDescent="0.3">
      <c r="A3109" s="2">
        <v>46208</v>
      </c>
      <c r="B3109">
        <v>2026</v>
      </c>
      <c r="C3109" t="s">
        <v>1083</v>
      </c>
      <c r="D3109" t="s">
        <v>1084</v>
      </c>
    </row>
    <row r="3110" spans="1:4" x14ac:dyDescent="0.3">
      <c r="A3110" s="2">
        <v>46209</v>
      </c>
      <c r="B3110">
        <v>2026</v>
      </c>
      <c r="C3110" t="s">
        <v>1083</v>
      </c>
      <c r="D3110" t="s">
        <v>1084</v>
      </c>
    </row>
    <row r="3111" spans="1:4" x14ac:dyDescent="0.3">
      <c r="A3111" s="2">
        <v>46210</v>
      </c>
      <c r="B3111">
        <v>2026</v>
      </c>
      <c r="C3111" t="s">
        <v>1083</v>
      </c>
      <c r="D3111" t="s">
        <v>1084</v>
      </c>
    </row>
    <row r="3112" spans="1:4" x14ac:dyDescent="0.3">
      <c r="A3112" s="2">
        <v>46211</v>
      </c>
      <c r="B3112">
        <v>2026</v>
      </c>
      <c r="C3112" t="s">
        <v>1083</v>
      </c>
      <c r="D3112" t="s">
        <v>1084</v>
      </c>
    </row>
    <row r="3113" spans="1:4" x14ac:dyDescent="0.3">
      <c r="A3113" s="2">
        <v>46212</v>
      </c>
      <c r="B3113">
        <v>2026</v>
      </c>
      <c r="C3113" t="s">
        <v>1083</v>
      </c>
      <c r="D3113" t="s">
        <v>1084</v>
      </c>
    </row>
    <row r="3114" spans="1:4" x14ac:dyDescent="0.3">
      <c r="A3114" s="2">
        <v>46213</v>
      </c>
      <c r="B3114">
        <v>2026</v>
      </c>
      <c r="C3114" t="s">
        <v>1083</v>
      </c>
      <c r="D3114" t="s">
        <v>1084</v>
      </c>
    </row>
    <row r="3115" spans="1:4" x14ac:dyDescent="0.3">
      <c r="A3115" s="2">
        <v>46214</v>
      </c>
      <c r="B3115">
        <v>2026</v>
      </c>
      <c r="C3115" t="s">
        <v>1083</v>
      </c>
      <c r="D3115" t="s">
        <v>1084</v>
      </c>
    </row>
    <row r="3116" spans="1:4" x14ac:dyDescent="0.3">
      <c r="A3116" s="2">
        <v>46215</v>
      </c>
      <c r="B3116">
        <v>2026</v>
      </c>
      <c r="C3116" t="s">
        <v>1083</v>
      </c>
      <c r="D3116" t="s">
        <v>1084</v>
      </c>
    </row>
    <row r="3117" spans="1:4" x14ac:dyDescent="0.3">
      <c r="A3117" s="2">
        <v>46216</v>
      </c>
      <c r="B3117">
        <v>2026</v>
      </c>
      <c r="C3117" t="s">
        <v>1083</v>
      </c>
      <c r="D3117" t="s">
        <v>1084</v>
      </c>
    </row>
    <row r="3118" spans="1:4" x14ac:dyDescent="0.3">
      <c r="A3118" s="2">
        <v>46217</v>
      </c>
      <c r="B3118">
        <v>2026</v>
      </c>
      <c r="C3118" t="s">
        <v>1083</v>
      </c>
      <c r="D3118" t="s">
        <v>1084</v>
      </c>
    </row>
    <row r="3119" spans="1:4" x14ac:dyDescent="0.3">
      <c r="A3119" s="2">
        <v>46218</v>
      </c>
      <c r="B3119">
        <v>2026</v>
      </c>
      <c r="C3119" t="s">
        <v>1083</v>
      </c>
      <c r="D3119" t="s">
        <v>1084</v>
      </c>
    </row>
    <row r="3120" spans="1:4" x14ac:dyDescent="0.3">
      <c r="A3120" s="2">
        <v>46219</v>
      </c>
      <c r="B3120">
        <v>2026</v>
      </c>
      <c r="C3120" t="s">
        <v>1083</v>
      </c>
      <c r="D3120" t="s">
        <v>1084</v>
      </c>
    </row>
    <row r="3121" spans="1:4" x14ac:dyDescent="0.3">
      <c r="A3121" s="2">
        <v>46220</v>
      </c>
      <c r="B3121">
        <v>2026</v>
      </c>
      <c r="C3121" t="s">
        <v>1083</v>
      </c>
      <c r="D3121" t="s">
        <v>1084</v>
      </c>
    </row>
    <row r="3122" spans="1:4" x14ac:dyDescent="0.3">
      <c r="A3122" s="2">
        <v>46221</v>
      </c>
      <c r="B3122">
        <v>2026</v>
      </c>
      <c r="C3122" t="s">
        <v>1083</v>
      </c>
      <c r="D3122" t="s">
        <v>1084</v>
      </c>
    </row>
    <row r="3123" spans="1:4" x14ac:dyDescent="0.3">
      <c r="A3123" s="2">
        <v>46222</v>
      </c>
      <c r="B3123">
        <v>2026</v>
      </c>
      <c r="C3123" t="s">
        <v>1083</v>
      </c>
      <c r="D3123" t="s">
        <v>1084</v>
      </c>
    </row>
    <row r="3124" spans="1:4" x14ac:dyDescent="0.3">
      <c r="A3124" s="2">
        <v>46223</v>
      </c>
      <c r="B3124">
        <v>2026</v>
      </c>
      <c r="C3124" t="s">
        <v>1083</v>
      </c>
      <c r="D3124" t="s">
        <v>1084</v>
      </c>
    </row>
    <row r="3125" spans="1:4" x14ac:dyDescent="0.3">
      <c r="A3125" s="2">
        <v>46224</v>
      </c>
      <c r="B3125">
        <v>2026</v>
      </c>
      <c r="C3125" t="s">
        <v>1083</v>
      </c>
      <c r="D3125" t="s">
        <v>1084</v>
      </c>
    </row>
    <row r="3126" spans="1:4" x14ac:dyDescent="0.3">
      <c r="A3126" s="2">
        <v>46225</v>
      </c>
      <c r="B3126">
        <v>2026</v>
      </c>
      <c r="C3126" t="s">
        <v>1083</v>
      </c>
      <c r="D3126" t="s">
        <v>1084</v>
      </c>
    </row>
    <row r="3127" spans="1:4" x14ac:dyDescent="0.3">
      <c r="A3127" s="2">
        <v>46226</v>
      </c>
      <c r="B3127">
        <v>2026</v>
      </c>
      <c r="C3127" t="s">
        <v>1083</v>
      </c>
      <c r="D3127" t="s">
        <v>1084</v>
      </c>
    </row>
    <row r="3128" spans="1:4" x14ac:dyDescent="0.3">
      <c r="A3128" s="2">
        <v>46227</v>
      </c>
      <c r="B3128">
        <v>2026</v>
      </c>
      <c r="C3128" t="s">
        <v>1083</v>
      </c>
      <c r="D3128" t="s">
        <v>1084</v>
      </c>
    </row>
    <row r="3129" spans="1:4" x14ac:dyDescent="0.3">
      <c r="A3129" s="2">
        <v>46228</v>
      </c>
      <c r="B3129">
        <v>2026</v>
      </c>
      <c r="C3129" t="s">
        <v>1083</v>
      </c>
      <c r="D3129" t="s">
        <v>1084</v>
      </c>
    </row>
    <row r="3130" spans="1:4" x14ac:dyDescent="0.3">
      <c r="A3130" s="2">
        <v>46229</v>
      </c>
      <c r="B3130">
        <v>2026</v>
      </c>
      <c r="C3130" t="s">
        <v>1083</v>
      </c>
      <c r="D3130" t="s">
        <v>1084</v>
      </c>
    </row>
    <row r="3131" spans="1:4" x14ac:dyDescent="0.3">
      <c r="A3131" s="2">
        <v>46230</v>
      </c>
      <c r="B3131">
        <v>2026</v>
      </c>
      <c r="C3131" t="s">
        <v>1083</v>
      </c>
      <c r="D3131" t="s">
        <v>1084</v>
      </c>
    </row>
    <row r="3132" spans="1:4" x14ac:dyDescent="0.3">
      <c r="A3132" s="2">
        <v>46231</v>
      </c>
      <c r="B3132">
        <v>2026</v>
      </c>
      <c r="C3132" t="s">
        <v>1083</v>
      </c>
      <c r="D3132" t="s">
        <v>1084</v>
      </c>
    </row>
    <row r="3133" spans="1:4" x14ac:dyDescent="0.3">
      <c r="A3133" s="2">
        <v>46232</v>
      </c>
      <c r="B3133">
        <v>2026</v>
      </c>
      <c r="C3133" t="s">
        <v>1083</v>
      </c>
      <c r="D3133" t="s">
        <v>1084</v>
      </c>
    </row>
    <row r="3134" spans="1:4" x14ac:dyDescent="0.3">
      <c r="A3134" s="2">
        <v>46233</v>
      </c>
      <c r="B3134">
        <v>2026</v>
      </c>
      <c r="C3134" t="s">
        <v>1083</v>
      </c>
      <c r="D3134" t="s">
        <v>1084</v>
      </c>
    </row>
    <row r="3135" spans="1:4" x14ac:dyDescent="0.3">
      <c r="A3135" s="2">
        <v>46234</v>
      </c>
      <c r="B3135">
        <v>2026</v>
      </c>
      <c r="C3135" t="s">
        <v>1083</v>
      </c>
      <c r="D3135" t="s">
        <v>1084</v>
      </c>
    </row>
    <row r="3136" spans="1:4" x14ac:dyDescent="0.3">
      <c r="A3136" s="2">
        <v>46235</v>
      </c>
      <c r="B3136">
        <v>2026</v>
      </c>
      <c r="C3136" t="s">
        <v>1083</v>
      </c>
      <c r="D3136" t="s">
        <v>1085</v>
      </c>
    </row>
    <row r="3137" spans="1:4" x14ac:dyDescent="0.3">
      <c r="A3137" s="2">
        <v>46236</v>
      </c>
      <c r="B3137">
        <v>2026</v>
      </c>
      <c r="C3137" t="s">
        <v>1083</v>
      </c>
      <c r="D3137" t="s">
        <v>1085</v>
      </c>
    </row>
    <row r="3138" spans="1:4" x14ac:dyDescent="0.3">
      <c r="A3138" s="2">
        <v>46237</v>
      </c>
      <c r="B3138">
        <v>2026</v>
      </c>
      <c r="C3138" t="s">
        <v>1083</v>
      </c>
      <c r="D3138" t="s">
        <v>1085</v>
      </c>
    </row>
    <row r="3139" spans="1:4" x14ac:dyDescent="0.3">
      <c r="A3139" s="2">
        <v>46238</v>
      </c>
      <c r="B3139">
        <v>2026</v>
      </c>
      <c r="C3139" t="s">
        <v>1083</v>
      </c>
      <c r="D3139" t="s">
        <v>1085</v>
      </c>
    </row>
    <row r="3140" spans="1:4" x14ac:dyDescent="0.3">
      <c r="A3140" s="2">
        <v>46239</v>
      </c>
      <c r="B3140">
        <v>2026</v>
      </c>
      <c r="C3140" t="s">
        <v>1083</v>
      </c>
      <c r="D3140" t="s">
        <v>1085</v>
      </c>
    </row>
    <row r="3141" spans="1:4" x14ac:dyDescent="0.3">
      <c r="A3141" s="2">
        <v>46240</v>
      </c>
      <c r="B3141">
        <v>2026</v>
      </c>
      <c r="C3141" t="s">
        <v>1083</v>
      </c>
      <c r="D3141" t="s">
        <v>1085</v>
      </c>
    </row>
    <row r="3142" spans="1:4" x14ac:dyDescent="0.3">
      <c r="A3142" s="2">
        <v>46241</v>
      </c>
      <c r="B3142">
        <v>2026</v>
      </c>
      <c r="C3142" t="s">
        <v>1083</v>
      </c>
      <c r="D3142" t="s">
        <v>1085</v>
      </c>
    </row>
    <row r="3143" spans="1:4" x14ac:dyDescent="0.3">
      <c r="A3143" s="2">
        <v>46242</v>
      </c>
      <c r="B3143">
        <v>2026</v>
      </c>
      <c r="C3143" t="s">
        <v>1083</v>
      </c>
      <c r="D3143" t="s">
        <v>1085</v>
      </c>
    </row>
    <row r="3144" spans="1:4" x14ac:dyDescent="0.3">
      <c r="A3144" s="2">
        <v>46243</v>
      </c>
      <c r="B3144">
        <v>2026</v>
      </c>
      <c r="C3144" t="s">
        <v>1083</v>
      </c>
      <c r="D3144" t="s">
        <v>1085</v>
      </c>
    </row>
    <row r="3145" spans="1:4" x14ac:dyDescent="0.3">
      <c r="A3145" s="2">
        <v>46244</v>
      </c>
      <c r="B3145">
        <v>2026</v>
      </c>
      <c r="C3145" t="s">
        <v>1083</v>
      </c>
      <c r="D3145" t="s">
        <v>1085</v>
      </c>
    </row>
    <row r="3146" spans="1:4" x14ac:dyDescent="0.3">
      <c r="A3146" s="2">
        <v>46245</v>
      </c>
      <c r="B3146">
        <v>2026</v>
      </c>
      <c r="C3146" t="s">
        <v>1083</v>
      </c>
      <c r="D3146" t="s">
        <v>1085</v>
      </c>
    </row>
    <row r="3147" spans="1:4" x14ac:dyDescent="0.3">
      <c r="A3147" s="2">
        <v>46246</v>
      </c>
      <c r="B3147">
        <v>2026</v>
      </c>
      <c r="C3147" t="s">
        <v>1083</v>
      </c>
      <c r="D3147" t="s">
        <v>1085</v>
      </c>
    </row>
    <row r="3148" spans="1:4" x14ac:dyDescent="0.3">
      <c r="A3148" s="2">
        <v>46247</v>
      </c>
      <c r="B3148">
        <v>2026</v>
      </c>
      <c r="C3148" t="s">
        <v>1083</v>
      </c>
      <c r="D3148" t="s">
        <v>1085</v>
      </c>
    </row>
    <row r="3149" spans="1:4" x14ac:dyDescent="0.3">
      <c r="A3149" s="2">
        <v>46248</v>
      </c>
      <c r="B3149">
        <v>2026</v>
      </c>
      <c r="C3149" t="s">
        <v>1083</v>
      </c>
      <c r="D3149" t="s">
        <v>1085</v>
      </c>
    </row>
    <row r="3150" spans="1:4" x14ac:dyDescent="0.3">
      <c r="A3150" s="2">
        <v>46249</v>
      </c>
      <c r="B3150">
        <v>2026</v>
      </c>
      <c r="C3150" t="s">
        <v>1083</v>
      </c>
      <c r="D3150" t="s">
        <v>1085</v>
      </c>
    </row>
    <row r="3151" spans="1:4" x14ac:dyDescent="0.3">
      <c r="A3151" s="2">
        <v>46250</v>
      </c>
      <c r="B3151">
        <v>2026</v>
      </c>
      <c r="C3151" t="s">
        <v>1083</v>
      </c>
      <c r="D3151" t="s">
        <v>1085</v>
      </c>
    </row>
    <row r="3152" spans="1:4" x14ac:dyDescent="0.3">
      <c r="A3152" s="2">
        <v>46251</v>
      </c>
      <c r="B3152">
        <v>2026</v>
      </c>
      <c r="C3152" t="s">
        <v>1083</v>
      </c>
      <c r="D3152" t="s">
        <v>1085</v>
      </c>
    </row>
    <row r="3153" spans="1:4" x14ac:dyDescent="0.3">
      <c r="A3153" s="2">
        <v>46252</v>
      </c>
      <c r="B3153">
        <v>2026</v>
      </c>
      <c r="C3153" t="s">
        <v>1083</v>
      </c>
      <c r="D3153" t="s">
        <v>1085</v>
      </c>
    </row>
    <row r="3154" spans="1:4" x14ac:dyDescent="0.3">
      <c r="A3154" s="2">
        <v>46253</v>
      </c>
      <c r="B3154">
        <v>2026</v>
      </c>
      <c r="C3154" t="s">
        <v>1083</v>
      </c>
      <c r="D3154" t="s">
        <v>1085</v>
      </c>
    </row>
    <row r="3155" spans="1:4" x14ac:dyDescent="0.3">
      <c r="A3155" s="2">
        <v>46254</v>
      </c>
      <c r="B3155">
        <v>2026</v>
      </c>
      <c r="C3155" t="s">
        <v>1083</v>
      </c>
      <c r="D3155" t="s">
        <v>1085</v>
      </c>
    </row>
    <row r="3156" spans="1:4" x14ac:dyDescent="0.3">
      <c r="A3156" s="2">
        <v>46255</v>
      </c>
      <c r="B3156">
        <v>2026</v>
      </c>
      <c r="C3156" t="s">
        <v>1083</v>
      </c>
      <c r="D3156" t="s">
        <v>1085</v>
      </c>
    </row>
    <row r="3157" spans="1:4" x14ac:dyDescent="0.3">
      <c r="A3157" s="2">
        <v>46256</v>
      </c>
      <c r="B3157">
        <v>2026</v>
      </c>
      <c r="C3157" t="s">
        <v>1083</v>
      </c>
      <c r="D3157" t="s">
        <v>1085</v>
      </c>
    </row>
    <row r="3158" spans="1:4" x14ac:dyDescent="0.3">
      <c r="A3158" s="2">
        <v>46257</v>
      </c>
      <c r="B3158">
        <v>2026</v>
      </c>
      <c r="C3158" t="s">
        <v>1083</v>
      </c>
      <c r="D3158" t="s">
        <v>1085</v>
      </c>
    </row>
    <row r="3159" spans="1:4" x14ac:dyDescent="0.3">
      <c r="A3159" s="2">
        <v>46258</v>
      </c>
      <c r="B3159">
        <v>2026</v>
      </c>
      <c r="C3159" t="s">
        <v>1083</v>
      </c>
      <c r="D3159" t="s">
        <v>1085</v>
      </c>
    </row>
    <row r="3160" spans="1:4" x14ac:dyDescent="0.3">
      <c r="A3160" s="2">
        <v>46259</v>
      </c>
      <c r="B3160">
        <v>2026</v>
      </c>
      <c r="C3160" t="s">
        <v>1083</v>
      </c>
      <c r="D3160" t="s">
        <v>1085</v>
      </c>
    </row>
    <row r="3161" spans="1:4" x14ac:dyDescent="0.3">
      <c r="A3161" s="2">
        <v>46260</v>
      </c>
      <c r="B3161">
        <v>2026</v>
      </c>
      <c r="C3161" t="s">
        <v>1083</v>
      </c>
      <c r="D3161" t="s">
        <v>1085</v>
      </c>
    </row>
    <row r="3162" spans="1:4" x14ac:dyDescent="0.3">
      <c r="A3162" s="2">
        <v>46261</v>
      </c>
      <c r="B3162">
        <v>2026</v>
      </c>
      <c r="C3162" t="s">
        <v>1083</v>
      </c>
      <c r="D3162" t="s">
        <v>1085</v>
      </c>
    </row>
    <row r="3163" spans="1:4" x14ac:dyDescent="0.3">
      <c r="A3163" s="2">
        <v>46262</v>
      </c>
      <c r="B3163">
        <v>2026</v>
      </c>
      <c r="C3163" t="s">
        <v>1083</v>
      </c>
      <c r="D3163" t="s">
        <v>1085</v>
      </c>
    </row>
    <row r="3164" spans="1:4" x14ac:dyDescent="0.3">
      <c r="A3164" s="2">
        <v>46263</v>
      </c>
      <c r="B3164">
        <v>2026</v>
      </c>
      <c r="C3164" t="s">
        <v>1083</v>
      </c>
      <c r="D3164" t="s">
        <v>1085</v>
      </c>
    </row>
    <row r="3165" spans="1:4" x14ac:dyDescent="0.3">
      <c r="A3165" s="2">
        <v>46264</v>
      </c>
      <c r="B3165">
        <v>2026</v>
      </c>
      <c r="C3165" t="s">
        <v>1083</v>
      </c>
      <c r="D3165" t="s">
        <v>1085</v>
      </c>
    </row>
    <row r="3166" spans="1:4" x14ac:dyDescent="0.3">
      <c r="A3166" s="2">
        <v>46265</v>
      </c>
      <c r="B3166">
        <v>2026</v>
      </c>
      <c r="C3166" t="s">
        <v>1083</v>
      </c>
      <c r="D3166" t="s">
        <v>1085</v>
      </c>
    </row>
    <row r="3167" spans="1:4" x14ac:dyDescent="0.3">
      <c r="A3167" s="2">
        <v>46266</v>
      </c>
      <c r="B3167">
        <v>2026</v>
      </c>
      <c r="C3167" t="s">
        <v>1083</v>
      </c>
      <c r="D3167" t="s">
        <v>1086</v>
      </c>
    </row>
    <row r="3168" spans="1:4" x14ac:dyDescent="0.3">
      <c r="A3168" s="2">
        <v>46267</v>
      </c>
      <c r="B3168">
        <v>2026</v>
      </c>
      <c r="C3168" t="s">
        <v>1083</v>
      </c>
      <c r="D3168" t="s">
        <v>1086</v>
      </c>
    </row>
    <row r="3169" spans="1:4" x14ac:dyDescent="0.3">
      <c r="A3169" s="2">
        <v>46268</v>
      </c>
      <c r="B3169">
        <v>2026</v>
      </c>
      <c r="C3169" t="s">
        <v>1083</v>
      </c>
      <c r="D3169" t="s">
        <v>1086</v>
      </c>
    </row>
    <row r="3170" spans="1:4" x14ac:dyDescent="0.3">
      <c r="A3170" s="2">
        <v>46269</v>
      </c>
      <c r="B3170">
        <v>2026</v>
      </c>
      <c r="C3170" t="s">
        <v>1083</v>
      </c>
      <c r="D3170" t="s">
        <v>1086</v>
      </c>
    </row>
    <row r="3171" spans="1:4" x14ac:dyDescent="0.3">
      <c r="A3171" s="2">
        <v>46270</v>
      </c>
      <c r="B3171">
        <v>2026</v>
      </c>
      <c r="C3171" t="s">
        <v>1083</v>
      </c>
      <c r="D3171" t="s">
        <v>1086</v>
      </c>
    </row>
    <row r="3172" spans="1:4" x14ac:dyDescent="0.3">
      <c r="A3172" s="2">
        <v>46271</v>
      </c>
      <c r="B3172">
        <v>2026</v>
      </c>
      <c r="C3172" t="s">
        <v>1083</v>
      </c>
      <c r="D3172" t="s">
        <v>1086</v>
      </c>
    </row>
    <row r="3173" spans="1:4" x14ac:dyDescent="0.3">
      <c r="A3173" s="2">
        <v>46272</v>
      </c>
      <c r="B3173">
        <v>2026</v>
      </c>
      <c r="C3173" t="s">
        <v>1083</v>
      </c>
      <c r="D3173" t="s">
        <v>1086</v>
      </c>
    </row>
    <row r="3174" spans="1:4" x14ac:dyDescent="0.3">
      <c r="A3174" s="2">
        <v>46273</v>
      </c>
      <c r="B3174">
        <v>2026</v>
      </c>
      <c r="C3174" t="s">
        <v>1083</v>
      </c>
      <c r="D3174" t="s">
        <v>1086</v>
      </c>
    </row>
    <row r="3175" spans="1:4" x14ac:dyDescent="0.3">
      <c r="A3175" s="2">
        <v>46274</v>
      </c>
      <c r="B3175">
        <v>2026</v>
      </c>
      <c r="C3175" t="s">
        <v>1083</v>
      </c>
      <c r="D3175" t="s">
        <v>1086</v>
      </c>
    </row>
    <row r="3176" spans="1:4" x14ac:dyDescent="0.3">
      <c r="A3176" s="2">
        <v>46275</v>
      </c>
      <c r="B3176">
        <v>2026</v>
      </c>
      <c r="C3176" t="s">
        <v>1083</v>
      </c>
      <c r="D3176" t="s">
        <v>1086</v>
      </c>
    </row>
    <row r="3177" spans="1:4" x14ac:dyDescent="0.3">
      <c r="A3177" s="2">
        <v>46276</v>
      </c>
      <c r="B3177">
        <v>2026</v>
      </c>
      <c r="C3177" t="s">
        <v>1083</v>
      </c>
      <c r="D3177" t="s">
        <v>1086</v>
      </c>
    </row>
    <row r="3178" spans="1:4" x14ac:dyDescent="0.3">
      <c r="A3178" s="2">
        <v>46277</v>
      </c>
      <c r="B3178">
        <v>2026</v>
      </c>
      <c r="C3178" t="s">
        <v>1083</v>
      </c>
      <c r="D3178" t="s">
        <v>1086</v>
      </c>
    </row>
    <row r="3179" spans="1:4" x14ac:dyDescent="0.3">
      <c r="A3179" s="2">
        <v>46278</v>
      </c>
      <c r="B3179">
        <v>2026</v>
      </c>
      <c r="C3179" t="s">
        <v>1083</v>
      </c>
      <c r="D3179" t="s">
        <v>1086</v>
      </c>
    </row>
    <row r="3180" spans="1:4" x14ac:dyDescent="0.3">
      <c r="A3180" s="2">
        <v>46279</v>
      </c>
      <c r="B3180">
        <v>2026</v>
      </c>
      <c r="C3180" t="s">
        <v>1083</v>
      </c>
      <c r="D3180" t="s">
        <v>1086</v>
      </c>
    </row>
    <row r="3181" spans="1:4" x14ac:dyDescent="0.3">
      <c r="A3181" s="2">
        <v>46280</v>
      </c>
      <c r="B3181">
        <v>2026</v>
      </c>
      <c r="C3181" t="s">
        <v>1083</v>
      </c>
      <c r="D3181" t="s">
        <v>1086</v>
      </c>
    </row>
    <row r="3182" spans="1:4" x14ac:dyDescent="0.3">
      <c r="A3182" s="2">
        <v>46281</v>
      </c>
      <c r="B3182">
        <v>2026</v>
      </c>
      <c r="C3182" t="s">
        <v>1083</v>
      </c>
      <c r="D3182" t="s">
        <v>1086</v>
      </c>
    </row>
    <row r="3183" spans="1:4" x14ac:dyDescent="0.3">
      <c r="A3183" s="2">
        <v>46282</v>
      </c>
      <c r="B3183">
        <v>2026</v>
      </c>
      <c r="C3183" t="s">
        <v>1083</v>
      </c>
      <c r="D3183" t="s">
        <v>1086</v>
      </c>
    </row>
    <row r="3184" spans="1:4" x14ac:dyDescent="0.3">
      <c r="A3184" s="2">
        <v>46283</v>
      </c>
      <c r="B3184">
        <v>2026</v>
      </c>
      <c r="C3184" t="s">
        <v>1083</v>
      </c>
      <c r="D3184" t="s">
        <v>1086</v>
      </c>
    </row>
    <row r="3185" spans="1:4" x14ac:dyDescent="0.3">
      <c r="A3185" s="2">
        <v>46284</v>
      </c>
      <c r="B3185">
        <v>2026</v>
      </c>
      <c r="C3185" t="s">
        <v>1083</v>
      </c>
      <c r="D3185" t="s">
        <v>1086</v>
      </c>
    </row>
    <row r="3186" spans="1:4" x14ac:dyDescent="0.3">
      <c r="A3186" s="2">
        <v>46285</v>
      </c>
      <c r="B3186">
        <v>2026</v>
      </c>
      <c r="C3186" t="s">
        <v>1083</v>
      </c>
      <c r="D3186" t="s">
        <v>1086</v>
      </c>
    </row>
    <row r="3187" spans="1:4" x14ac:dyDescent="0.3">
      <c r="A3187" s="2">
        <v>46286</v>
      </c>
      <c r="B3187">
        <v>2026</v>
      </c>
      <c r="C3187" t="s">
        <v>1083</v>
      </c>
      <c r="D3187" t="s">
        <v>1086</v>
      </c>
    </row>
    <row r="3188" spans="1:4" x14ac:dyDescent="0.3">
      <c r="A3188" s="2">
        <v>46287</v>
      </c>
      <c r="B3188">
        <v>2026</v>
      </c>
      <c r="C3188" t="s">
        <v>1083</v>
      </c>
      <c r="D3188" t="s">
        <v>1086</v>
      </c>
    </row>
    <row r="3189" spans="1:4" x14ac:dyDescent="0.3">
      <c r="A3189" s="2">
        <v>46288</v>
      </c>
      <c r="B3189">
        <v>2026</v>
      </c>
      <c r="C3189" t="s">
        <v>1083</v>
      </c>
      <c r="D3189" t="s">
        <v>1086</v>
      </c>
    </row>
    <row r="3190" spans="1:4" x14ac:dyDescent="0.3">
      <c r="A3190" s="2">
        <v>46289</v>
      </c>
      <c r="B3190">
        <v>2026</v>
      </c>
      <c r="C3190" t="s">
        <v>1083</v>
      </c>
      <c r="D3190" t="s">
        <v>1086</v>
      </c>
    </row>
    <row r="3191" spans="1:4" x14ac:dyDescent="0.3">
      <c r="A3191" s="2">
        <v>46290</v>
      </c>
      <c r="B3191">
        <v>2026</v>
      </c>
      <c r="C3191" t="s">
        <v>1083</v>
      </c>
      <c r="D3191" t="s">
        <v>1086</v>
      </c>
    </row>
    <row r="3192" spans="1:4" x14ac:dyDescent="0.3">
      <c r="A3192" s="2">
        <v>46291</v>
      </c>
      <c r="B3192">
        <v>2026</v>
      </c>
      <c r="C3192" t="s">
        <v>1083</v>
      </c>
      <c r="D3192" t="s">
        <v>1086</v>
      </c>
    </row>
    <row r="3193" spans="1:4" x14ac:dyDescent="0.3">
      <c r="A3193" s="2">
        <v>46292</v>
      </c>
      <c r="B3193">
        <v>2026</v>
      </c>
      <c r="C3193" t="s">
        <v>1083</v>
      </c>
      <c r="D3193" t="s">
        <v>1086</v>
      </c>
    </row>
    <row r="3194" spans="1:4" x14ac:dyDescent="0.3">
      <c r="A3194" s="2">
        <v>46293</v>
      </c>
      <c r="B3194">
        <v>2026</v>
      </c>
      <c r="C3194" t="s">
        <v>1083</v>
      </c>
      <c r="D3194" t="s">
        <v>1086</v>
      </c>
    </row>
    <row r="3195" spans="1:4" x14ac:dyDescent="0.3">
      <c r="A3195" s="2">
        <v>46294</v>
      </c>
      <c r="B3195">
        <v>2026</v>
      </c>
      <c r="C3195" t="s">
        <v>1083</v>
      </c>
      <c r="D3195" t="s">
        <v>1086</v>
      </c>
    </row>
    <row r="3196" spans="1:4" x14ac:dyDescent="0.3">
      <c r="A3196" s="2">
        <v>46295</v>
      </c>
      <c r="B3196">
        <v>2026</v>
      </c>
      <c r="C3196" t="s">
        <v>1083</v>
      </c>
      <c r="D3196" t="s">
        <v>1086</v>
      </c>
    </row>
    <row r="3197" spans="1:4" x14ac:dyDescent="0.3">
      <c r="A3197" s="2">
        <v>46296</v>
      </c>
      <c r="B3197">
        <v>2026</v>
      </c>
      <c r="C3197" t="s">
        <v>1087</v>
      </c>
      <c r="D3197" t="s">
        <v>1088</v>
      </c>
    </row>
    <row r="3198" spans="1:4" x14ac:dyDescent="0.3">
      <c r="A3198" s="2">
        <v>46297</v>
      </c>
      <c r="B3198">
        <v>2026</v>
      </c>
      <c r="C3198" t="s">
        <v>1087</v>
      </c>
      <c r="D3198" t="s">
        <v>1088</v>
      </c>
    </row>
    <row r="3199" spans="1:4" x14ac:dyDescent="0.3">
      <c r="A3199" s="2">
        <v>46298</v>
      </c>
      <c r="B3199">
        <v>2026</v>
      </c>
      <c r="C3199" t="s">
        <v>1087</v>
      </c>
      <c r="D3199" t="s">
        <v>1088</v>
      </c>
    </row>
    <row r="3200" spans="1:4" x14ac:dyDescent="0.3">
      <c r="A3200" s="2">
        <v>46299</v>
      </c>
      <c r="B3200">
        <v>2026</v>
      </c>
      <c r="C3200" t="s">
        <v>1087</v>
      </c>
      <c r="D3200" t="s">
        <v>1088</v>
      </c>
    </row>
    <row r="3201" spans="1:4" x14ac:dyDescent="0.3">
      <c r="A3201" s="2">
        <v>46300</v>
      </c>
      <c r="B3201">
        <v>2026</v>
      </c>
      <c r="C3201" t="s">
        <v>1087</v>
      </c>
      <c r="D3201" t="s">
        <v>1088</v>
      </c>
    </row>
    <row r="3202" spans="1:4" x14ac:dyDescent="0.3">
      <c r="A3202" s="2">
        <v>46301</v>
      </c>
      <c r="B3202">
        <v>2026</v>
      </c>
      <c r="C3202" t="s">
        <v>1087</v>
      </c>
      <c r="D3202" t="s">
        <v>1088</v>
      </c>
    </row>
    <row r="3203" spans="1:4" x14ac:dyDescent="0.3">
      <c r="A3203" s="2">
        <v>46302</v>
      </c>
      <c r="B3203">
        <v>2026</v>
      </c>
      <c r="C3203" t="s">
        <v>1087</v>
      </c>
      <c r="D3203" t="s">
        <v>1088</v>
      </c>
    </row>
    <row r="3204" spans="1:4" x14ac:dyDescent="0.3">
      <c r="A3204" s="2">
        <v>46303</v>
      </c>
      <c r="B3204">
        <v>2026</v>
      </c>
      <c r="C3204" t="s">
        <v>1087</v>
      </c>
      <c r="D3204" t="s">
        <v>1088</v>
      </c>
    </row>
    <row r="3205" spans="1:4" x14ac:dyDescent="0.3">
      <c r="A3205" s="2">
        <v>46304</v>
      </c>
      <c r="B3205">
        <v>2026</v>
      </c>
      <c r="C3205" t="s">
        <v>1087</v>
      </c>
      <c r="D3205" t="s">
        <v>1088</v>
      </c>
    </row>
    <row r="3206" spans="1:4" x14ac:dyDescent="0.3">
      <c r="A3206" s="2">
        <v>46305</v>
      </c>
      <c r="B3206">
        <v>2026</v>
      </c>
      <c r="C3206" t="s">
        <v>1087</v>
      </c>
      <c r="D3206" t="s">
        <v>1088</v>
      </c>
    </row>
    <row r="3207" spans="1:4" x14ac:dyDescent="0.3">
      <c r="A3207" s="2">
        <v>46306</v>
      </c>
      <c r="B3207">
        <v>2026</v>
      </c>
      <c r="C3207" t="s">
        <v>1087</v>
      </c>
      <c r="D3207" t="s">
        <v>1088</v>
      </c>
    </row>
    <row r="3208" spans="1:4" x14ac:dyDescent="0.3">
      <c r="A3208" s="2">
        <v>46307</v>
      </c>
      <c r="B3208">
        <v>2026</v>
      </c>
      <c r="C3208" t="s">
        <v>1087</v>
      </c>
      <c r="D3208" t="s">
        <v>1088</v>
      </c>
    </row>
    <row r="3209" spans="1:4" x14ac:dyDescent="0.3">
      <c r="A3209" s="2">
        <v>46308</v>
      </c>
      <c r="B3209">
        <v>2026</v>
      </c>
      <c r="C3209" t="s">
        <v>1087</v>
      </c>
      <c r="D3209" t="s">
        <v>1088</v>
      </c>
    </row>
    <row r="3210" spans="1:4" x14ac:dyDescent="0.3">
      <c r="A3210" s="2">
        <v>46309</v>
      </c>
      <c r="B3210">
        <v>2026</v>
      </c>
      <c r="C3210" t="s">
        <v>1087</v>
      </c>
      <c r="D3210" t="s">
        <v>1088</v>
      </c>
    </row>
    <row r="3211" spans="1:4" x14ac:dyDescent="0.3">
      <c r="A3211" s="2">
        <v>46310</v>
      </c>
      <c r="B3211">
        <v>2026</v>
      </c>
      <c r="C3211" t="s">
        <v>1087</v>
      </c>
      <c r="D3211" t="s">
        <v>1088</v>
      </c>
    </row>
    <row r="3212" spans="1:4" x14ac:dyDescent="0.3">
      <c r="A3212" s="2">
        <v>46311</v>
      </c>
      <c r="B3212">
        <v>2026</v>
      </c>
      <c r="C3212" t="s">
        <v>1087</v>
      </c>
      <c r="D3212" t="s">
        <v>1088</v>
      </c>
    </row>
    <row r="3213" spans="1:4" x14ac:dyDescent="0.3">
      <c r="A3213" s="2">
        <v>46312</v>
      </c>
      <c r="B3213">
        <v>2026</v>
      </c>
      <c r="C3213" t="s">
        <v>1087</v>
      </c>
      <c r="D3213" t="s">
        <v>1088</v>
      </c>
    </row>
    <row r="3214" spans="1:4" x14ac:dyDescent="0.3">
      <c r="A3214" s="2">
        <v>46313</v>
      </c>
      <c r="B3214">
        <v>2026</v>
      </c>
      <c r="C3214" t="s">
        <v>1087</v>
      </c>
      <c r="D3214" t="s">
        <v>1088</v>
      </c>
    </row>
    <row r="3215" spans="1:4" x14ac:dyDescent="0.3">
      <c r="A3215" s="2">
        <v>46314</v>
      </c>
      <c r="B3215">
        <v>2026</v>
      </c>
      <c r="C3215" t="s">
        <v>1087</v>
      </c>
      <c r="D3215" t="s">
        <v>1088</v>
      </c>
    </row>
    <row r="3216" spans="1:4" x14ac:dyDescent="0.3">
      <c r="A3216" s="2">
        <v>46315</v>
      </c>
      <c r="B3216">
        <v>2026</v>
      </c>
      <c r="C3216" t="s">
        <v>1087</v>
      </c>
      <c r="D3216" t="s">
        <v>1088</v>
      </c>
    </row>
    <row r="3217" spans="1:4" x14ac:dyDescent="0.3">
      <c r="A3217" s="2">
        <v>46316</v>
      </c>
      <c r="B3217">
        <v>2026</v>
      </c>
      <c r="C3217" t="s">
        <v>1087</v>
      </c>
      <c r="D3217" t="s">
        <v>1088</v>
      </c>
    </row>
    <row r="3218" spans="1:4" x14ac:dyDescent="0.3">
      <c r="A3218" s="2">
        <v>46317</v>
      </c>
      <c r="B3218">
        <v>2026</v>
      </c>
      <c r="C3218" t="s">
        <v>1087</v>
      </c>
      <c r="D3218" t="s">
        <v>1088</v>
      </c>
    </row>
    <row r="3219" spans="1:4" x14ac:dyDescent="0.3">
      <c r="A3219" s="2">
        <v>46318</v>
      </c>
      <c r="B3219">
        <v>2026</v>
      </c>
      <c r="C3219" t="s">
        <v>1087</v>
      </c>
      <c r="D3219" t="s">
        <v>1088</v>
      </c>
    </row>
    <row r="3220" spans="1:4" x14ac:dyDescent="0.3">
      <c r="A3220" s="2">
        <v>46319</v>
      </c>
      <c r="B3220">
        <v>2026</v>
      </c>
      <c r="C3220" t="s">
        <v>1087</v>
      </c>
      <c r="D3220" t="s">
        <v>1088</v>
      </c>
    </row>
    <row r="3221" spans="1:4" x14ac:dyDescent="0.3">
      <c r="A3221" s="2">
        <v>46320</v>
      </c>
      <c r="B3221">
        <v>2026</v>
      </c>
      <c r="C3221" t="s">
        <v>1087</v>
      </c>
      <c r="D3221" t="s">
        <v>1088</v>
      </c>
    </row>
    <row r="3222" spans="1:4" x14ac:dyDescent="0.3">
      <c r="A3222" s="2">
        <v>46321</v>
      </c>
      <c r="B3222">
        <v>2026</v>
      </c>
      <c r="C3222" t="s">
        <v>1087</v>
      </c>
      <c r="D3222" t="s">
        <v>1088</v>
      </c>
    </row>
    <row r="3223" spans="1:4" x14ac:dyDescent="0.3">
      <c r="A3223" s="2">
        <v>46322</v>
      </c>
      <c r="B3223">
        <v>2026</v>
      </c>
      <c r="C3223" t="s">
        <v>1087</v>
      </c>
      <c r="D3223" t="s">
        <v>1088</v>
      </c>
    </row>
    <row r="3224" spans="1:4" x14ac:dyDescent="0.3">
      <c r="A3224" s="2">
        <v>46323</v>
      </c>
      <c r="B3224">
        <v>2026</v>
      </c>
      <c r="C3224" t="s">
        <v>1087</v>
      </c>
      <c r="D3224" t="s">
        <v>1088</v>
      </c>
    </row>
    <row r="3225" spans="1:4" x14ac:dyDescent="0.3">
      <c r="A3225" s="2">
        <v>46324</v>
      </c>
      <c r="B3225">
        <v>2026</v>
      </c>
      <c r="C3225" t="s">
        <v>1087</v>
      </c>
      <c r="D3225" t="s">
        <v>1088</v>
      </c>
    </row>
    <row r="3226" spans="1:4" x14ac:dyDescent="0.3">
      <c r="A3226" s="2">
        <v>46325</v>
      </c>
      <c r="B3226">
        <v>2026</v>
      </c>
      <c r="C3226" t="s">
        <v>1087</v>
      </c>
      <c r="D3226" t="s">
        <v>1088</v>
      </c>
    </row>
    <row r="3227" spans="1:4" x14ac:dyDescent="0.3">
      <c r="A3227" s="2">
        <v>46326</v>
      </c>
      <c r="B3227">
        <v>2026</v>
      </c>
      <c r="C3227" t="s">
        <v>1087</v>
      </c>
      <c r="D3227" t="s">
        <v>1088</v>
      </c>
    </row>
    <row r="3228" spans="1:4" x14ac:dyDescent="0.3">
      <c r="A3228" s="2">
        <v>46327</v>
      </c>
      <c r="B3228">
        <v>2026</v>
      </c>
      <c r="C3228" t="s">
        <v>1087</v>
      </c>
      <c r="D3228" t="s">
        <v>1089</v>
      </c>
    </row>
    <row r="3229" spans="1:4" x14ac:dyDescent="0.3">
      <c r="A3229" s="2">
        <v>46328</v>
      </c>
      <c r="B3229">
        <v>2026</v>
      </c>
      <c r="C3229" t="s">
        <v>1087</v>
      </c>
      <c r="D3229" t="s">
        <v>1089</v>
      </c>
    </row>
    <row r="3230" spans="1:4" x14ac:dyDescent="0.3">
      <c r="A3230" s="2">
        <v>46329</v>
      </c>
      <c r="B3230">
        <v>2026</v>
      </c>
      <c r="C3230" t="s">
        <v>1087</v>
      </c>
      <c r="D3230" t="s">
        <v>1089</v>
      </c>
    </row>
    <row r="3231" spans="1:4" x14ac:dyDescent="0.3">
      <c r="A3231" s="2">
        <v>46330</v>
      </c>
      <c r="B3231">
        <v>2026</v>
      </c>
      <c r="C3231" t="s">
        <v>1087</v>
      </c>
      <c r="D3231" t="s">
        <v>1089</v>
      </c>
    </row>
    <row r="3232" spans="1:4" x14ac:dyDescent="0.3">
      <c r="A3232" s="2">
        <v>46331</v>
      </c>
      <c r="B3232">
        <v>2026</v>
      </c>
      <c r="C3232" t="s">
        <v>1087</v>
      </c>
      <c r="D3232" t="s">
        <v>1089</v>
      </c>
    </row>
    <row r="3233" spans="1:4" x14ac:dyDescent="0.3">
      <c r="A3233" s="2">
        <v>46332</v>
      </c>
      <c r="B3233">
        <v>2026</v>
      </c>
      <c r="C3233" t="s">
        <v>1087</v>
      </c>
      <c r="D3233" t="s">
        <v>1089</v>
      </c>
    </row>
    <row r="3234" spans="1:4" x14ac:dyDescent="0.3">
      <c r="A3234" s="2">
        <v>46333</v>
      </c>
      <c r="B3234">
        <v>2026</v>
      </c>
      <c r="C3234" t="s">
        <v>1087</v>
      </c>
      <c r="D3234" t="s">
        <v>1089</v>
      </c>
    </row>
    <row r="3235" spans="1:4" x14ac:dyDescent="0.3">
      <c r="A3235" s="2">
        <v>46334</v>
      </c>
      <c r="B3235">
        <v>2026</v>
      </c>
      <c r="C3235" t="s">
        <v>1087</v>
      </c>
      <c r="D3235" t="s">
        <v>1089</v>
      </c>
    </row>
    <row r="3236" spans="1:4" x14ac:dyDescent="0.3">
      <c r="A3236" s="2">
        <v>46335</v>
      </c>
      <c r="B3236">
        <v>2026</v>
      </c>
      <c r="C3236" t="s">
        <v>1087</v>
      </c>
      <c r="D3236" t="s">
        <v>1089</v>
      </c>
    </row>
    <row r="3237" spans="1:4" x14ac:dyDescent="0.3">
      <c r="A3237" s="2">
        <v>46336</v>
      </c>
      <c r="B3237">
        <v>2026</v>
      </c>
      <c r="C3237" t="s">
        <v>1087</v>
      </c>
      <c r="D3237" t="s">
        <v>1089</v>
      </c>
    </row>
    <row r="3238" spans="1:4" x14ac:dyDescent="0.3">
      <c r="A3238" s="2">
        <v>46337</v>
      </c>
      <c r="B3238">
        <v>2026</v>
      </c>
      <c r="C3238" t="s">
        <v>1087</v>
      </c>
      <c r="D3238" t="s">
        <v>1089</v>
      </c>
    </row>
    <row r="3239" spans="1:4" x14ac:dyDescent="0.3">
      <c r="A3239" s="2">
        <v>46338</v>
      </c>
      <c r="B3239">
        <v>2026</v>
      </c>
      <c r="C3239" t="s">
        <v>1087</v>
      </c>
      <c r="D3239" t="s">
        <v>1089</v>
      </c>
    </row>
    <row r="3240" spans="1:4" x14ac:dyDescent="0.3">
      <c r="A3240" s="2">
        <v>46339</v>
      </c>
      <c r="B3240">
        <v>2026</v>
      </c>
      <c r="C3240" t="s">
        <v>1087</v>
      </c>
      <c r="D3240" t="s">
        <v>1089</v>
      </c>
    </row>
    <row r="3241" spans="1:4" x14ac:dyDescent="0.3">
      <c r="A3241" s="2">
        <v>46340</v>
      </c>
      <c r="B3241">
        <v>2026</v>
      </c>
      <c r="C3241" t="s">
        <v>1087</v>
      </c>
      <c r="D3241" t="s">
        <v>1089</v>
      </c>
    </row>
    <row r="3242" spans="1:4" x14ac:dyDescent="0.3">
      <c r="A3242" s="2">
        <v>46341</v>
      </c>
      <c r="B3242">
        <v>2026</v>
      </c>
      <c r="C3242" t="s">
        <v>1087</v>
      </c>
      <c r="D3242" t="s">
        <v>1089</v>
      </c>
    </row>
    <row r="3243" spans="1:4" x14ac:dyDescent="0.3">
      <c r="A3243" s="2">
        <v>46342</v>
      </c>
      <c r="B3243">
        <v>2026</v>
      </c>
      <c r="C3243" t="s">
        <v>1087</v>
      </c>
      <c r="D3243" t="s">
        <v>1089</v>
      </c>
    </row>
    <row r="3244" spans="1:4" x14ac:dyDescent="0.3">
      <c r="A3244" s="2">
        <v>46343</v>
      </c>
      <c r="B3244">
        <v>2026</v>
      </c>
      <c r="C3244" t="s">
        <v>1087</v>
      </c>
      <c r="D3244" t="s">
        <v>1089</v>
      </c>
    </row>
    <row r="3245" spans="1:4" x14ac:dyDescent="0.3">
      <c r="A3245" s="2">
        <v>46344</v>
      </c>
      <c r="B3245">
        <v>2026</v>
      </c>
      <c r="C3245" t="s">
        <v>1087</v>
      </c>
      <c r="D3245" t="s">
        <v>1089</v>
      </c>
    </row>
    <row r="3246" spans="1:4" x14ac:dyDescent="0.3">
      <c r="A3246" s="2">
        <v>46345</v>
      </c>
      <c r="B3246">
        <v>2026</v>
      </c>
      <c r="C3246" t="s">
        <v>1087</v>
      </c>
      <c r="D3246" t="s">
        <v>1089</v>
      </c>
    </row>
    <row r="3247" spans="1:4" x14ac:dyDescent="0.3">
      <c r="A3247" s="2">
        <v>46346</v>
      </c>
      <c r="B3247">
        <v>2026</v>
      </c>
      <c r="C3247" t="s">
        <v>1087</v>
      </c>
      <c r="D3247" t="s">
        <v>1089</v>
      </c>
    </row>
    <row r="3248" spans="1:4" x14ac:dyDescent="0.3">
      <c r="A3248" s="2">
        <v>46347</v>
      </c>
      <c r="B3248">
        <v>2026</v>
      </c>
      <c r="C3248" t="s">
        <v>1087</v>
      </c>
      <c r="D3248" t="s">
        <v>1089</v>
      </c>
    </row>
    <row r="3249" spans="1:4" x14ac:dyDescent="0.3">
      <c r="A3249" s="2">
        <v>46348</v>
      </c>
      <c r="B3249">
        <v>2026</v>
      </c>
      <c r="C3249" t="s">
        <v>1087</v>
      </c>
      <c r="D3249" t="s">
        <v>1089</v>
      </c>
    </row>
    <row r="3250" spans="1:4" x14ac:dyDescent="0.3">
      <c r="A3250" s="2">
        <v>46349</v>
      </c>
      <c r="B3250">
        <v>2026</v>
      </c>
      <c r="C3250" t="s">
        <v>1087</v>
      </c>
      <c r="D3250" t="s">
        <v>1089</v>
      </c>
    </row>
    <row r="3251" spans="1:4" x14ac:dyDescent="0.3">
      <c r="A3251" s="2">
        <v>46350</v>
      </c>
      <c r="B3251">
        <v>2026</v>
      </c>
      <c r="C3251" t="s">
        <v>1087</v>
      </c>
      <c r="D3251" t="s">
        <v>1089</v>
      </c>
    </row>
    <row r="3252" spans="1:4" x14ac:dyDescent="0.3">
      <c r="A3252" s="2">
        <v>46351</v>
      </c>
      <c r="B3252">
        <v>2026</v>
      </c>
      <c r="C3252" t="s">
        <v>1087</v>
      </c>
      <c r="D3252" t="s">
        <v>1089</v>
      </c>
    </row>
    <row r="3253" spans="1:4" x14ac:dyDescent="0.3">
      <c r="A3253" s="2">
        <v>46352</v>
      </c>
      <c r="B3253">
        <v>2026</v>
      </c>
      <c r="C3253" t="s">
        <v>1087</v>
      </c>
      <c r="D3253" t="s">
        <v>1089</v>
      </c>
    </row>
    <row r="3254" spans="1:4" x14ac:dyDescent="0.3">
      <c r="A3254" s="2">
        <v>46353</v>
      </c>
      <c r="B3254">
        <v>2026</v>
      </c>
      <c r="C3254" t="s">
        <v>1087</v>
      </c>
      <c r="D3254" t="s">
        <v>1089</v>
      </c>
    </row>
    <row r="3255" spans="1:4" x14ac:dyDescent="0.3">
      <c r="A3255" s="2">
        <v>46354</v>
      </c>
      <c r="B3255">
        <v>2026</v>
      </c>
      <c r="C3255" t="s">
        <v>1087</v>
      </c>
      <c r="D3255" t="s">
        <v>1089</v>
      </c>
    </row>
    <row r="3256" spans="1:4" x14ac:dyDescent="0.3">
      <c r="A3256" s="2">
        <v>46355</v>
      </c>
      <c r="B3256">
        <v>2026</v>
      </c>
      <c r="C3256" t="s">
        <v>1087</v>
      </c>
      <c r="D3256" t="s">
        <v>1089</v>
      </c>
    </row>
    <row r="3257" spans="1:4" x14ac:dyDescent="0.3">
      <c r="A3257" s="2">
        <v>46356</v>
      </c>
      <c r="B3257">
        <v>2026</v>
      </c>
      <c r="C3257" t="s">
        <v>1087</v>
      </c>
      <c r="D3257" t="s">
        <v>1089</v>
      </c>
    </row>
    <row r="3258" spans="1:4" x14ac:dyDescent="0.3">
      <c r="A3258" s="2">
        <v>46357</v>
      </c>
      <c r="B3258">
        <v>2026</v>
      </c>
      <c r="C3258" t="s">
        <v>1087</v>
      </c>
      <c r="D3258" t="s">
        <v>1090</v>
      </c>
    </row>
    <row r="3259" spans="1:4" x14ac:dyDescent="0.3">
      <c r="A3259" s="2">
        <v>46358</v>
      </c>
      <c r="B3259">
        <v>2026</v>
      </c>
      <c r="C3259" t="s">
        <v>1087</v>
      </c>
      <c r="D3259" t="s">
        <v>1090</v>
      </c>
    </row>
    <row r="3260" spans="1:4" x14ac:dyDescent="0.3">
      <c r="A3260" s="2">
        <v>46359</v>
      </c>
      <c r="B3260">
        <v>2026</v>
      </c>
      <c r="C3260" t="s">
        <v>1087</v>
      </c>
      <c r="D3260" t="s">
        <v>1090</v>
      </c>
    </row>
    <row r="3261" spans="1:4" x14ac:dyDescent="0.3">
      <c r="A3261" s="2">
        <v>46360</v>
      </c>
      <c r="B3261">
        <v>2026</v>
      </c>
      <c r="C3261" t="s">
        <v>1087</v>
      </c>
      <c r="D3261" t="s">
        <v>1090</v>
      </c>
    </row>
    <row r="3262" spans="1:4" x14ac:dyDescent="0.3">
      <c r="A3262" s="2">
        <v>46361</v>
      </c>
      <c r="B3262">
        <v>2026</v>
      </c>
      <c r="C3262" t="s">
        <v>1087</v>
      </c>
      <c r="D3262" t="s">
        <v>1090</v>
      </c>
    </row>
    <row r="3263" spans="1:4" x14ac:dyDescent="0.3">
      <c r="A3263" s="2">
        <v>46362</v>
      </c>
      <c r="B3263">
        <v>2026</v>
      </c>
      <c r="C3263" t="s">
        <v>1087</v>
      </c>
      <c r="D3263" t="s">
        <v>1090</v>
      </c>
    </row>
    <row r="3264" spans="1:4" x14ac:dyDescent="0.3">
      <c r="A3264" s="2">
        <v>46363</v>
      </c>
      <c r="B3264">
        <v>2026</v>
      </c>
      <c r="C3264" t="s">
        <v>1087</v>
      </c>
      <c r="D3264" t="s">
        <v>1090</v>
      </c>
    </row>
    <row r="3265" spans="1:4" x14ac:dyDescent="0.3">
      <c r="A3265" s="2">
        <v>46364</v>
      </c>
      <c r="B3265">
        <v>2026</v>
      </c>
      <c r="C3265" t="s">
        <v>1087</v>
      </c>
      <c r="D3265" t="s">
        <v>1090</v>
      </c>
    </row>
    <row r="3266" spans="1:4" x14ac:dyDescent="0.3">
      <c r="A3266" s="2">
        <v>46365</v>
      </c>
      <c r="B3266">
        <v>2026</v>
      </c>
      <c r="C3266" t="s">
        <v>1087</v>
      </c>
      <c r="D3266" t="s">
        <v>1090</v>
      </c>
    </row>
    <row r="3267" spans="1:4" x14ac:dyDescent="0.3">
      <c r="A3267" s="2">
        <v>46366</v>
      </c>
      <c r="B3267">
        <v>2026</v>
      </c>
      <c r="C3267" t="s">
        <v>1087</v>
      </c>
      <c r="D3267" t="s">
        <v>1090</v>
      </c>
    </row>
    <row r="3268" spans="1:4" x14ac:dyDescent="0.3">
      <c r="A3268" s="2">
        <v>46367</v>
      </c>
      <c r="B3268">
        <v>2026</v>
      </c>
      <c r="C3268" t="s">
        <v>1087</v>
      </c>
      <c r="D3268" t="s">
        <v>1090</v>
      </c>
    </row>
    <row r="3269" spans="1:4" x14ac:dyDescent="0.3">
      <c r="A3269" s="2">
        <v>46368</v>
      </c>
      <c r="B3269">
        <v>2026</v>
      </c>
      <c r="C3269" t="s">
        <v>1087</v>
      </c>
      <c r="D3269" t="s">
        <v>1090</v>
      </c>
    </row>
    <row r="3270" spans="1:4" x14ac:dyDescent="0.3">
      <c r="A3270" s="2">
        <v>46369</v>
      </c>
      <c r="B3270">
        <v>2026</v>
      </c>
      <c r="C3270" t="s">
        <v>1087</v>
      </c>
      <c r="D3270" t="s">
        <v>1090</v>
      </c>
    </row>
    <row r="3271" spans="1:4" x14ac:dyDescent="0.3">
      <c r="A3271" s="2">
        <v>46370</v>
      </c>
      <c r="B3271">
        <v>2026</v>
      </c>
      <c r="C3271" t="s">
        <v>1087</v>
      </c>
      <c r="D3271" t="s">
        <v>1090</v>
      </c>
    </row>
    <row r="3272" spans="1:4" x14ac:dyDescent="0.3">
      <c r="A3272" s="2">
        <v>46371</v>
      </c>
      <c r="B3272">
        <v>2026</v>
      </c>
      <c r="C3272" t="s">
        <v>1087</v>
      </c>
      <c r="D3272" t="s">
        <v>1090</v>
      </c>
    </row>
    <row r="3273" spans="1:4" x14ac:dyDescent="0.3">
      <c r="A3273" s="2">
        <v>46372</v>
      </c>
      <c r="B3273">
        <v>2026</v>
      </c>
      <c r="C3273" t="s">
        <v>1087</v>
      </c>
      <c r="D3273" t="s">
        <v>1090</v>
      </c>
    </row>
    <row r="3274" spans="1:4" x14ac:dyDescent="0.3">
      <c r="A3274" s="2">
        <v>46373</v>
      </c>
      <c r="B3274">
        <v>2026</v>
      </c>
      <c r="C3274" t="s">
        <v>1087</v>
      </c>
      <c r="D3274" t="s">
        <v>1090</v>
      </c>
    </row>
    <row r="3275" spans="1:4" x14ac:dyDescent="0.3">
      <c r="A3275" s="2">
        <v>46374</v>
      </c>
      <c r="B3275">
        <v>2026</v>
      </c>
      <c r="C3275" t="s">
        <v>1087</v>
      </c>
      <c r="D3275" t="s">
        <v>1090</v>
      </c>
    </row>
    <row r="3276" spans="1:4" x14ac:dyDescent="0.3">
      <c r="A3276" s="2">
        <v>46375</v>
      </c>
      <c r="B3276">
        <v>2026</v>
      </c>
      <c r="C3276" t="s">
        <v>1087</v>
      </c>
      <c r="D3276" t="s">
        <v>1090</v>
      </c>
    </row>
    <row r="3277" spans="1:4" x14ac:dyDescent="0.3">
      <c r="A3277" s="2">
        <v>46376</v>
      </c>
      <c r="B3277">
        <v>2026</v>
      </c>
      <c r="C3277" t="s">
        <v>1087</v>
      </c>
      <c r="D3277" t="s">
        <v>1090</v>
      </c>
    </row>
    <row r="3278" spans="1:4" x14ac:dyDescent="0.3">
      <c r="A3278" s="2">
        <v>46377</v>
      </c>
      <c r="B3278">
        <v>2026</v>
      </c>
      <c r="C3278" t="s">
        <v>1087</v>
      </c>
      <c r="D3278" t="s">
        <v>1090</v>
      </c>
    </row>
    <row r="3279" spans="1:4" x14ac:dyDescent="0.3">
      <c r="A3279" s="2">
        <v>46378</v>
      </c>
      <c r="B3279">
        <v>2026</v>
      </c>
      <c r="C3279" t="s">
        <v>1087</v>
      </c>
      <c r="D3279" t="s">
        <v>1090</v>
      </c>
    </row>
    <row r="3280" spans="1:4" x14ac:dyDescent="0.3">
      <c r="A3280" s="2">
        <v>46379</v>
      </c>
      <c r="B3280">
        <v>2026</v>
      </c>
      <c r="C3280" t="s">
        <v>1087</v>
      </c>
      <c r="D3280" t="s">
        <v>1090</v>
      </c>
    </row>
    <row r="3281" spans="1:4" x14ac:dyDescent="0.3">
      <c r="A3281" s="2">
        <v>46380</v>
      </c>
      <c r="B3281">
        <v>2026</v>
      </c>
      <c r="C3281" t="s">
        <v>1087</v>
      </c>
      <c r="D3281" t="s">
        <v>1090</v>
      </c>
    </row>
    <row r="3282" spans="1:4" x14ac:dyDescent="0.3">
      <c r="A3282" s="2">
        <v>46381</v>
      </c>
      <c r="B3282">
        <v>2026</v>
      </c>
      <c r="C3282" t="s">
        <v>1087</v>
      </c>
      <c r="D3282" t="s">
        <v>1090</v>
      </c>
    </row>
    <row r="3283" spans="1:4" x14ac:dyDescent="0.3">
      <c r="A3283" s="2">
        <v>46382</v>
      </c>
      <c r="B3283">
        <v>2026</v>
      </c>
      <c r="C3283" t="s">
        <v>1087</v>
      </c>
      <c r="D3283" t="s">
        <v>1090</v>
      </c>
    </row>
    <row r="3284" spans="1:4" x14ac:dyDescent="0.3">
      <c r="A3284" s="2">
        <v>46383</v>
      </c>
      <c r="B3284">
        <v>2026</v>
      </c>
      <c r="C3284" t="s">
        <v>1087</v>
      </c>
      <c r="D3284" t="s">
        <v>1090</v>
      </c>
    </row>
    <row r="3285" spans="1:4" x14ac:dyDescent="0.3">
      <c r="A3285" s="2">
        <v>46384</v>
      </c>
      <c r="B3285">
        <v>2026</v>
      </c>
      <c r="C3285" t="s">
        <v>1087</v>
      </c>
      <c r="D3285" t="s">
        <v>1090</v>
      </c>
    </row>
    <row r="3286" spans="1:4" x14ac:dyDescent="0.3">
      <c r="A3286" s="2">
        <v>46385</v>
      </c>
      <c r="B3286">
        <v>2026</v>
      </c>
      <c r="C3286" t="s">
        <v>1087</v>
      </c>
      <c r="D3286" t="s">
        <v>1090</v>
      </c>
    </row>
    <row r="3287" spans="1:4" x14ac:dyDescent="0.3">
      <c r="A3287" s="2">
        <v>46386</v>
      </c>
      <c r="B3287">
        <v>2026</v>
      </c>
      <c r="C3287" t="s">
        <v>1087</v>
      </c>
      <c r="D3287" t="s">
        <v>1090</v>
      </c>
    </row>
    <row r="3288" spans="1:4" x14ac:dyDescent="0.3">
      <c r="A3288" s="2">
        <v>46387</v>
      </c>
      <c r="B3288">
        <v>2026</v>
      </c>
      <c r="C3288" t="s">
        <v>1087</v>
      </c>
      <c r="D3288" t="s">
        <v>1090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4" sqref="C4"/>
    </sheetView>
  </sheetViews>
  <sheetFormatPr defaultRowHeight="14.4" x14ac:dyDescent="0.3"/>
  <cols>
    <col min="1" max="1" width="10" bestFit="1" customWidth="1"/>
    <col min="2" max="2" width="10.44140625" bestFit="1" customWidth="1"/>
    <col min="3" max="3" width="11" bestFit="1" customWidth="1"/>
  </cols>
  <sheetData>
    <row r="1" spans="1:3" x14ac:dyDescent="0.3">
      <c r="A1" t="s">
        <v>1091</v>
      </c>
      <c r="B1" t="s">
        <v>1092</v>
      </c>
      <c r="C1" t="s">
        <v>1093</v>
      </c>
    </row>
    <row r="2" spans="1:3" x14ac:dyDescent="0.3">
      <c r="A2">
        <v>0</v>
      </c>
      <c r="B2">
        <v>30000</v>
      </c>
      <c r="C2" t="s">
        <v>1094</v>
      </c>
    </row>
    <row r="3" spans="1:3" x14ac:dyDescent="0.3">
      <c r="A3">
        <v>30001</v>
      </c>
      <c r="B3">
        <v>60000</v>
      </c>
      <c r="C3" t="s">
        <v>1095</v>
      </c>
    </row>
    <row r="4" spans="1:3" x14ac:dyDescent="0.3">
      <c r="A4">
        <v>60001</v>
      </c>
      <c r="B4">
        <v>90000</v>
      </c>
      <c r="C4" t="s">
        <v>1096</v>
      </c>
    </row>
    <row r="5" spans="1:3" x14ac:dyDescent="0.3">
      <c r="A5">
        <v>90001</v>
      </c>
      <c r="B5">
        <v>150000</v>
      </c>
      <c r="C5" t="s">
        <v>1097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opLeftCell="A2" zoomScale="92" workbookViewId="0">
      <selection activeCell="F15" sqref="F15"/>
    </sheetView>
  </sheetViews>
  <sheetFormatPr defaultRowHeight="14.4" x14ac:dyDescent="0.3"/>
  <cols>
    <col min="1" max="1" width="13.109375" bestFit="1" customWidth="1"/>
    <col min="2" max="2" width="20.44140625" customWidth="1"/>
    <col min="4" max="4" width="13.109375" bestFit="1" customWidth="1"/>
    <col min="5" max="5" width="13.109375" customWidth="1"/>
    <col min="6" max="6" width="20.44140625" customWidth="1"/>
    <col min="7" max="7" width="13.109375" bestFit="1" customWidth="1"/>
    <col min="8" max="8" width="15.88671875" customWidth="1"/>
  </cols>
  <sheetData>
    <row r="1" spans="1:8" x14ac:dyDescent="0.3">
      <c r="D1" s="31" t="s">
        <v>14</v>
      </c>
      <c r="E1" t="s">
        <v>29</v>
      </c>
    </row>
    <row r="2" spans="1:8" x14ac:dyDescent="0.3">
      <c r="A2" s="31" t="s">
        <v>1120</v>
      </c>
      <c r="B2" t="s">
        <v>1122</v>
      </c>
    </row>
    <row r="3" spans="1:8" x14ac:dyDescent="0.3">
      <c r="A3" s="32" t="s">
        <v>87</v>
      </c>
      <c r="B3" s="14">
        <v>81</v>
      </c>
      <c r="D3" s="31" t="s">
        <v>1120</v>
      </c>
      <c r="E3" t="s">
        <v>1123</v>
      </c>
      <c r="G3" s="31" t="s">
        <v>1120</v>
      </c>
      <c r="H3" t="s">
        <v>1124</v>
      </c>
    </row>
    <row r="4" spans="1:8" x14ac:dyDescent="0.3">
      <c r="A4" s="32" t="s">
        <v>56</v>
      </c>
      <c r="B4" s="14">
        <v>83</v>
      </c>
      <c r="D4" s="32" t="s">
        <v>87</v>
      </c>
      <c r="E4" s="14">
        <v>15</v>
      </c>
      <c r="G4" s="32" t="s">
        <v>87</v>
      </c>
      <c r="H4" s="9">
        <v>86416.592592592599</v>
      </c>
    </row>
    <row r="5" spans="1:8" x14ac:dyDescent="0.3">
      <c r="A5" s="32" t="s">
        <v>41</v>
      </c>
      <c r="B5" s="14">
        <v>86</v>
      </c>
      <c r="D5" s="32" t="s">
        <v>56</v>
      </c>
      <c r="E5" s="14">
        <v>9</v>
      </c>
      <c r="G5" s="32" t="s">
        <v>56</v>
      </c>
      <c r="H5" s="9">
        <v>86779.289156626503</v>
      </c>
    </row>
    <row r="6" spans="1:8" x14ac:dyDescent="0.3">
      <c r="A6" s="32" t="s">
        <v>33</v>
      </c>
      <c r="B6" s="14">
        <v>86</v>
      </c>
      <c r="D6" s="32" t="s">
        <v>41</v>
      </c>
      <c r="E6" s="14">
        <v>18</v>
      </c>
      <c r="G6" s="32" t="s">
        <v>41</v>
      </c>
      <c r="H6" s="9">
        <v>84195.790697674413</v>
      </c>
    </row>
    <row r="7" spans="1:8" x14ac:dyDescent="0.3">
      <c r="A7" s="32" t="s">
        <v>23</v>
      </c>
      <c r="B7" s="14">
        <v>85</v>
      </c>
      <c r="D7" s="32" t="s">
        <v>33</v>
      </c>
      <c r="E7" s="14">
        <v>12</v>
      </c>
      <c r="G7" s="32" t="s">
        <v>33</v>
      </c>
      <c r="H7" s="9">
        <v>91354.534883720931</v>
      </c>
    </row>
    <row r="8" spans="1:8" x14ac:dyDescent="0.3">
      <c r="A8" s="32" t="s">
        <v>61</v>
      </c>
      <c r="B8" s="14">
        <v>79</v>
      </c>
      <c r="D8" s="32" t="s">
        <v>23</v>
      </c>
      <c r="E8" s="14">
        <v>14</v>
      </c>
      <c r="G8" s="32" t="s">
        <v>23</v>
      </c>
      <c r="H8" s="9">
        <v>86309.105882352946</v>
      </c>
    </row>
    <row r="9" spans="1:8" x14ac:dyDescent="0.3">
      <c r="A9" s="32" t="s">
        <v>1121</v>
      </c>
      <c r="B9" s="14">
        <v>500</v>
      </c>
      <c r="D9" s="32" t="s">
        <v>61</v>
      </c>
      <c r="E9" s="14">
        <v>6</v>
      </c>
      <c r="G9" s="32" t="s">
        <v>61</v>
      </c>
      <c r="H9" s="9">
        <v>85145.063291139246</v>
      </c>
    </row>
    <row r="10" spans="1:8" x14ac:dyDescent="0.3">
      <c r="D10" s="32" t="s">
        <v>1121</v>
      </c>
      <c r="E10" s="14">
        <v>74</v>
      </c>
      <c r="G10" s="32" t="s">
        <v>1121</v>
      </c>
      <c r="H10" s="9">
        <v>86724.974000000002</v>
      </c>
    </row>
    <row r="12" spans="1:8" x14ac:dyDescent="0.3">
      <c r="A12" s="31" t="s">
        <v>1120</v>
      </c>
      <c r="B12" t="s">
        <v>1122</v>
      </c>
    </row>
    <row r="13" spans="1:8" x14ac:dyDescent="0.3">
      <c r="A13" s="32" t="s">
        <v>40</v>
      </c>
      <c r="B13" s="14">
        <v>258</v>
      </c>
      <c r="E13" s="31" t="s">
        <v>1120</v>
      </c>
      <c r="F13" t="s">
        <v>1122</v>
      </c>
    </row>
    <row r="14" spans="1:8" x14ac:dyDescent="0.3">
      <c r="A14" s="32" t="s">
        <v>22</v>
      </c>
      <c r="B14" s="14">
        <v>242</v>
      </c>
      <c r="E14" s="32" t="s">
        <v>36</v>
      </c>
      <c r="F14" s="14">
        <v>174</v>
      </c>
    </row>
    <row r="15" spans="1:8" x14ac:dyDescent="0.3">
      <c r="A15" s="32" t="s">
        <v>1121</v>
      </c>
      <c r="B15" s="14">
        <v>500</v>
      </c>
      <c r="E15" s="32" t="s">
        <v>52</v>
      </c>
      <c r="F15" s="14">
        <v>166</v>
      </c>
    </row>
    <row r="16" spans="1:8" x14ac:dyDescent="0.3">
      <c r="E16" s="32" t="s">
        <v>26</v>
      </c>
      <c r="F16" s="14">
        <v>160</v>
      </c>
    </row>
    <row r="17" spans="5:6" x14ac:dyDescent="0.3">
      <c r="E17" s="32" t="s">
        <v>1121</v>
      </c>
      <c r="F17" s="14">
        <v>500</v>
      </c>
    </row>
    <row r="19" spans="5:6" x14ac:dyDescent="0.3">
      <c r="E19" s="31" t="s">
        <v>1120</v>
      </c>
      <c r="F19" t="s">
        <v>1125</v>
      </c>
    </row>
    <row r="20" spans="5:6" x14ac:dyDescent="0.3">
      <c r="E20" s="32" t="s">
        <v>87</v>
      </c>
      <c r="F20" s="28">
        <v>2.8271604938271606</v>
      </c>
    </row>
    <row r="21" spans="5:6" x14ac:dyDescent="0.3">
      <c r="E21" s="32" t="s">
        <v>56</v>
      </c>
      <c r="F21" s="28">
        <v>3.0602409638554215</v>
      </c>
    </row>
    <row r="22" spans="5:6" x14ac:dyDescent="0.3">
      <c r="E22" s="32" t="s">
        <v>41</v>
      </c>
      <c r="F22" s="28">
        <v>3.0465116279069768</v>
      </c>
    </row>
    <row r="23" spans="5:6" x14ac:dyDescent="0.3">
      <c r="E23" s="32" t="s">
        <v>33</v>
      </c>
      <c r="F23" s="28">
        <v>3.0465116279069768</v>
      </c>
    </row>
    <row r="24" spans="5:6" x14ac:dyDescent="0.3">
      <c r="E24" s="32" t="s">
        <v>23</v>
      </c>
      <c r="F24" s="28">
        <v>2.6705882352941175</v>
      </c>
    </row>
    <row r="25" spans="5:6" x14ac:dyDescent="0.3">
      <c r="E25" s="32" t="s">
        <v>61</v>
      </c>
      <c r="F25" s="28">
        <v>3.1012658227848102</v>
      </c>
    </row>
    <row r="26" spans="5:6" x14ac:dyDescent="0.3">
      <c r="E26" s="32" t="s">
        <v>1121</v>
      </c>
      <c r="F26" s="28">
        <v>2.9580000000000002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B12"/>
  <sheetViews>
    <sheetView workbookViewId="0">
      <selection activeCell="D16" sqref="D16"/>
    </sheetView>
  </sheetViews>
  <sheetFormatPr defaultRowHeight="14.4" x14ac:dyDescent="0.3"/>
  <cols>
    <col min="1" max="1" width="22.88671875" bestFit="1" customWidth="1"/>
    <col min="2" max="2" width="11.109375" bestFit="1" customWidth="1"/>
  </cols>
  <sheetData>
    <row r="4" spans="1:2" x14ac:dyDescent="0.3">
      <c r="A4" t="s">
        <v>1126</v>
      </c>
      <c r="B4">
        <f>COUNTA(Employees_Data[Employee_ID])</f>
        <v>500</v>
      </c>
    </row>
    <row r="6" spans="1:2" x14ac:dyDescent="0.3">
      <c r="A6" t="s">
        <v>1128</v>
      </c>
      <c r="B6">
        <f>COUNTIF(Employees_Data[Attrition],"Yes")</f>
        <v>74</v>
      </c>
    </row>
    <row r="8" spans="1:2" x14ac:dyDescent="0.3">
      <c r="A8" t="s">
        <v>1129</v>
      </c>
      <c r="B8" s="33">
        <f>B6/B4</f>
        <v>0.14799999999999999</v>
      </c>
    </row>
    <row r="10" spans="1:2" x14ac:dyDescent="0.3">
      <c r="A10" t="s">
        <v>1116</v>
      </c>
      <c r="B10" s="34">
        <f>AVERAGE(Employees_Data[Salary])</f>
        <v>86724.974000000002</v>
      </c>
    </row>
    <row r="12" spans="1:2" x14ac:dyDescent="0.3">
      <c r="A12" t="s">
        <v>1127</v>
      </c>
      <c r="B12" s="28">
        <f>AVERAGE(Employees_Data[Satisfaction_Score])</f>
        <v>5.6539999999999999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3:H5"/>
  <sheetViews>
    <sheetView showGridLines="0" tabSelected="1" zoomScale="75" zoomScaleNormal="100" workbookViewId="0">
      <selection activeCell="AC11" sqref="AC11"/>
    </sheetView>
  </sheetViews>
  <sheetFormatPr defaultRowHeight="14.4" x14ac:dyDescent="0.3"/>
  <sheetData>
    <row r="3" spans="6:8" x14ac:dyDescent="0.3">
      <c r="F3" s="15"/>
      <c r="G3" s="15"/>
      <c r="H3" s="15"/>
    </row>
    <row r="4" spans="6:8" x14ac:dyDescent="0.3">
      <c r="F4" s="15"/>
      <c r="G4" s="15"/>
      <c r="H4" s="15"/>
    </row>
    <row r="5" spans="6:8" x14ac:dyDescent="0.3">
      <c r="F5" s="15"/>
      <c r="G5" s="15"/>
      <c r="H5"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Employees</vt:lpstr>
      <vt:lpstr>MINI SEARCH SECTION</vt:lpstr>
      <vt:lpstr>Departments</vt:lpstr>
      <vt:lpstr>Date_Table</vt:lpstr>
      <vt:lpstr>Salary_Bands</vt:lpstr>
      <vt:lpstr>PIVOT_ANALYSIS</vt:lpstr>
      <vt:lpstr>KPI</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cp:lastPrinted>2026-05-30T17:25:54Z</cp:lastPrinted>
  <dcterms:created xsi:type="dcterms:W3CDTF">2026-05-29T12:05:28Z</dcterms:created>
  <dcterms:modified xsi:type="dcterms:W3CDTF">2026-05-30T18:43:54Z</dcterms:modified>
</cp:coreProperties>
</file>